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Hands Attendance" sheetId="1" r:id="rId5"/>
    <sheet state="visible" name="Workshop Attendance " sheetId="2" r:id="rId6"/>
    <sheet state="visible" name="Unexcused-Absense Form for Ment" sheetId="3" r:id="rId7"/>
    <sheet state="visible" name="Mentee Commitment TrackingMDP" sheetId="4" r:id="rId8"/>
  </sheets>
  <definedNames>
    <definedName hidden="1" localSheetId="2" name="_xlnm._FilterDatabase">'Unexcused-Absense Form for Ment'!$A$1:$J$288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NO ONE SHUD CHANGE THIS SHEET'S FORMAT other than analytics!!!!!https://docs.google.com/spreadsheets/u/0/?authuser=0&amp;usp=sheets_web</t>
      </text>
    </comment>
    <comment authorId="0" ref="F1">
      <text>
        <t xml:space="preserve">update 2nd years (Analytics)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NO ONE SHUD CHANGE THIS SHEET'S FORMAT other than analytics!!!!!https://docs.google.com/spreadsheets/u/0/?authuser=0&amp;usp=sheets_web</t>
      </text>
    </comment>
    <comment authorId="0" ref="N1">
      <text>
        <t xml:space="preserve">update 2nd years (Analytics)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NO ONE SHUD CHANGE THIS SHEET'S FORMAT other than analytics!!!!!https://docs.google.com/spreadsheets/u/0/?authuser=0&amp;usp=sheets_web</t>
      </text>
    </comment>
    <comment authorId="0" ref="E1">
      <text>
        <t xml:space="preserve">update 2nd years (Analytics)</t>
      </text>
    </comment>
  </commentList>
</comments>
</file>

<file path=xl/sharedStrings.xml><?xml version="1.0" encoding="utf-8"?>
<sst xmlns="http://schemas.openxmlformats.org/spreadsheetml/2006/main" count="13099" uniqueCount="2564">
  <si>
    <t>Phone Number</t>
  </si>
  <si>
    <t>School ID</t>
  </si>
  <si>
    <t>Name</t>
  </si>
  <si>
    <t>Email</t>
  </si>
  <si>
    <t>Mentor Name</t>
  </si>
  <si>
    <t>Nov. or Exp.</t>
  </si>
  <si>
    <t>Year in DECA</t>
  </si>
  <si>
    <t>Pod # 0</t>
  </si>
  <si>
    <t>Amber Chang</t>
  </si>
  <si>
    <t>ambery.chang@warriorlife.net</t>
  </si>
  <si>
    <t>Aaron Vu</t>
  </si>
  <si>
    <t xml:space="preserve">N </t>
  </si>
  <si>
    <t>1st Year</t>
  </si>
  <si>
    <t>Nina Ling</t>
  </si>
  <si>
    <t>nina.ling@warriorlife.net</t>
  </si>
  <si>
    <t>Elize Kaldani</t>
  </si>
  <si>
    <t>elize.kaldani@warriorlife.net</t>
  </si>
  <si>
    <t>Geralyn Loo</t>
  </si>
  <si>
    <t>geralyn.loo@warriorlife.net</t>
  </si>
  <si>
    <t>Kashvi Lath</t>
  </si>
  <si>
    <t>kashvi.lath@warriorlife.net</t>
  </si>
  <si>
    <t>Gary Zhang</t>
  </si>
  <si>
    <t>shuhan.zhang@warriorlife.net</t>
  </si>
  <si>
    <t>Alicia Tang</t>
  </si>
  <si>
    <t>E</t>
  </si>
  <si>
    <t>3rd Year</t>
  </si>
  <si>
    <t>Paul Shi</t>
  </si>
  <si>
    <t>yunbo.shi@warriorlife.net</t>
  </si>
  <si>
    <t>N</t>
  </si>
  <si>
    <t>2nd Year</t>
  </si>
  <si>
    <t xml:space="preserve">Sofia Yiu  </t>
  </si>
  <si>
    <t>sofia.yiu@warriorlife.net</t>
  </si>
  <si>
    <t>Sunny Wang</t>
  </si>
  <si>
    <t>ziqing.wang@warriorlife.net</t>
  </si>
  <si>
    <t>Arkopriya Aich</t>
  </si>
  <si>
    <t>arkopriya.aich@warriorlife.net</t>
  </si>
  <si>
    <t>Cherrilyn Huynh</t>
  </si>
  <si>
    <t>t.huynh@warriorlife.net</t>
  </si>
  <si>
    <t>Arissa Cao</t>
  </si>
  <si>
    <t>Madi Nguyen</t>
  </si>
  <si>
    <t>ct.nguyen@warriorlife.net</t>
  </si>
  <si>
    <t>Keshav Satagopan</t>
  </si>
  <si>
    <t>sk.satagopan@warriorlife.net</t>
  </si>
  <si>
    <t>Jaden Park</t>
  </si>
  <si>
    <t>Jaden.park@warriorlife.net</t>
  </si>
  <si>
    <t>Sradha Namala</t>
  </si>
  <si>
    <t>sradha.namala@warriorlife.net</t>
  </si>
  <si>
    <t>Franklin Dao</t>
  </si>
  <si>
    <t>franklin.dao@warriorlife.net</t>
  </si>
  <si>
    <t>Ayden Wang</t>
  </si>
  <si>
    <t>Samuel Xiao</t>
  </si>
  <si>
    <t>samuel.xiao@warriorlife.net</t>
  </si>
  <si>
    <t>Aubrey Santos</t>
  </si>
  <si>
    <t>aubrey.santos@warriorlife.net</t>
  </si>
  <si>
    <t>Riyana Baldua</t>
  </si>
  <si>
    <t>riyana.baldua@warriorlife.net</t>
  </si>
  <si>
    <t>Maahir Satwani</t>
  </si>
  <si>
    <t>maahir.satwani@warriorlife.net</t>
  </si>
  <si>
    <t>Suvir Maniktala</t>
  </si>
  <si>
    <t>suvir.maniktala@warriorlife.net</t>
  </si>
  <si>
    <t>Ethan Teh</t>
  </si>
  <si>
    <t>ethan.teh@warriorlife.net</t>
  </si>
  <si>
    <t>Chloe Ding</t>
  </si>
  <si>
    <t>Jason Tang</t>
  </si>
  <si>
    <t>jason.tang@warriorlife.net</t>
  </si>
  <si>
    <t>Gordon Lee</t>
  </si>
  <si>
    <t>gordon.lee@warriorlife.net</t>
  </si>
  <si>
    <t>Matthew Zhu</t>
  </si>
  <si>
    <t>matthew.zhu@warriorlife.net</t>
  </si>
  <si>
    <t>Isabella Su</t>
  </si>
  <si>
    <t>isabella.su@warriorlife.net</t>
  </si>
  <si>
    <t>Chloe Zhong</t>
  </si>
  <si>
    <t>Ashley Park</t>
  </si>
  <si>
    <t>ashley.park@warriorlife.net</t>
  </si>
  <si>
    <t>Jihoo Lee</t>
  </si>
  <si>
    <t>jihoo.lee@warriorlife.net</t>
  </si>
  <si>
    <t>Lucas Wang</t>
  </si>
  <si>
    <t>lucasj.wang@warriorlife.net</t>
  </si>
  <si>
    <t>Kayla Tan</t>
  </si>
  <si>
    <t>kayla.tan@warriorlife.net</t>
  </si>
  <si>
    <t>Sofia Choo</t>
  </si>
  <si>
    <t>sofia.choo@warriorlife.net</t>
  </si>
  <si>
    <t>Grace Frieder</t>
  </si>
  <si>
    <t>grace.frieder@warriorlife.net</t>
  </si>
  <si>
    <t>Elaine Wang</t>
  </si>
  <si>
    <t>Hailey Taylor</t>
  </si>
  <si>
    <t>hailey.taylor@warriorlife.net</t>
  </si>
  <si>
    <t>Kate Borba</t>
  </si>
  <si>
    <t>kate.borba@warriorlife.net</t>
  </si>
  <si>
    <t>Aditya Poduri</t>
  </si>
  <si>
    <t>aditya.poduri@warriorlife.net</t>
  </si>
  <si>
    <t>Jonathan Cheng</t>
  </si>
  <si>
    <t>jonathan.cheng@warriorlife.net</t>
  </si>
  <si>
    <t>4th Year</t>
  </si>
  <si>
    <t>Michael Deng</t>
  </si>
  <si>
    <t>michael.deng@warriorlife.net</t>
  </si>
  <si>
    <t>Julia Li</t>
  </si>
  <si>
    <t>julia.li@warriorlife.net</t>
  </si>
  <si>
    <t>Elizabeth Huang</t>
  </si>
  <si>
    <t>Tiffany Zhang</t>
  </si>
  <si>
    <t>tiffany.zhang@warriorlife.net</t>
  </si>
  <si>
    <t>Jamie Jang</t>
  </si>
  <si>
    <t>woobin.jang@warriorlife.net</t>
  </si>
  <si>
    <t>Hanna Handy</t>
  </si>
  <si>
    <t>hanna.handy@warriorlife.net</t>
  </si>
  <si>
    <t>Jennaly Fangonilo</t>
  </si>
  <si>
    <t>jennaly.fangonilo@warriorlife.net</t>
  </si>
  <si>
    <t>Gabby Lynch</t>
  </si>
  <si>
    <t>gabriele.lynch@warriorlife.net</t>
  </si>
  <si>
    <t>Joey Zhu</t>
  </si>
  <si>
    <t>joey.zhu@warriorlife.net</t>
  </si>
  <si>
    <t>Nathaniel Kommu</t>
  </si>
  <si>
    <t>nathaniel.kommu@warriorlife.net</t>
  </si>
  <si>
    <t>Emily Tang</t>
  </si>
  <si>
    <t>Jessica Ma</t>
  </si>
  <si>
    <t>jessica.ma@warriorlife.net</t>
  </si>
  <si>
    <t>Kevin Ou</t>
  </si>
  <si>
    <t>kevin.ou@warriorlife.net</t>
  </si>
  <si>
    <t>Michael Qi</t>
  </si>
  <si>
    <t>michael.qi@warriorlife.net</t>
  </si>
  <si>
    <t>Shawn Wang</t>
  </si>
  <si>
    <t>zixuan.wang@warriorlife.net</t>
  </si>
  <si>
    <t>Amanda Lam</t>
  </si>
  <si>
    <t>yuettung.lam@warriorlife.net</t>
  </si>
  <si>
    <t>Grace Xu</t>
  </si>
  <si>
    <t>Kissa Hsieh</t>
  </si>
  <si>
    <t>yicheng.hsieh@warriorlife.net</t>
  </si>
  <si>
    <t>Nathan Cung</t>
  </si>
  <si>
    <t>nathan.cung@warriorlife.net</t>
  </si>
  <si>
    <t>Ashley Lai</t>
  </si>
  <si>
    <t>ashley.lai@warriorlife.net</t>
  </si>
  <si>
    <t>Audrey Truong</t>
  </si>
  <si>
    <t>audrey.truong@warriorlife.net</t>
  </si>
  <si>
    <t>Brooke Harvey</t>
  </si>
  <si>
    <t>brooke.harvey@warriorlife.net</t>
  </si>
  <si>
    <t>James Yu</t>
  </si>
  <si>
    <t>james.yu@warriorlife.net</t>
  </si>
  <si>
    <t>Hannah Li</t>
  </si>
  <si>
    <t>Anay Kalchuri</t>
  </si>
  <si>
    <t>anay.kalchuri@warriorlife.net</t>
  </si>
  <si>
    <t>Yamilet Quintana</t>
  </si>
  <si>
    <t>yamilet.quintana@warriorlife.net</t>
  </si>
  <si>
    <t>Eric Jia</t>
  </si>
  <si>
    <t>eric.jia@warriorlife.net</t>
  </si>
  <si>
    <t>Jordan Kim</t>
  </si>
  <si>
    <t>jordan.kim@warriorlife.net</t>
  </si>
  <si>
    <t>Joshwyn Hong</t>
  </si>
  <si>
    <t>joshwyn.hong@warriorlife.net</t>
  </si>
  <si>
    <t>Isabella Yu</t>
  </si>
  <si>
    <t>Kinshuk Pandey</t>
  </si>
  <si>
    <t>kinshuk.pandey@warriorlife.net</t>
  </si>
  <si>
    <t>Lukshman Senthil</t>
  </si>
  <si>
    <t>lukshman.senthil@warriorlife.net</t>
  </si>
  <si>
    <t>Shalom Kommu</t>
  </si>
  <si>
    <t>shalom.kommu@warriorlife.net</t>
  </si>
  <si>
    <t>Ava Shu</t>
  </si>
  <si>
    <t>ava.shu@warriorlife.net</t>
  </si>
  <si>
    <t>Elaine Choi</t>
  </si>
  <si>
    <t>elaine.choi@warriorlife.net</t>
  </si>
  <si>
    <t>Alyssa Doan</t>
  </si>
  <si>
    <t>alyssa.doan@warriorlife.net</t>
  </si>
  <si>
    <t>Jayden Peterson</t>
  </si>
  <si>
    <t>Armaan Arya</t>
  </si>
  <si>
    <t>armaan.arya@warriorlife.net</t>
  </si>
  <si>
    <t>Kalie Bach</t>
  </si>
  <si>
    <t>an.bach@warriorlife.net</t>
  </si>
  <si>
    <t>Dana Sun</t>
  </si>
  <si>
    <t>dana.sun@warriorlife.net</t>
  </si>
  <si>
    <t>Nishanth Duvedi</t>
  </si>
  <si>
    <t>nishanth.duvedi@warriorlife.net</t>
  </si>
  <si>
    <t>Saira Bhatia</t>
  </si>
  <si>
    <t>saira.bhatia@warriorlife.net</t>
  </si>
  <si>
    <t>Kyle Chen</t>
  </si>
  <si>
    <t>Ella Weng</t>
  </si>
  <si>
    <t>shanzhi.weng@warriorlife.net</t>
  </si>
  <si>
    <t>Tristan Sansone</t>
  </si>
  <si>
    <t>tristan.sansone@warriorlife.net</t>
  </si>
  <si>
    <t>Preston Lee</t>
  </si>
  <si>
    <t>preston.lee@warriorlife.net</t>
  </si>
  <si>
    <t>Romir Bhatt</t>
  </si>
  <si>
    <t>romir.bhatt@warriorlife.net</t>
  </si>
  <si>
    <t>Tiffany Le</t>
  </si>
  <si>
    <t>tiffany.le@warriorlife.net</t>
  </si>
  <si>
    <t>Timothy Feng</t>
  </si>
  <si>
    <t>timothy.feng@warriorlife.net</t>
  </si>
  <si>
    <t>Melody Leong</t>
  </si>
  <si>
    <t>Andrew Huang</t>
  </si>
  <si>
    <t>andrew.huang@warriorlife.net</t>
  </si>
  <si>
    <t>Nathan Pham</t>
  </si>
  <si>
    <t>nathan.pham@warriorlife.net</t>
  </si>
  <si>
    <t>Sidharth Swaminathan</t>
  </si>
  <si>
    <t>s.swaminathan@warriorlife.net</t>
  </si>
  <si>
    <t>Braden Fong</t>
  </si>
  <si>
    <t>braden.fong@warriorlife.net</t>
  </si>
  <si>
    <t>John Kirchenbauer</t>
  </si>
  <si>
    <t>john.kirchenbauer@warriorlife.net</t>
  </si>
  <si>
    <t>Ivy Guo</t>
  </si>
  <si>
    <t>ivy.guo@warriorlife.net</t>
  </si>
  <si>
    <t>Mia Tran</t>
  </si>
  <si>
    <t>Sophie Yu</t>
  </si>
  <si>
    <t>chunka.yu@warriorlife.net</t>
  </si>
  <si>
    <t>Hongyao Fan</t>
  </si>
  <si>
    <t>hongyao.fan@warriorlife.net</t>
  </si>
  <si>
    <t>Jenny Lee</t>
  </si>
  <si>
    <t>jenny.lee@warriorlife.net</t>
  </si>
  <si>
    <t>Jayden Leggio</t>
  </si>
  <si>
    <t>jayden.leggio@warriorlife.net</t>
  </si>
  <si>
    <t>Lucas Moyers</t>
  </si>
  <si>
    <t>lucas.moyers@warriorlife.net</t>
  </si>
  <si>
    <t>Micah Bass</t>
  </si>
  <si>
    <t>micah.bass@warriorlife.net</t>
  </si>
  <si>
    <t>Natalie Zhang</t>
  </si>
  <si>
    <t>William Qu</t>
  </si>
  <si>
    <t>william.qu@warriorlife.net</t>
  </si>
  <si>
    <t>Zayd Bashadi</t>
  </si>
  <si>
    <t>zayd.bashadi@warriorlife.net</t>
  </si>
  <si>
    <t>Arthur Huang</t>
  </si>
  <si>
    <t>arthur.huang@warriorlife.net</t>
  </si>
  <si>
    <t>Daniel Dorn</t>
  </si>
  <si>
    <t>d.dorndecarvalho@warriorlife.net</t>
  </si>
  <si>
    <t>Purab Shah</t>
  </si>
  <si>
    <t>purab.shah@warriorlife.net</t>
  </si>
  <si>
    <t>Ethan Chen</t>
  </si>
  <si>
    <t>ethan.chen@warriorlife.net</t>
  </si>
  <si>
    <t>Nicholas Kiang</t>
  </si>
  <si>
    <t>Gordon Li</t>
  </si>
  <si>
    <t>gordon.li@warriorlife.net</t>
  </si>
  <si>
    <t>Chloe Xiao</t>
  </si>
  <si>
    <t>chloe.xiao@warriorlife.net</t>
  </si>
  <si>
    <t>Karen Xiao</t>
  </si>
  <si>
    <t>karen.xiao@warriorlife.net</t>
  </si>
  <si>
    <t>Jaylyn Chong</t>
  </si>
  <si>
    <t>jaylyn.chong@warriorlife.net</t>
  </si>
  <si>
    <t>4th year</t>
  </si>
  <si>
    <t>Eila Mcginley</t>
  </si>
  <si>
    <t>eila.mcginley@warriorlife.net</t>
  </si>
  <si>
    <t>Julia Zhou</t>
  </si>
  <si>
    <t>julia.zhou@warriorlife.net</t>
  </si>
  <si>
    <t>Isabella Denena</t>
  </si>
  <si>
    <t>isabella.denena@warriorlife.net</t>
  </si>
  <si>
    <t>Om Loomba</t>
  </si>
  <si>
    <t>Yoon Koo</t>
  </si>
  <si>
    <t>jayoon.koo@warriorlife.net</t>
  </si>
  <si>
    <t>Saniya Islam</t>
  </si>
  <si>
    <t>saniya.islam@warriorlife.net</t>
  </si>
  <si>
    <t>Daniel An</t>
  </si>
  <si>
    <t>zeqi.an@warriorlife.net</t>
  </si>
  <si>
    <t>Joseph Shin</t>
  </si>
  <si>
    <t>joseph.shin@warriorlife.net</t>
  </si>
  <si>
    <t>Roshan Khanna</t>
  </si>
  <si>
    <t>roshan.khanna@warriorlife.net</t>
  </si>
  <si>
    <t>Zihan Liu</t>
  </si>
  <si>
    <t>zihan.liu@warriorlife.net</t>
  </si>
  <si>
    <t>Olivia Kang</t>
  </si>
  <si>
    <t>olivia.kang@warriorlife.net</t>
  </si>
  <si>
    <t>Philina Chen</t>
  </si>
  <si>
    <t>Isaac Lai</t>
  </si>
  <si>
    <t>isaac.lai@warriorlife.net</t>
  </si>
  <si>
    <t>Benjamin Nie</t>
  </si>
  <si>
    <t>benjamin.nie@warriorlife.net</t>
  </si>
  <si>
    <t>Caiden Kuo</t>
  </si>
  <si>
    <t>caiden.kuo@warriorlife.net</t>
  </si>
  <si>
    <t>Crystal Chen</t>
  </si>
  <si>
    <t>crystal.chen@warriorlife.net</t>
  </si>
  <si>
    <t>Barak Yang</t>
  </si>
  <si>
    <t>barak.yang@warriorlife.net</t>
  </si>
  <si>
    <t>Ranjani Sagayaraj</t>
  </si>
  <si>
    <t>Caelin Hu</t>
  </si>
  <si>
    <t>caelin.hu@warriorlife.net</t>
  </si>
  <si>
    <t>Jason Huang</t>
  </si>
  <si>
    <t>weichen.huang@warriorlife.net</t>
  </si>
  <si>
    <t>Chaebin Jang</t>
  </si>
  <si>
    <t>chaebin.jang@warriorlife.net</t>
  </si>
  <si>
    <t>Purvi Muriki</t>
  </si>
  <si>
    <t>purvi.muriki@warriorlife.net</t>
  </si>
  <si>
    <t>Arushi Iyer</t>
  </si>
  <si>
    <t>arushi.iyer@warriorlife.net</t>
  </si>
  <si>
    <t>Iszy Kwong</t>
  </si>
  <si>
    <t>isobel.kwong@warriorlife.net</t>
  </si>
  <si>
    <t>Aman Kochar</t>
  </si>
  <si>
    <t>aman.kochar@warriorlife.net</t>
  </si>
  <si>
    <t>Revathi Mekkoth</t>
  </si>
  <si>
    <t>Armaan Vidhani</t>
  </si>
  <si>
    <t>armaan.vidhani@warriorlife.net</t>
  </si>
  <si>
    <t>Saisha Vibhute</t>
  </si>
  <si>
    <t>saisha.vibhute@warriorlife.net</t>
  </si>
  <si>
    <t>Yen-Nhi Tran</t>
  </si>
  <si>
    <t>yennhi.tran@warriorlife.net</t>
  </si>
  <si>
    <t>Zubin Lakhia</t>
  </si>
  <si>
    <t>zubin.lakhia@warriorlife.net</t>
  </si>
  <si>
    <t>Sam Zeidan</t>
  </si>
  <si>
    <t>sam.zeidan@warriorlife.net</t>
  </si>
  <si>
    <t>Marisol Chou</t>
  </si>
  <si>
    <t>marisol.chou@warriorlife.net</t>
  </si>
  <si>
    <t>Riday Appannagari</t>
  </si>
  <si>
    <t>Arnav Mani</t>
  </si>
  <si>
    <t>arnav.mani@warriorlife.net</t>
  </si>
  <si>
    <t>Christine Choo</t>
  </si>
  <si>
    <t>christine.choo@warriorlife.net</t>
  </si>
  <si>
    <t>Avaneesh Nangare</t>
  </si>
  <si>
    <t>avaneesh.nangare@warriorlife.net</t>
  </si>
  <si>
    <t>Jocelyn Kwok</t>
  </si>
  <si>
    <t>jocelyn.kwok@warriorlife.net</t>
  </si>
  <si>
    <t>Michael Louis</t>
  </si>
  <si>
    <t>michael.louis@warriorlife.net</t>
  </si>
  <si>
    <t>Neville Nguyen</t>
  </si>
  <si>
    <t>thinh.nguyen@warriorlife.net</t>
  </si>
  <si>
    <t>Bennett Qian</t>
  </si>
  <si>
    <t>bennett.qian@warriorlife.net</t>
  </si>
  <si>
    <t>Rochelle Cao</t>
  </si>
  <si>
    <t>Varshini Subramanian</t>
  </si>
  <si>
    <t>v.subramanian@warriorlife.net</t>
  </si>
  <si>
    <t>David Cho</t>
  </si>
  <si>
    <t>hyunseok.cho@warriorlife.net</t>
  </si>
  <si>
    <t>Laith Theodossy</t>
  </si>
  <si>
    <t>laith.theodossy@warriorlife.net</t>
  </si>
  <si>
    <t>Om Gandhi</t>
  </si>
  <si>
    <t>om.gandhi@warriorlife.net</t>
  </si>
  <si>
    <t>Avni Kumar</t>
  </si>
  <si>
    <t>avni.kumar@warriorlife.net</t>
  </si>
  <si>
    <t>Ruby Han</t>
  </si>
  <si>
    <t>Alyssa Ho</t>
  </si>
  <si>
    <t>alyssa.ho@warriorlife.net</t>
  </si>
  <si>
    <t>Ellie Mui</t>
  </si>
  <si>
    <t>ellie.mui@warriorlife.net</t>
  </si>
  <si>
    <t>Mridini Parui</t>
  </si>
  <si>
    <t>mridini.parui@warriorlife.net</t>
  </si>
  <si>
    <t>Aryahi Sharma</t>
  </si>
  <si>
    <t>aryahi.sharma@warriorlife.net</t>
  </si>
  <si>
    <t>Saranya Malladi</t>
  </si>
  <si>
    <t>saranya.malladi@warriorlife.net</t>
  </si>
  <si>
    <t>Jayden Wong</t>
  </si>
  <si>
    <t>jayden.wong@warriorlife.net</t>
  </si>
  <si>
    <t>Sophia Grabinger</t>
  </si>
  <si>
    <t>sophia.grabinger@warriorlife.net</t>
  </si>
  <si>
    <t>Sarah Suh</t>
  </si>
  <si>
    <t>Nathan Tran</t>
  </si>
  <si>
    <t>nathan.tran@warriorlife.net</t>
  </si>
  <si>
    <t>Forrest Su</t>
  </si>
  <si>
    <t>forrest.su@warriorlife.net</t>
  </si>
  <si>
    <t>Bethany Dohn</t>
  </si>
  <si>
    <t>bethany.dohn@warriorlife.net</t>
  </si>
  <si>
    <t>Charlotte Ho</t>
  </si>
  <si>
    <t>charlotte.ho@warriorlife.net</t>
  </si>
  <si>
    <t>Aidan Qi</t>
  </si>
  <si>
    <t>aidan.qi@warriorlife.net</t>
  </si>
  <si>
    <t>Saron Amdeberhan</t>
  </si>
  <si>
    <t>Davin Xu</t>
  </si>
  <si>
    <t>davin.xu@warriorlife.net</t>
  </si>
  <si>
    <t>Roger He</t>
  </si>
  <si>
    <t>roger.he@warriorlife.net</t>
  </si>
  <si>
    <t>Milla Lim</t>
  </si>
  <si>
    <t>milla.lim@warriorlife.net</t>
  </si>
  <si>
    <t>Neela Koneru</t>
  </si>
  <si>
    <t>neela.koneru@warriorlife.net</t>
  </si>
  <si>
    <t>Thatcher Kim</t>
  </si>
  <si>
    <t>thatcher.kim@warriorlife.net</t>
  </si>
  <si>
    <t>Chi Amobi</t>
  </si>
  <si>
    <t>sonmachi.amobi@warriorlife.net</t>
  </si>
  <si>
    <t>Sophia White</t>
  </si>
  <si>
    <t>Riya Khattri</t>
  </si>
  <si>
    <t>riya.khattri@warriorlife.net</t>
  </si>
  <si>
    <t>Tan Pham</t>
  </si>
  <si>
    <t>tan.pham@warriorlife.net</t>
  </si>
  <si>
    <t>Connor Lam</t>
  </si>
  <si>
    <t>connor.lam@warriorlife.net</t>
  </si>
  <si>
    <t>Logan Gilbert</t>
  </si>
  <si>
    <t>logan.gilbert@warriorlife.net</t>
  </si>
  <si>
    <t>Tiara Wang</t>
  </si>
  <si>
    <t>tiara.wang@warriorlife.net</t>
  </si>
  <si>
    <t>Suneri Chinthalapati</t>
  </si>
  <si>
    <t>Sarah Xu</t>
  </si>
  <si>
    <t>sarah.xu@warriorlife.net</t>
  </si>
  <si>
    <t>Bryant Wang</t>
  </si>
  <si>
    <t>bryant.wang@warriorlife.net</t>
  </si>
  <si>
    <t>Xiangting Ren</t>
  </si>
  <si>
    <t>xiangting.ren@warriorlife.net</t>
  </si>
  <si>
    <t>Ruhaan Parandekar</t>
  </si>
  <si>
    <t>r.parandekar@warriorlife.net</t>
  </si>
  <si>
    <t>Allen Tu</t>
  </si>
  <si>
    <t>allen.tu@warriorlife.net</t>
  </si>
  <si>
    <t>Brady Wang</t>
  </si>
  <si>
    <t>haochien.wang@warriorlife.net</t>
  </si>
  <si>
    <t>Xiaowei Zhang</t>
  </si>
  <si>
    <t>Lincoln Tran</t>
  </si>
  <si>
    <t>lincolnjacob.tran@warriorlife.net</t>
  </si>
  <si>
    <t>Aisha Chadha</t>
  </si>
  <si>
    <t>aisha.chadha@warriorlife.net</t>
  </si>
  <si>
    <t>Myra Chadha</t>
  </si>
  <si>
    <t>myra.chadha@warriorlife.net</t>
  </si>
  <si>
    <t>Viraaj Vatte</t>
  </si>
  <si>
    <t>viraaj.vatte@warriorlife.net</t>
  </si>
  <si>
    <t>Audrey Sansone</t>
  </si>
  <si>
    <t>audrey.sansone@warriorlife.net</t>
  </si>
  <si>
    <t>Xueying Bai</t>
  </si>
  <si>
    <t>Sophie Ji</t>
  </si>
  <si>
    <t>sophie.ji@warriorlife.net</t>
  </si>
  <si>
    <t>Andrew Castaneda</t>
  </si>
  <si>
    <t>andrew.castaneda@warriorlife.net</t>
  </si>
  <si>
    <t>Jayden Cha</t>
  </si>
  <si>
    <t>jayden.cha@warriorlife.net</t>
  </si>
  <si>
    <t>Adithi Jha</t>
  </si>
  <si>
    <t>adithi.jha@warriorlife.net</t>
  </si>
  <si>
    <t>Litian Gu</t>
  </si>
  <si>
    <t>litian.gu@warriorlife.net</t>
  </si>
  <si>
    <t>Aaryan Shah</t>
  </si>
  <si>
    <t>aaryan.shah@warriorlife.net</t>
  </si>
  <si>
    <t>.</t>
  </si>
  <si>
    <t>Timestamp</t>
  </si>
  <si>
    <t>Email Address</t>
  </si>
  <si>
    <t>Legal first name</t>
  </si>
  <si>
    <t>Last name</t>
  </si>
  <si>
    <t>Workshop Room</t>
  </si>
  <si>
    <t>What mentee category are you in? (Analytics will track so dont lie)</t>
  </si>
  <si>
    <t>Who is your mentor?</t>
  </si>
  <si>
    <t>What's the answer to today's question?</t>
  </si>
  <si>
    <t xml:space="preserve"> </t>
  </si>
  <si>
    <t>Event</t>
  </si>
  <si>
    <t>Aditya</t>
  </si>
  <si>
    <t>Poduri</t>
  </si>
  <si>
    <t>G106</t>
  </si>
  <si>
    <t>Novice (1st year or 2nd years who haven't placed top 10 (SCDC) or get top 3 (SVCDC))</t>
  </si>
  <si>
    <t xml:space="preserve">Elaine Wang </t>
  </si>
  <si>
    <t xml:space="preserve">Make sure not to include too many icons, that can end up becoming a bit redundant. </t>
  </si>
  <si>
    <t>BOR</t>
  </si>
  <si>
    <t>Armaan</t>
  </si>
  <si>
    <t>Vidhani</t>
  </si>
  <si>
    <t>G130</t>
  </si>
  <si>
    <t xml:space="preserve">Revathi </t>
  </si>
  <si>
    <t>I’ve learned not to use that many icons.</t>
  </si>
  <si>
    <t>Tan</t>
  </si>
  <si>
    <t>Pham</t>
  </si>
  <si>
    <t>Experienced (2nd years who have placed top 10 (SCDC) or get top 3 (SVCDC) or 3rd and 4th years)</t>
  </si>
  <si>
    <t>Templates are your best friend.</t>
  </si>
  <si>
    <t>Nathaniel</t>
  </si>
  <si>
    <t>Kommu</t>
  </si>
  <si>
    <t>Novice (1st year or 2nd years who haven't placed top 10 (SCDC) or top 3 (SVCDC))</t>
  </si>
  <si>
    <t>Split information into multiple parts</t>
  </si>
  <si>
    <t>BMOR</t>
  </si>
  <si>
    <t>Allen</t>
  </si>
  <si>
    <t>Tu</t>
  </si>
  <si>
    <t>Experienced (2nd years who have placed top 10 (SCDC) or top 3 (SVCDC) or 3rd and 4th years)</t>
  </si>
  <si>
    <t>Suneri</t>
  </si>
  <si>
    <t>Don’t use a lot of icons</t>
  </si>
  <si>
    <t>Kayla</t>
  </si>
  <si>
    <t>Jayden</t>
  </si>
  <si>
    <t>Less icons are better</t>
  </si>
  <si>
    <t>ESB</t>
  </si>
  <si>
    <t>Marisol</t>
  </si>
  <si>
    <t>Chou</t>
  </si>
  <si>
    <t>G109</t>
  </si>
  <si>
    <t>pick nice colors for the design!</t>
  </si>
  <si>
    <t>Zayd</t>
  </si>
  <si>
    <t>Bashadi</t>
  </si>
  <si>
    <t xml:space="preserve">Templets are good </t>
  </si>
  <si>
    <t xml:space="preserve"> Sofia Yiu  </t>
  </si>
  <si>
    <t>SEOR</t>
  </si>
  <si>
    <t>Tiara</t>
  </si>
  <si>
    <t>Wang</t>
  </si>
  <si>
    <t>I learned about the whiteboard option on canva</t>
  </si>
  <si>
    <t>Christine</t>
  </si>
  <si>
    <t>Choo</t>
  </si>
  <si>
    <t>Riday</t>
  </si>
  <si>
    <t>Canva whiteboard is really useful for planning.</t>
  </si>
  <si>
    <t>PSE</t>
  </si>
  <si>
    <t>Lincoln</t>
  </si>
  <si>
    <t>Tran</t>
  </si>
  <si>
    <t>I learned to use the whiteboard on canva to see how we can scale our franchise business plan</t>
  </si>
  <si>
    <t>hao-chien</t>
  </si>
  <si>
    <t>wang</t>
  </si>
  <si>
    <t>xiaowei zhang</t>
  </si>
  <si>
    <t>we learned about writttens and see how we can scale our franchise plan.</t>
  </si>
  <si>
    <t>Viraaj</t>
  </si>
  <si>
    <t>Vatte</t>
  </si>
  <si>
    <t>Vivian</t>
  </si>
  <si>
    <t>we learned about writtens and how to make our slides better</t>
  </si>
  <si>
    <t>Aman</t>
  </si>
  <si>
    <t>Kochar</t>
  </si>
  <si>
    <t>Revathi</t>
  </si>
  <si>
    <t>i learned that when making slides you should not use many icons.</t>
  </si>
  <si>
    <t>Avaneesh</t>
  </si>
  <si>
    <t xml:space="preserve">Nangare </t>
  </si>
  <si>
    <t>Rochelle(wrong event)</t>
  </si>
  <si>
    <t>I learned how to brainstorm canva and more</t>
  </si>
  <si>
    <t xml:space="preserve">Do not add too many icons when making your presentation, that can end up becoming redundant and repetitive. </t>
  </si>
  <si>
    <t>HTOR</t>
  </si>
  <si>
    <t>Sarah</t>
  </si>
  <si>
    <t>Xu</t>
  </si>
  <si>
    <t>Don’t cram too much information on slides, and don’t use too many icons.</t>
  </si>
  <si>
    <t>Jessica</t>
  </si>
  <si>
    <t>Ma</t>
  </si>
  <si>
    <t>I learned that I have to find a company that is good in all aspects except their social media branding.</t>
  </si>
  <si>
    <t>Aidan</t>
  </si>
  <si>
    <t>Qi</t>
  </si>
  <si>
    <t>G107</t>
  </si>
  <si>
    <t>Saron</t>
  </si>
  <si>
    <t>Elaine and Evelyn</t>
  </si>
  <si>
    <t>JennaLy</t>
  </si>
  <si>
    <t>Fangonilo</t>
  </si>
  <si>
    <t>Lizzy</t>
  </si>
  <si>
    <t>IMCS</t>
  </si>
  <si>
    <t>John</t>
  </si>
  <si>
    <t xml:space="preserve">Kirchenbauer </t>
  </si>
  <si>
    <t>Melody</t>
  </si>
  <si>
    <t xml:space="preserve">Elaine, Evelyn </t>
  </si>
  <si>
    <t>Crystal</t>
  </si>
  <si>
    <t>Chen</t>
  </si>
  <si>
    <t>EIB</t>
  </si>
  <si>
    <t>Woobin</t>
  </si>
  <si>
    <t>Jang</t>
  </si>
  <si>
    <t>Lizzie Huang</t>
  </si>
  <si>
    <t>Elaine, evelyn</t>
  </si>
  <si>
    <t>Sidharth</t>
  </si>
  <si>
    <t>Swaminathan</t>
  </si>
  <si>
    <t xml:space="preserve">Joey </t>
  </si>
  <si>
    <t>Zhu</t>
  </si>
  <si>
    <t xml:space="preserve">Lizzie Huang </t>
  </si>
  <si>
    <t xml:space="preserve">Evelyn Elaine </t>
  </si>
  <si>
    <t>Neela</t>
  </si>
  <si>
    <t>Koneru</t>
  </si>
  <si>
    <t>Evelyn, Elaine</t>
  </si>
  <si>
    <t>EIP</t>
  </si>
  <si>
    <t>Hanna</t>
  </si>
  <si>
    <t>Handy</t>
  </si>
  <si>
    <t>Evelyn and Elaine</t>
  </si>
  <si>
    <t>Gabriele</t>
  </si>
  <si>
    <t>Lynch</t>
  </si>
  <si>
    <t>Lizzie</t>
  </si>
  <si>
    <t>Ava</t>
  </si>
  <si>
    <t>Shu</t>
  </si>
  <si>
    <t xml:space="preserve">hailey </t>
  </si>
  <si>
    <t>taylor</t>
  </si>
  <si>
    <t>elaine wang</t>
  </si>
  <si>
    <t>elaine and evelyn</t>
  </si>
  <si>
    <t>PMCG</t>
  </si>
  <si>
    <t>Aubrey</t>
  </si>
  <si>
    <t>Santos</t>
  </si>
  <si>
    <t>Ayden</t>
  </si>
  <si>
    <t>Elaine, Evelyn</t>
  </si>
  <si>
    <t>IBP</t>
  </si>
  <si>
    <t>Elaine</t>
  </si>
  <si>
    <t>Choi</t>
  </si>
  <si>
    <t>Isabella Yun</t>
  </si>
  <si>
    <t>IMCP</t>
  </si>
  <si>
    <t>Thatcher</t>
  </si>
  <si>
    <t>Kim</t>
  </si>
  <si>
    <t>Shalom</t>
  </si>
  <si>
    <t xml:space="preserve">Suvir </t>
  </si>
  <si>
    <t>Maniktala</t>
  </si>
  <si>
    <t>Braden</t>
  </si>
  <si>
    <t>Fong</t>
  </si>
  <si>
    <t xml:space="preserve">Melody </t>
  </si>
  <si>
    <t xml:space="preserve">Elaine and Evelin </t>
  </si>
  <si>
    <t>Maahir</t>
  </si>
  <si>
    <t>Satwani</t>
  </si>
  <si>
    <t>Milla</t>
  </si>
  <si>
    <t>Lim</t>
  </si>
  <si>
    <t>Ashley</t>
  </si>
  <si>
    <t>Lai</t>
  </si>
  <si>
    <t xml:space="preserve">Grace </t>
  </si>
  <si>
    <t>Frieder</t>
  </si>
  <si>
    <t>Nathan</t>
  </si>
  <si>
    <t>Riyana</t>
  </si>
  <si>
    <t xml:space="preserve">Baldua </t>
  </si>
  <si>
    <t xml:space="preserve">Elaine and Evebly </t>
  </si>
  <si>
    <t>Olivia</t>
  </si>
  <si>
    <t>Kang</t>
  </si>
  <si>
    <t>Hannah???</t>
  </si>
  <si>
    <t>Evelyn</t>
  </si>
  <si>
    <t>Sofia</t>
  </si>
  <si>
    <t>saron</t>
  </si>
  <si>
    <t>FCE</t>
  </si>
  <si>
    <t>Samuel</t>
  </si>
  <si>
    <t>Xiao</t>
  </si>
  <si>
    <t>ayden wang</t>
  </si>
  <si>
    <t>HTPS</t>
  </si>
  <si>
    <t>Amber</t>
  </si>
  <si>
    <t>Chang</t>
  </si>
  <si>
    <t>G105</t>
  </si>
  <si>
    <t>Give one example of a CSR intiative</t>
  </si>
  <si>
    <t>Julia</t>
  </si>
  <si>
    <t>Li</t>
  </si>
  <si>
    <t>Sustainable sourcing</t>
  </si>
  <si>
    <t>Litian</t>
  </si>
  <si>
    <t>Gu</t>
  </si>
  <si>
    <t>Evelyn Bai</t>
  </si>
  <si>
    <t>Community service</t>
  </si>
  <si>
    <t>James</t>
  </si>
  <si>
    <t>Yu</t>
  </si>
  <si>
    <t>ethical work place</t>
  </si>
  <si>
    <t>Ellie</t>
  </si>
  <si>
    <t>Mui</t>
  </si>
  <si>
    <t>Setting a minimum age requirement (no child labor!)</t>
  </si>
  <si>
    <t>Sophie</t>
  </si>
  <si>
    <t>Ji</t>
  </si>
  <si>
    <t>Donating to a non profit</t>
  </si>
  <si>
    <t>Shuhan</t>
  </si>
  <si>
    <t>Zhang</t>
  </si>
  <si>
    <t>Opportunity</t>
  </si>
  <si>
    <t>Dana</t>
  </si>
  <si>
    <t>Sun</t>
  </si>
  <si>
    <t>Being eco-friendly</t>
  </si>
  <si>
    <t>Purvi</t>
  </si>
  <si>
    <t>Muriki</t>
  </si>
  <si>
    <t>Ranjani</t>
  </si>
  <si>
    <t>strengths</t>
  </si>
  <si>
    <t>Benjamin</t>
  </si>
  <si>
    <t>Nie</t>
  </si>
  <si>
    <t>Vivian Zhang</t>
  </si>
  <si>
    <t>Saira</t>
  </si>
  <si>
    <t>Bhatia</t>
  </si>
  <si>
    <t xml:space="preserve">Community Engagement </t>
  </si>
  <si>
    <t>EFB</t>
  </si>
  <si>
    <t xml:space="preserve">Zihan </t>
  </si>
  <si>
    <t>Liu</t>
  </si>
  <si>
    <t>Om</t>
  </si>
  <si>
    <t xml:space="preserve">Rounding up a dollar and giving funds to local charities </t>
  </si>
  <si>
    <t>FOR</t>
  </si>
  <si>
    <t>Ivy</t>
  </si>
  <si>
    <t>Guo</t>
  </si>
  <si>
    <t>Mia tran</t>
  </si>
  <si>
    <t>Less child labor and repurposing.</t>
  </si>
  <si>
    <t>Isobel</t>
  </si>
  <si>
    <t>Kwong</t>
  </si>
  <si>
    <t>Making sure the idea is plausible/feasible</t>
  </si>
  <si>
    <t>Riya</t>
  </si>
  <si>
    <t>Khattri</t>
  </si>
  <si>
    <t xml:space="preserve">feasibility </t>
  </si>
  <si>
    <t>Chun Ka (Sophie)</t>
  </si>
  <si>
    <t xml:space="preserve">Mia Tran </t>
  </si>
  <si>
    <t>Fair wages and fair working hours</t>
  </si>
  <si>
    <t>Alyssa</t>
  </si>
  <si>
    <t>Ho</t>
  </si>
  <si>
    <t>Sustainable sourcing and affordable pricing and donation</t>
  </si>
  <si>
    <t>Hongyao</t>
  </si>
  <si>
    <t>Fan</t>
  </si>
  <si>
    <t>use renewable energy, sustainable sourcing, donations to charities, !@#$%^&amp;*...</t>
  </si>
  <si>
    <t xml:space="preserve">Shanzhi </t>
  </si>
  <si>
    <t>Weng</t>
  </si>
  <si>
    <t>G108</t>
  </si>
  <si>
    <t>SWOT</t>
  </si>
  <si>
    <t>Cha</t>
  </si>
  <si>
    <t xml:space="preserve">Sustainability Goals </t>
  </si>
  <si>
    <t>Brooke</t>
  </si>
  <si>
    <t>Harvey</t>
  </si>
  <si>
    <t>Competition</t>
  </si>
  <si>
    <t>Weichen</t>
  </si>
  <si>
    <t>Huang</t>
  </si>
  <si>
    <t xml:space="preserve">Ranjani </t>
  </si>
  <si>
    <t>Strengths</t>
  </si>
  <si>
    <t xml:space="preserve">Aaryan </t>
  </si>
  <si>
    <t>Shah</t>
  </si>
  <si>
    <t xml:space="preserve">Being environmentally friendly </t>
  </si>
  <si>
    <t>Connor</t>
  </si>
  <si>
    <t>Lam</t>
  </si>
  <si>
    <t>Sophia white</t>
  </si>
  <si>
    <t xml:space="preserve">Giving back to the community </t>
  </si>
  <si>
    <t>Audrey</t>
  </si>
  <si>
    <t>Sansone</t>
  </si>
  <si>
    <t>Donating to a nonprofit.</t>
  </si>
  <si>
    <t>Truong</t>
  </si>
  <si>
    <t>The competition that the idea’s market would have</t>
  </si>
  <si>
    <t>Saranya</t>
  </si>
  <si>
    <t>Malladi</t>
  </si>
  <si>
    <t xml:space="preserve">Employee wellness programs </t>
  </si>
  <si>
    <t>Aisha</t>
  </si>
  <si>
    <t>Chadha</t>
  </si>
  <si>
    <t>Strength</t>
  </si>
  <si>
    <t>Gordon</t>
  </si>
  <si>
    <t>Nicholas</t>
  </si>
  <si>
    <t xml:space="preserve">Donating to nonprofit </t>
  </si>
  <si>
    <t>Chaebin</t>
  </si>
  <si>
    <t>Use the SWAT method!</t>
  </si>
  <si>
    <t>hongbo.li@warriorlife.net</t>
  </si>
  <si>
    <t>Hong Bo</t>
  </si>
  <si>
    <t>THREATS!!</t>
  </si>
  <si>
    <t>Nishanth</t>
  </si>
  <si>
    <t>Duvedi</t>
  </si>
  <si>
    <t xml:space="preserve">SWOT analysis </t>
  </si>
  <si>
    <t>Yoon</t>
  </si>
  <si>
    <t>Koo</t>
  </si>
  <si>
    <t>Retail — give baked goods that remain to homeless</t>
  </si>
  <si>
    <t>Sam</t>
  </si>
  <si>
    <t>Zeidan</t>
  </si>
  <si>
    <t xml:space="preserve">Feasibility </t>
  </si>
  <si>
    <t>Bennett</t>
  </si>
  <si>
    <t>Qian</t>
  </si>
  <si>
    <t xml:space="preserve">Rochelle </t>
  </si>
  <si>
    <t xml:space="preserve">Opportunity </t>
  </si>
  <si>
    <t>Lee</t>
  </si>
  <si>
    <t>Strength, weakness, opportunity</t>
  </si>
  <si>
    <t>.kumar@warriorlife.net</t>
  </si>
  <si>
    <t>Kumar</t>
  </si>
  <si>
    <t>Carbon reduction</t>
  </si>
  <si>
    <t>Yiu</t>
  </si>
  <si>
    <t>Sarah suh</t>
  </si>
  <si>
    <t>Straying away from cheap unethical ways to make items.</t>
  </si>
  <si>
    <t>Mridini</t>
  </si>
  <si>
    <t>Parui</t>
  </si>
  <si>
    <t>Ruby</t>
  </si>
  <si>
    <t>One CSR initiative is sustainablity and cleanliness.</t>
  </si>
  <si>
    <t>Lucas</t>
  </si>
  <si>
    <t>The strengthe of the product or service to determine whether or not it has an advantage.</t>
  </si>
  <si>
    <t>Zeqi</t>
  </si>
  <si>
    <t>An</t>
  </si>
  <si>
    <t xml:space="preserve">Om </t>
  </si>
  <si>
    <t>Rounding up the dollar to serve as donation</t>
  </si>
  <si>
    <t>Ji Hoo</t>
  </si>
  <si>
    <t>The strength of the product or service and whether it has an advantage or not.</t>
  </si>
  <si>
    <t>Park</t>
  </si>
  <si>
    <t>Feasibility</t>
  </si>
  <si>
    <t>Micah</t>
  </si>
  <si>
    <t>Bass</t>
  </si>
  <si>
    <t>Quality of water</t>
  </si>
  <si>
    <t>Arushi</t>
  </si>
  <si>
    <t>Iyer</t>
  </si>
  <si>
    <t>Ranjini</t>
  </si>
  <si>
    <t xml:space="preserve">Making sure the idea is plausible </t>
  </si>
  <si>
    <t xml:space="preserve">nina </t>
  </si>
  <si>
    <t xml:space="preserve">ling </t>
  </si>
  <si>
    <t xml:space="preserve">aaron vu </t>
  </si>
  <si>
    <t xml:space="preserve">an example of csr is we could donate left over food at hotels to the poor so it is more sustainable. </t>
  </si>
  <si>
    <t>Caelin</t>
  </si>
  <si>
    <t>Hu</t>
  </si>
  <si>
    <t xml:space="preserve">Strength </t>
  </si>
  <si>
    <t>Isabella</t>
  </si>
  <si>
    <t>Su</t>
  </si>
  <si>
    <t>market fit</t>
  </si>
  <si>
    <t>William</t>
  </si>
  <si>
    <t>Qu</t>
  </si>
  <si>
    <t>Zero Hunger</t>
  </si>
  <si>
    <t>Myra</t>
  </si>
  <si>
    <t xml:space="preserve">SWOT method </t>
  </si>
  <si>
    <t>Barak</t>
  </si>
  <si>
    <t>Yang</t>
  </si>
  <si>
    <t>Zubin</t>
  </si>
  <si>
    <t>Lakhia</t>
  </si>
  <si>
    <t xml:space="preserve">Canva </t>
  </si>
  <si>
    <t>Donations and fundraisers to help the needy</t>
  </si>
  <si>
    <t>Wong</t>
  </si>
  <si>
    <t>Helping out community or increasing employee wages/quality of life</t>
  </si>
  <si>
    <t>Ethan</t>
  </si>
  <si>
    <t>Donating to less fortunate areas</t>
  </si>
  <si>
    <t>Ziqing</t>
  </si>
  <si>
    <t>An example of CSR initiative is making more renewable options to run a company like solar panels</t>
  </si>
  <si>
    <t>Jenny</t>
  </si>
  <si>
    <t>One example of a CSR initiative is implementing sustainability.</t>
  </si>
  <si>
    <t>Cat Tuong</t>
  </si>
  <si>
    <t>Nguyen</t>
  </si>
  <si>
    <t xml:space="preserve">Sourcing materials from sustainable and ethical practices </t>
  </si>
  <si>
    <t>RP ONLY</t>
  </si>
  <si>
    <t>Andrew</t>
  </si>
  <si>
    <t>Castaneda</t>
  </si>
  <si>
    <t>Sustainability Goals</t>
  </si>
  <si>
    <t>Kashvi</t>
  </si>
  <si>
    <t>Lath</t>
  </si>
  <si>
    <t>Sustainability - an example of a csr initiative</t>
  </si>
  <si>
    <t xml:space="preserve">Logan </t>
  </si>
  <si>
    <t xml:space="preserve">Gilbert </t>
  </si>
  <si>
    <t xml:space="preserve">Sophia White </t>
  </si>
  <si>
    <t>Giving back some off your profits to the community. I can be seen as reinvesting in the community.</t>
  </si>
  <si>
    <t>Teh</t>
  </si>
  <si>
    <t>chloe ding</t>
  </si>
  <si>
    <t>strength</t>
  </si>
  <si>
    <t>Tram Anh</t>
  </si>
  <si>
    <t>Huynh</t>
  </si>
  <si>
    <t>Funding a percentage of profits to a non profit/community initiative</t>
  </si>
  <si>
    <t>IMCE</t>
  </si>
  <si>
    <t xml:space="preserve">Lukshman </t>
  </si>
  <si>
    <t>Senthil</t>
  </si>
  <si>
    <t>Isabelle Yu</t>
  </si>
  <si>
    <t>Elize</t>
  </si>
  <si>
    <t>Kaldani</t>
  </si>
  <si>
    <t xml:space="preserve">Environmental impact </t>
  </si>
  <si>
    <t>Kinshuk</t>
  </si>
  <si>
    <t>Pandey</t>
  </si>
  <si>
    <t>Isabelle yU</t>
  </si>
  <si>
    <t>Strengths, weaknesses, opportunities, etc. (SWOT)</t>
  </si>
  <si>
    <t>Kevin</t>
  </si>
  <si>
    <t>Ou</t>
  </si>
  <si>
    <t>joshwyn</t>
  </si>
  <si>
    <t>hong</t>
  </si>
  <si>
    <t>isabelle yu</t>
  </si>
  <si>
    <t>Jordan</t>
  </si>
  <si>
    <t>Hannah li</t>
  </si>
  <si>
    <t xml:space="preserve">Feasibility  </t>
  </si>
  <si>
    <t>donating a share of profit to non-profit organizations such as healthcare to help and give back to the community.</t>
  </si>
  <si>
    <t>Purab</t>
  </si>
  <si>
    <t xml:space="preserve">Shah </t>
  </si>
  <si>
    <t>Feasability</t>
  </si>
  <si>
    <t>Saisha</t>
  </si>
  <si>
    <t>Vibhute</t>
  </si>
  <si>
    <t>Revathi Mallory</t>
  </si>
  <si>
    <t>Feasability.</t>
  </si>
  <si>
    <t>gordon</t>
  </si>
  <si>
    <t>lee</t>
  </si>
  <si>
    <t>demand</t>
  </si>
  <si>
    <t>Sradha</t>
  </si>
  <si>
    <t>Namala</t>
  </si>
  <si>
    <t>Health and Wellness</t>
  </si>
  <si>
    <t>Sonmachi</t>
  </si>
  <si>
    <t>Amobi</t>
  </si>
  <si>
    <t xml:space="preserve">SWOT analysis competition </t>
  </si>
  <si>
    <t>Yamilet</t>
  </si>
  <si>
    <t xml:space="preserve">Quintana </t>
  </si>
  <si>
    <t xml:space="preserve">Ruby Han </t>
  </si>
  <si>
    <t xml:space="preserve">Giving food to needy if you have leftover food in a hospital. </t>
  </si>
  <si>
    <t>Roger</t>
  </si>
  <si>
    <t>He</t>
  </si>
  <si>
    <t>Philina</t>
  </si>
  <si>
    <t xml:space="preserve">evelyn and elaine </t>
  </si>
  <si>
    <t>Geralyn</t>
  </si>
  <si>
    <t>Loo</t>
  </si>
  <si>
    <t xml:space="preserve">One CSR example is an effort to reduce food waste. </t>
  </si>
  <si>
    <t>Michael</t>
  </si>
  <si>
    <t>One of the key considerations when it comes to evaluating an idea is its competition. One of the things to consider when creating a business idea is knowing what already existing companies are similar, and how your idea can be set apart from them.</t>
  </si>
  <si>
    <t>Arthur</t>
  </si>
  <si>
    <t>Demand</t>
  </si>
  <si>
    <t>Daniel</t>
  </si>
  <si>
    <t>Dorn de Carvalho</t>
  </si>
  <si>
    <t>Natalie</t>
  </si>
  <si>
    <t>PMBS</t>
  </si>
  <si>
    <t>ethan.fu@warriorlife.net</t>
  </si>
  <si>
    <t>Fu</t>
  </si>
  <si>
    <t>donating to charity related to company</t>
  </si>
  <si>
    <t>Matthew</t>
  </si>
  <si>
    <t>Aryahi</t>
  </si>
  <si>
    <t>Sharma</t>
  </si>
  <si>
    <t>No child labor</t>
  </si>
  <si>
    <t>Yuet Tung Amanda</t>
  </si>
  <si>
    <t>Cung</t>
  </si>
  <si>
    <t xml:space="preserve">Grace Xu </t>
  </si>
  <si>
    <t>Franklin</t>
  </si>
  <si>
    <t>Dao</t>
  </si>
  <si>
    <t>Adithi</t>
  </si>
  <si>
    <t>Jha</t>
  </si>
  <si>
    <t xml:space="preserve">Implement higher price on large sodas to discourage diabetes </t>
  </si>
  <si>
    <t xml:space="preserve">Jocelyn </t>
  </si>
  <si>
    <t>Kwok</t>
  </si>
  <si>
    <t>Riday appannagari</t>
  </si>
  <si>
    <t xml:space="preserve">I learned about professional selling and how to brainstorm </t>
  </si>
  <si>
    <t>Zixuan</t>
  </si>
  <si>
    <t>We leanred SWOT</t>
  </si>
  <si>
    <t>kate</t>
  </si>
  <si>
    <t>borba</t>
  </si>
  <si>
    <t xml:space="preserve">donating to non profit organizations </t>
  </si>
  <si>
    <t>Improving customer support and environmental benefits or improving employee wages/quality of work</t>
  </si>
  <si>
    <t>Kalie</t>
  </si>
  <si>
    <t>Bach</t>
  </si>
  <si>
    <t>Demans</t>
  </si>
  <si>
    <t xml:space="preserve">Employee wellness benefits </t>
  </si>
  <si>
    <t xml:space="preserve">Varshini </t>
  </si>
  <si>
    <t xml:space="preserve">Subramanian </t>
  </si>
  <si>
    <t>Arnav</t>
  </si>
  <si>
    <t>Mani</t>
  </si>
  <si>
    <t>I learned more about my event and what I need to do for it.</t>
  </si>
  <si>
    <t>Isaac</t>
  </si>
  <si>
    <t>don’t use too much icon, how to make your canva look nice, and whiteboard brainstorming</t>
  </si>
  <si>
    <t>Forrest</t>
  </si>
  <si>
    <t xml:space="preserve">Sarah </t>
  </si>
  <si>
    <t>An example of a CSR initiative</t>
  </si>
  <si>
    <t>julia</t>
  </si>
  <si>
    <t>zhou</t>
  </si>
  <si>
    <t>My mentor is Nicholas Kiang</t>
  </si>
  <si>
    <t>opportunity</t>
  </si>
  <si>
    <t>Timothy</t>
  </si>
  <si>
    <t>Feng</t>
  </si>
  <si>
    <t>Make more stable material for cars</t>
  </si>
  <si>
    <t>Abby</t>
  </si>
  <si>
    <t>there was no wuestion</t>
  </si>
  <si>
    <t>Doan</t>
  </si>
  <si>
    <t>jayden peterson</t>
  </si>
  <si>
    <t>no question</t>
  </si>
  <si>
    <t xml:space="preserve">Aditya </t>
  </si>
  <si>
    <t xml:space="preserve">peanut butter </t>
  </si>
  <si>
    <t xml:space="preserve">Riday </t>
  </si>
  <si>
    <t>I dont know.</t>
  </si>
  <si>
    <t>Xiangting</t>
  </si>
  <si>
    <t>Ren</t>
  </si>
  <si>
    <t xml:space="preserve">No question </t>
  </si>
  <si>
    <t>No question</t>
  </si>
  <si>
    <t>Aidan wang 💅</t>
  </si>
  <si>
    <t xml:space="preserve">Ruhaan </t>
  </si>
  <si>
    <t xml:space="preserve">Parandekar </t>
  </si>
  <si>
    <t>Dogs</t>
  </si>
  <si>
    <t>advanced imcs</t>
  </si>
  <si>
    <t>I am doing PSE</t>
  </si>
  <si>
    <t>MICHAEL</t>
  </si>
  <si>
    <t>LOUIS</t>
  </si>
  <si>
    <t>42 but i got 42 goals</t>
  </si>
  <si>
    <t>Eila</t>
  </si>
  <si>
    <t>McGinley</t>
  </si>
  <si>
    <t>nicholas</t>
  </si>
  <si>
    <t>i learned that the food truck challenge has 3-4 members</t>
  </si>
  <si>
    <t>BE CONFIDENT during roleplays, act like you know what you’re talking about even if you don’t, you can still get points</t>
  </si>
  <si>
    <t>Arya</t>
  </si>
  <si>
    <t xml:space="preserve">I learned about how the vbc challenge works </t>
  </si>
  <si>
    <t>Peterson</t>
  </si>
  <si>
    <t>Kpi for ise</t>
  </si>
  <si>
    <t>We can do a corporate challenge</t>
  </si>
  <si>
    <t xml:space="preserve">That you can place with virtual challenges </t>
  </si>
  <si>
    <t>Zihan</t>
  </si>
  <si>
    <t>I learned some tips on how to take notes during the roleplay. (Grid format)</t>
  </si>
  <si>
    <t>Shanzhi</t>
  </si>
  <si>
    <t>I learned about the techniques to prepare for ISE roleplay and how to make good impressions to the judge.</t>
  </si>
  <si>
    <t>Chloe</t>
  </si>
  <si>
    <t>For ISE, you must do 2 roleplays.</t>
  </si>
  <si>
    <t>A n</t>
  </si>
  <si>
    <t>I learned about the role play techniques about EnT</t>
  </si>
  <si>
    <t>I learned the format of Individual Series Events and methods to try to succeed in roleplays.</t>
  </si>
  <si>
    <t>I can qualify for ICDC through vbc events such as the restaurant challenge.</t>
  </si>
  <si>
    <t>Karen</t>
  </si>
  <si>
    <t>Alicia</t>
  </si>
  <si>
    <t>Corporate Challenge</t>
  </si>
  <si>
    <t xml:space="preserve">Adithi </t>
  </si>
  <si>
    <t>Entrepreneurship VBC is the most popular</t>
  </si>
  <si>
    <t>Today, I learned that DECA corporate challenges are another way to compete and involve digital video submissions</t>
  </si>
  <si>
    <t>Niranjani</t>
  </si>
  <si>
    <t>I learned about online challenges</t>
  </si>
  <si>
    <t>Suvir</t>
  </si>
  <si>
    <t>look good for the judge, have warm hands for a good handshake, and chew gum ot altoids for better breath right before</t>
  </si>
  <si>
    <t>Product marketing</t>
  </si>
  <si>
    <t>10 mins total and 8 mins speak</t>
  </si>
  <si>
    <t xml:space="preserve">Lath </t>
  </si>
  <si>
    <t xml:space="preserve">The presentation is 10 minutes and you should speak for 8 and leave 2 for questions </t>
  </si>
  <si>
    <t xml:space="preserve">10 minutes </t>
  </si>
  <si>
    <t>10 minutes, speak for 8, 2 for visuals</t>
  </si>
  <si>
    <t>10 minutes total, 8 minute speak</t>
  </si>
  <si>
    <t>10 minute presentation. Speak for 8 min</t>
  </si>
  <si>
    <t xml:space="preserve">8 minutes to speak 10 minutes in total </t>
  </si>
  <si>
    <t>Sofa</t>
  </si>
  <si>
    <t>10 minutes</t>
  </si>
  <si>
    <t xml:space="preserve">Saron </t>
  </si>
  <si>
    <t>10 minutos</t>
  </si>
  <si>
    <t xml:space="preserve">Isabella Yun </t>
  </si>
  <si>
    <t xml:space="preserve">Kaldani </t>
  </si>
  <si>
    <t xml:space="preserve">The presentation is 10 minutes in total but you should aim to speak for 8 minutes. </t>
  </si>
  <si>
    <t>Saron or Hannah</t>
  </si>
  <si>
    <t>Speak for 8 visuals for 2</t>
  </si>
  <si>
    <t>10 minutes and speak for 8</t>
  </si>
  <si>
    <t>Shawn</t>
  </si>
  <si>
    <t>10 minutes to prepare, 10 minutes to speak</t>
  </si>
  <si>
    <t>Grace</t>
  </si>
  <si>
    <t>It’s 10 minutes but you should aim to speak for 8 minutes and 2 minutes for questions</t>
  </si>
  <si>
    <t xml:space="preserve">Lizzie </t>
  </si>
  <si>
    <t xml:space="preserve">20 min total 10 min speak </t>
  </si>
  <si>
    <t>Yunbo</t>
  </si>
  <si>
    <t>Shi</t>
  </si>
  <si>
    <t>10min, speak 8 min and left 2 for question</t>
  </si>
  <si>
    <t>10 minutes in total, speak for 8 mins and answer questions for 2</t>
  </si>
  <si>
    <t>Chun Ka</t>
  </si>
  <si>
    <t>10 minutes; you should aim to speak for 8 minutes to save 2 minutes for questions.</t>
  </si>
  <si>
    <t>10 and aim for 8</t>
  </si>
  <si>
    <t>Arissca</t>
  </si>
  <si>
    <t>8 mins of talking and 2 for questions</t>
  </si>
  <si>
    <t xml:space="preserve">Sophia white </t>
  </si>
  <si>
    <t xml:space="preserve">10 minutes, we should aim for 8 minutes </t>
  </si>
  <si>
    <t>Aaron</t>
  </si>
  <si>
    <t>10/8</t>
  </si>
  <si>
    <t>Logan</t>
  </si>
  <si>
    <t xml:space="preserve">Total presentation 10 minutes, aim for 8 min speaking. </t>
  </si>
  <si>
    <t>10 minutes total, speak for about 8 minutes.</t>
  </si>
  <si>
    <t>Lukshman</t>
  </si>
  <si>
    <t>Isabell Yu</t>
  </si>
  <si>
    <t>Aim for 8 minutes</t>
  </si>
  <si>
    <t>10 minutes, aim for 8 minutes</t>
  </si>
  <si>
    <t>10min you should aim to speak for 8 and leave 2min for question s</t>
  </si>
  <si>
    <t>20 min total, 10 min speaking</t>
  </si>
  <si>
    <t xml:space="preserve">Santos </t>
  </si>
  <si>
    <t>the presentation is 10 minuets. two minutes for visual aid and 8 for speaking</t>
  </si>
  <si>
    <t>8mins</t>
  </si>
  <si>
    <t>xiaoweng zheng</t>
  </si>
  <si>
    <t>10 minutes presentation 8 minute speech</t>
  </si>
  <si>
    <t>Sophie White</t>
  </si>
  <si>
    <t>Presentation is 10 minutes, aim for 8 minutes of speaking</t>
  </si>
  <si>
    <t>Presentation is 10 minutes— aim to speak for 8</t>
  </si>
  <si>
    <t xml:space="preserve">10 min- 2 min for visual, 8- min for presentations </t>
  </si>
  <si>
    <t>10 minutes presentation and 8 minute speech</t>
  </si>
  <si>
    <t>Revathi Mekoth</t>
  </si>
  <si>
    <t>10 minutes, aim for 8</t>
  </si>
  <si>
    <t xml:space="preserve">20 minutes and you should aim for 8 </t>
  </si>
  <si>
    <t>Presentation is ten minutes total, you speak for eight minutes and leave the last two for the judge’s questions.</t>
  </si>
  <si>
    <t>Presentation is 10 minutes in total, but you speak for 8minutes and the last 2 minutes is left for questions.</t>
  </si>
  <si>
    <t>Baldua</t>
  </si>
  <si>
    <t xml:space="preserve">Ayden Wang </t>
  </si>
  <si>
    <t xml:space="preserve">10 minutes prep 10 minutes present </t>
  </si>
  <si>
    <t xml:space="preserve">Emily tang </t>
  </si>
  <si>
    <t>20 minutes and you should speak for around 8 with 2 mins of questions</t>
  </si>
  <si>
    <t xml:space="preserve">10 minute presentation total; 8 min speech, 2 min responding to questions </t>
  </si>
  <si>
    <t>Yen-Nhi</t>
  </si>
  <si>
    <t>Presentation is 10 minutes, aim to speak for 8</t>
  </si>
  <si>
    <t xml:space="preserve">10 minutes long, aim to speak for 8 minutes. </t>
  </si>
  <si>
    <t>8min</t>
  </si>
  <si>
    <t>Ten minutes, speak for eight</t>
  </si>
  <si>
    <t>Neville</t>
  </si>
  <si>
    <t>Ng</t>
  </si>
  <si>
    <t>10 total, talk for 8, 2 for questions</t>
  </si>
  <si>
    <t xml:space="preserve">Arissa </t>
  </si>
  <si>
    <t xml:space="preserve">Total is 10 minutes, the recommendation is to speak for 8 and save 2 minutes for questions </t>
  </si>
  <si>
    <t xml:space="preserve">Nickolas </t>
  </si>
  <si>
    <t>8 minutes</t>
  </si>
  <si>
    <t>10 mins (total), 8 mins (presentation)</t>
  </si>
  <si>
    <t>Total is 10 minutes but aim to speak for 8 minutes.</t>
  </si>
  <si>
    <t xml:space="preserve">10 minutes; 8 minutes </t>
  </si>
  <si>
    <t>nina</t>
  </si>
  <si>
    <t>ling</t>
  </si>
  <si>
    <t>aaron vu</t>
  </si>
  <si>
    <t xml:space="preserve">it's ten minutes. speak for 8 minutes and 2 minutes for questions. </t>
  </si>
  <si>
    <t>presentation- 10 speak- 8</t>
  </si>
  <si>
    <t>The presentation is 10 minutes, but you speak for 8</t>
  </si>
  <si>
    <t>10 Minutes but aim for 8</t>
  </si>
  <si>
    <t>10 Minute in total, you should aim for 8 minutes.</t>
  </si>
  <si>
    <t xml:space="preserve">It should be 10 minutes, with 8 minutes of presenting and two minutes of questions for the judges. </t>
  </si>
  <si>
    <t>Deng</t>
  </si>
  <si>
    <t>you come first</t>
  </si>
  <si>
    <t xml:space="preserve">It should be 10 minutes long and you should aim for 8 minutes and leave 2 minutes for questions. </t>
  </si>
  <si>
    <t>10 min presentation, speak for 8 min</t>
  </si>
  <si>
    <t>10 minutes total. 8 minutes speech and 2 minutes for questions.</t>
  </si>
  <si>
    <t>Leggio</t>
  </si>
  <si>
    <t>Mia</t>
  </si>
  <si>
    <t>People wanna be healthy</t>
  </si>
  <si>
    <t>People want to be healthy</t>
  </si>
  <si>
    <t>Moyers</t>
  </si>
  <si>
    <t xml:space="preserve">people want to be healthy </t>
  </si>
  <si>
    <t>BUILD</t>
  </si>
  <si>
    <t>Kirchenbauer</t>
  </si>
  <si>
    <t>People want to be healthy!</t>
  </si>
  <si>
    <t>Bryant</t>
  </si>
  <si>
    <t xml:space="preserve"> 20 minutes and you should speak for 8 minutes</t>
  </si>
  <si>
    <t>Arrisa Cao</t>
  </si>
  <si>
    <t xml:space="preserve">10 minutes total and 8 to speak. </t>
  </si>
  <si>
    <t>Jocelyn</t>
  </si>
  <si>
    <t>UcomeFirst</t>
  </si>
  <si>
    <t>You come first</t>
  </si>
  <si>
    <t>10 minute presentation and 8 minute speech</t>
  </si>
  <si>
    <t>The presentation is 10 minutes; you should speak for about 7.</t>
  </si>
  <si>
    <t xml:space="preserve">10 mins total 8 mins speak </t>
  </si>
  <si>
    <t>10 min presentation and z8 min speech</t>
  </si>
  <si>
    <t>10 minute presentation 8 minute talk</t>
  </si>
  <si>
    <t>10 minutes but aim for 8</t>
  </si>
  <si>
    <t>Varshini</t>
  </si>
  <si>
    <t>Subramanian</t>
  </si>
  <si>
    <t xml:space="preserve">Rochelle Cao </t>
  </si>
  <si>
    <t>The presentation is 15 minutes long.</t>
  </si>
  <si>
    <t>10 mins and speak for 8</t>
  </si>
  <si>
    <t>Jonathan</t>
  </si>
  <si>
    <t>Cheng</t>
  </si>
  <si>
    <t>Bethany</t>
  </si>
  <si>
    <t>Dohn</t>
  </si>
  <si>
    <t xml:space="preserve">Sarah suh </t>
  </si>
  <si>
    <t xml:space="preserve">10minutes to present and speak for 10 minutes </t>
  </si>
  <si>
    <t>so like i couldnt find the question and i watched the whole vid...</t>
  </si>
  <si>
    <t>Say that again. Ball ball ballin</t>
  </si>
  <si>
    <t>Make a link for website</t>
  </si>
  <si>
    <t>Present projects to news letter companies, and build a own website.</t>
  </si>
  <si>
    <t xml:space="preserve">I looked at example slides on deca plus </t>
  </si>
  <si>
    <t>I read some of the articles in DECA+ about managing small business establishments.</t>
  </si>
  <si>
    <t>We started researching for our written.</t>
  </si>
  <si>
    <t xml:space="preserve">Arnav </t>
  </si>
  <si>
    <t>Maji</t>
  </si>
  <si>
    <t>I researched ways to make my idea into a website, and the company I am going to represent.</t>
  </si>
  <si>
    <t>Worked on my opportunity journal.</t>
  </si>
  <si>
    <t>executive summary</t>
  </si>
  <si>
    <t xml:space="preserve">I learned about what the importance of real media coverage </t>
  </si>
  <si>
    <t>I learned abt entrepreneurship</t>
  </si>
  <si>
    <t>I have completed the introduction for my written.</t>
  </si>
  <si>
    <t>Arkopriya</t>
  </si>
  <si>
    <t>Aich</t>
  </si>
  <si>
    <t>Different ways to do ur written</t>
  </si>
  <si>
    <t>I came up with an idea for my start up business.</t>
  </si>
  <si>
    <t>We came up with a feasible and scalable idea</t>
  </si>
  <si>
    <t>Emily tang</t>
  </si>
  <si>
    <t>I found influencers to suggest for my presentation.</t>
  </si>
  <si>
    <t>Worked on executive summary</t>
  </si>
  <si>
    <t>xiaowei zheng</t>
  </si>
  <si>
    <t>we’ve thought of an idea for what we want to do.</t>
  </si>
  <si>
    <t>We have an idea of what we want to do for efb</t>
  </si>
  <si>
    <t xml:space="preserve">I finished part of my presentation </t>
  </si>
  <si>
    <t>serviceable obtainable market</t>
  </si>
  <si>
    <t>Serviceable obtainable market</t>
  </si>
  <si>
    <t xml:space="preserve">Weichen </t>
  </si>
  <si>
    <t xml:space="preserve">Serviceable obtainable market </t>
  </si>
  <si>
    <t>Som stands for serviceable obtainable market</t>
  </si>
  <si>
    <t>serviceable attainable market</t>
  </si>
  <si>
    <t>Serviceable Attainable Market</t>
  </si>
  <si>
    <t xml:space="preserve">Sonmachi </t>
  </si>
  <si>
    <t xml:space="preserve">Kevin </t>
  </si>
  <si>
    <t>N/A</t>
  </si>
  <si>
    <t>serviceable obtainable marketing</t>
  </si>
  <si>
    <t>Jason</t>
  </si>
  <si>
    <t>Tang</t>
  </si>
  <si>
    <t>Serviceable Obtainable Market</t>
  </si>
  <si>
    <t xml:space="preserve">ranjani </t>
  </si>
  <si>
    <t>Servicable Obtainable Market</t>
  </si>
  <si>
    <t xml:space="preserve">serviceable obtainable market </t>
  </si>
  <si>
    <t>Service Table Marketing</t>
  </si>
  <si>
    <t>Serviceable obtainable marketing</t>
  </si>
  <si>
    <t>Secondary of maket</t>
  </si>
  <si>
    <t>Paul</t>
  </si>
  <si>
    <t>start up oporation manual</t>
  </si>
  <si>
    <t xml:space="preserve">primary and secondary </t>
  </si>
  <si>
    <t>primary secondary</t>
  </si>
  <si>
    <t xml:space="preserve">Serviceable Obtainable Market </t>
  </si>
  <si>
    <t>I just drew a lot of frogs</t>
  </si>
  <si>
    <t>aubrey</t>
  </si>
  <si>
    <t>santos</t>
  </si>
  <si>
    <t>I chose a chipotle because i would make a student discount for back to school</t>
  </si>
  <si>
    <t>riyana</t>
  </si>
  <si>
    <t>baldua</t>
  </si>
  <si>
    <t xml:space="preserve">ayden wang </t>
  </si>
  <si>
    <t>chipotle and create discounts for back to school</t>
  </si>
  <si>
    <t xml:space="preserve"> We are improving the brand Oatly which is a milk brand which specializes in making oat milk for lactose intolerant individuals. We plan on launching a campaign which will introduce a new line of special drinks specifically catered to people with lactose intolerance.</t>
  </si>
  <si>
    <t>Yicheng (kissa)</t>
  </si>
  <si>
    <t>hsieh</t>
  </si>
  <si>
    <t>servicable obtainable marketing</t>
  </si>
  <si>
    <t>Abigail Yu</t>
  </si>
  <si>
    <t xml:space="preserve">My campaign idea is called “Life Without Needles”, and it will run from September to February, coinciding with National Diabetes Awareness Month in November. The campaign will showcase Abbott’s non-invasive glucose-sensing skin patch and the automatic insulin micro-dispenser wristband, both of which emphasize a lifestyle free of painful finger-pricks and manual injections. </t>
  </si>
  <si>
    <t>Kate</t>
  </si>
  <si>
    <t>Borba</t>
  </si>
  <si>
    <t>we are improving a coffee shop, through social media marketing. We are also helping their marketing website and customer experience in the store.</t>
  </si>
  <si>
    <t xml:space="preserve">Arencia is a gentle face cleanser that is made up of authentic and natural ingredients. I </t>
  </si>
  <si>
    <t>A nonprofit walking event to build friendships, foster community, and raise money for intellectual and development disabilities. Best Buddies Friendship Walk</t>
  </si>
  <si>
    <t>To learn about vbc and descriptive of ur prod</t>
  </si>
  <si>
    <t>lizzie Huang</t>
  </si>
  <si>
    <t>Squid industries sells balisongs.</t>
  </si>
  <si>
    <t>Anime Expo is a convention for anime, manga, and video game fans.</t>
  </si>
  <si>
    <t xml:space="preserve">Tesla </t>
  </si>
  <si>
    <t>Elaine wang</t>
  </si>
  <si>
    <t>We are impriivng a coffee shop (Great Big Bear) through social media marketing. We are also helping their already existing website and customer experience in the shop.</t>
  </si>
  <si>
    <t>Primary and Secondary Research</t>
  </si>
  <si>
    <t>Quick 2-3 sentences marketing your product (arencia)</t>
  </si>
  <si>
    <t>IMCS, Youth on Course, non profit you pay and for the year you can play any course that is YOC member. You can play for 5 dollars</t>
  </si>
  <si>
    <t>Saron Amdeberham</t>
  </si>
  <si>
    <t>Our product is going to be a running shoe or a health tracker watch built for athletes suffering with health issues that impair their ability to run or walk. We also plan on making it available for those in poverty and suffering from homelessness.</t>
  </si>
  <si>
    <t xml:space="preserve">Shalom </t>
  </si>
  <si>
    <t>My campaign idea will run from February until March, just in time for a Spring Sale, and will focus on the pros of owning your software purchases.</t>
  </si>
  <si>
    <t>Saron Amderberhan</t>
  </si>
  <si>
    <t xml:space="preserve">planning our product and watching the vbc presentation </t>
  </si>
  <si>
    <t>my partner and I are deciding on hawaiian airlines, waymo or panda express for IMCS</t>
  </si>
  <si>
    <t>eila</t>
  </si>
  <si>
    <t>primary and secondary</t>
  </si>
  <si>
    <t>Servicable obtainable market</t>
  </si>
  <si>
    <t xml:space="preserve">Primary secondary </t>
  </si>
  <si>
    <t xml:space="preserve">Primary and secondary </t>
  </si>
  <si>
    <t>Primary and Secondary</t>
  </si>
  <si>
    <t>Sophia</t>
  </si>
  <si>
    <t>Grabinger</t>
  </si>
  <si>
    <t>primary research and secondary research</t>
  </si>
  <si>
    <t xml:space="preserve">Mridini </t>
  </si>
  <si>
    <t xml:space="preserve">jayden peterson </t>
  </si>
  <si>
    <t>did 5 pages of my written</t>
  </si>
  <si>
    <t>Findings, Conclusion</t>
  </si>
  <si>
    <t>Findings and conclusions</t>
  </si>
  <si>
    <t xml:space="preserve">Quantitative and qualitative </t>
  </si>
  <si>
    <t xml:space="preserve">Primary and Secondary Research </t>
  </si>
  <si>
    <t>Primary and secondary.</t>
  </si>
  <si>
    <t>Dorn</t>
  </si>
  <si>
    <t xml:space="preserve">Natalie </t>
  </si>
  <si>
    <t>AN</t>
  </si>
  <si>
    <t>Primary and Second Research</t>
  </si>
  <si>
    <t>Saniya</t>
  </si>
  <si>
    <t>Islam</t>
  </si>
  <si>
    <t>Primary and secondary</t>
  </si>
  <si>
    <t xml:space="preserve">Nicholas </t>
  </si>
  <si>
    <t>natalie</t>
  </si>
  <si>
    <t>Primary and secondary research</t>
  </si>
  <si>
    <t xml:space="preserve">Gandhi </t>
  </si>
  <si>
    <t xml:space="preserve">rochelle </t>
  </si>
  <si>
    <t>Primary and secondary data</t>
  </si>
  <si>
    <t>Larh</t>
  </si>
  <si>
    <t>The two sub sections is primary and secondary.</t>
  </si>
  <si>
    <t>Chun ka</t>
  </si>
  <si>
    <t>Alicia tang</t>
  </si>
  <si>
    <t>Primary and secondsry</t>
  </si>
  <si>
    <t xml:space="preserve">Connor </t>
  </si>
  <si>
    <t>secondary and primary</t>
  </si>
  <si>
    <t xml:space="preserve">Hannah </t>
  </si>
  <si>
    <t xml:space="preserve">Primary research and secondary research </t>
  </si>
  <si>
    <t>Jaylyn</t>
  </si>
  <si>
    <t>Chong</t>
  </si>
  <si>
    <t>Nick</t>
  </si>
  <si>
    <t xml:space="preserve">Primary and Secondary </t>
  </si>
  <si>
    <t xml:space="preserve">Materials and procedures </t>
  </si>
  <si>
    <t xml:space="preserve">Primary, secondary </t>
  </si>
  <si>
    <t xml:space="preserve">Description and rationale of research methodologies selected to conduct the research study and process used to conduct the selected research methods. </t>
  </si>
  <si>
    <t>Description and rational of read each methodology selected to conduct the research studies, process used to conduct selective research methods</t>
  </si>
  <si>
    <t>Srinivasan</t>
  </si>
  <si>
    <t>Satagopan</t>
  </si>
  <si>
    <t>Description and rationale of research methodologies selected to conduct the research study. Process used to conduct a selected research method.</t>
  </si>
  <si>
    <t>jesus loves you</t>
  </si>
  <si>
    <t>li</t>
  </si>
  <si>
    <t>Materials and precision</t>
  </si>
  <si>
    <t>jaden.park@warriorlife.net</t>
  </si>
  <si>
    <t xml:space="preserve">Jaden </t>
  </si>
  <si>
    <t xml:space="preserve">Park </t>
  </si>
  <si>
    <t xml:space="preserve">Primary and Secondary or Qualitative and Quantitative </t>
  </si>
  <si>
    <t>IMPC</t>
  </si>
  <si>
    <t>serviable obtainable market</t>
  </si>
  <si>
    <t>We have an idea of what we are going to do</t>
  </si>
  <si>
    <t xml:space="preserve">Bethany </t>
  </si>
  <si>
    <t xml:space="preserve">Serviceable obtainable market  </t>
  </si>
  <si>
    <t>I worked on my pitch deck</t>
  </si>
  <si>
    <t>I learned about the importance of brochures</t>
  </si>
  <si>
    <t>Tiffany</t>
  </si>
  <si>
    <t>I worked on my CSR solution</t>
  </si>
  <si>
    <t>Ruhaan</t>
  </si>
  <si>
    <t>Parandekar</t>
  </si>
  <si>
    <t xml:space="preserve">Suneri </t>
  </si>
  <si>
    <t>I asked about some issues I had about the pse prompt and got suggestions.</t>
  </si>
  <si>
    <t xml:space="preserve">Listen to nick talk </t>
  </si>
  <si>
    <t>Caiden</t>
  </si>
  <si>
    <t>Kuo</t>
  </si>
  <si>
    <t>I wrote a supplemental essay</t>
  </si>
  <si>
    <t>I completed my math homework</t>
  </si>
  <si>
    <t>I did math homework</t>
  </si>
  <si>
    <t>I discussed CSR solutions with my partner</t>
  </si>
  <si>
    <t>Preston</t>
  </si>
  <si>
    <t>Kyle</t>
  </si>
  <si>
    <t xml:space="preserve">We decided on our company. </t>
  </si>
  <si>
    <t>Romir</t>
  </si>
  <si>
    <t>Bhatt</t>
  </si>
  <si>
    <t xml:space="preserve">We picked out our company and began researching ways we can leverage a CSR strategy. </t>
  </si>
  <si>
    <t>Philina chan</t>
  </si>
  <si>
    <t>Researched for my written</t>
  </si>
  <si>
    <t>Yicheng</t>
  </si>
  <si>
    <t>Grace xu</t>
  </si>
  <si>
    <t>Chem exam</t>
  </si>
  <si>
    <t>I started my Deca written and I worked on the executive summary.</t>
  </si>
  <si>
    <t>Vcb people gatekeep tips</t>
  </si>
  <si>
    <t xml:space="preserve">Decided on a company and started formatting the presentation </t>
  </si>
  <si>
    <t>My brainstorming is mostly done and I got a good outline of how I’m going to present to the judge.</t>
  </si>
  <si>
    <t>Found what billboards to put in vbc</t>
  </si>
  <si>
    <t xml:space="preserve">Progressed vbc </t>
  </si>
  <si>
    <t xml:space="preserve">Audrey </t>
  </si>
  <si>
    <t xml:space="preserve">I completed the tutorial for the VBC. </t>
  </si>
  <si>
    <t>I bought some stocks for SMG.</t>
  </si>
  <si>
    <t>studied KPIS</t>
  </si>
  <si>
    <t>I have completed studying my TTDM KPIs</t>
  </si>
  <si>
    <t xml:space="preserve">Ppl usually keep tips to their own so there’s limited resources online </t>
  </si>
  <si>
    <t>VBC</t>
  </si>
  <si>
    <t>I about learned the max amount of business I can have</t>
  </si>
  <si>
    <t>I learned all about how to set up my VBC</t>
  </si>
  <si>
    <t>tan</t>
  </si>
  <si>
    <t>To use the name John when applying for a job. (VBC PF)</t>
  </si>
  <si>
    <t>math homework</t>
  </si>
  <si>
    <t>I have completed the draft and research for my written.</t>
  </si>
  <si>
    <t>The two main distribution channels are direct and indirect.</t>
  </si>
  <si>
    <t xml:space="preserve">distribution: direct and indirect </t>
  </si>
  <si>
    <t xml:space="preserve">Direct and indirect </t>
  </si>
  <si>
    <t xml:space="preserve">Direct and inderect </t>
  </si>
  <si>
    <t>P2P, P2B</t>
  </si>
  <si>
    <t>Promotional and channel</t>
  </si>
  <si>
    <t>Direct and indirect</t>
  </si>
  <si>
    <t>direct and indirect</t>
  </si>
  <si>
    <t>Advertisement, Distribution.</t>
  </si>
  <si>
    <t xml:space="preserve">Isabella </t>
  </si>
  <si>
    <t>Direct and indirect channels</t>
  </si>
  <si>
    <t>Indirect and Direct</t>
  </si>
  <si>
    <t>Xiaowei Zhang (Vivian)</t>
  </si>
  <si>
    <t xml:space="preserve">direct and indirect </t>
  </si>
  <si>
    <t>indirect and direct</t>
  </si>
  <si>
    <t xml:space="preserve">Direct and Indirect </t>
  </si>
  <si>
    <t>Indirect is in store while direct is on the website</t>
  </si>
  <si>
    <t xml:space="preserve">Serviceable Obtainable Marketing </t>
  </si>
  <si>
    <t>Indirect and direct</t>
  </si>
  <si>
    <t>YiCheng (Kissa)</t>
  </si>
  <si>
    <t>Hsieh</t>
  </si>
  <si>
    <t>Advertising and distrubution</t>
  </si>
  <si>
    <t xml:space="preserve">Isabelle Yu </t>
  </si>
  <si>
    <t>Advertising to businesses and advertising to customers</t>
  </si>
  <si>
    <t>isabella yu</t>
  </si>
  <si>
    <t>business to business, business to customer</t>
  </si>
  <si>
    <t>B2B or B2B</t>
  </si>
  <si>
    <t xml:space="preserve">Direct or indirect </t>
  </si>
  <si>
    <t>Description and rationale of research methodologies selected to conduct the research study. Process used to conduct the selected research methods</t>
  </si>
  <si>
    <t>riday</t>
  </si>
  <si>
    <t>67 idk</t>
  </si>
  <si>
    <t xml:space="preserve">Daniel </t>
  </si>
  <si>
    <t xml:space="preserve">Dorn </t>
  </si>
  <si>
    <t>Nathalie Zhang</t>
  </si>
  <si>
    <t>Direct and Inderect</t>
  </si>
  <si>
    <t>Using acronyms</t>
  </si>
  <si>
    <t>acronyms</t>
  </si>
  <si>
    <t xml:space="preserve">Be creative and apply it to your personal plan </t>
  </si>
  <si>
    <t>Aaron vu</t>
  </si>
  <si>
    <t xml:space="preserve">Use acronyms </t>
  </si>
  <si>
    <t xml:space="preserve">nicholas </t>
  </si>
  <si>
    <t>be niche and make it creative and innovative</t>
  </si>
  <si>
    <t xml:space="preserve">Leggio </t>
  </si>
  <si>
    <t xml:space="preserve">Make it creative and innovative </t>
  </si>
  <si>
    <t>Have it be unique and acronyms</t>
  </si>
  <si>
    <t>Acronym</t>
  </si>
  <si>
    <t xml:space="preserve">eila </t>
  </si>
  <si>
    <t xml:space="preserve">make it creative and use charts </t>
  </si>
  <si>
    <t xml:space="preserve">Laminate pages for judges </t>
  </si>
  <si>
    <t xml:space="preserve">Use acronyms, add risk mitigations. </t>
  </si>
  <si>
    <t xml:space="preserve">Acronyms </t>
  </si>
  <si>
    <t xml:space="preserve">Acronym </t>
  </si>
  <si>
    <t>Use Acronymssssssss</t>
  </si>
  <si>
    <t>Visuals</t>
  </si>
  <si>
    <t>To be creative</t>
  </si>
  <si>
    <t>Acronyms that relate to your business and location.</t>
  </si>
  <si>
    <t>cha</t>
  </si>
  <si>
    <t>Make acronym</t>
  </si>
  <si>
    <t>Make an acronym</t>
  </si>
  <si>
    <t>Laminated paper</t>
  </si>
  <si>
    <t>Allisia</t>
  </si>
  <si>
    <t>Implement a acronym</t>
  </si>
  <si>
    <t>Include acronyms that relate to your business.</t>
  </si>
  <si>
    <t>Colorful designs and acronyms</t>
  </si>
  <si>
    <t xml:space="preserve">Make an acronym </t>
  </si>
  <si>
    <t xml:space="preserve">Arthur </t>
  </si>
  <si>
    <t>We can compare and get solutions from other companies</t>
  </si>
  <si>
    <t>Make an acronym relevant to theme</t>
  </si>
  <si>
    <t xml:space="preserve">Make it creative </t>
  </si>
  <si>
    <t>We can use acronyms to make our goal more memorable.</t>
  </si>
  <si>
    <t>malladi</t>
  </si>
  <si>
    <t>Making an acronym can help your written stand out and can make you memorable.</t>
  </si>
  <si>
    <t>Implement creative and unique ideas that or one that has a high success rate backed by research</t>
  </si>
  <si>
    <t>Making an acronym helps make the written memorable</t>
  </si>
  <si>
    <t xml:space="preserve">Ellie </t>
  </si>
  <si>
    <t>Get a solution from other companies and implement to yours (if research is good)</t>
  </si>
  <si>
    <t xml:space="preserve">Timothy </t>
  </si>
  <si>
    <t xml:space="preserve">Make your plan unique </t>
  </si>
  <si>
    <t>Melody L</t>
  </si>
  <si>
    <t>use acronyms</t>
  </si>
  <si>
    <t xml:space="preserve">Use creative acronyms to be rememberable to judges  </t>
  </si>
  <si>
    <t xml:space="preserve">acronyms </t>
  </si>
  <si>
    <t xml:space="preserve">To make it unique </t>
  </si>
  <si>
    <t>Acronyms that match your written</t>
  </si>
  <si>
    <t>Le</t>
  </si>
  <si>
    <t>Make it creative</t>
  </si>
  <si>
    <t>Make it visually appealing</t>
  </si>
  <si>
    <t xml:space="preserve">Make a proper timeline in 1-5 years. </t>
  </si>
  <si>
    <t>We accomplished our Outline</t>
  </si>
  <si>
    <t>I started my pitch deck</t>
  </si>
  <si>
    <t>Outline and presentation design</t>
  </si>
  <si>
    <t>We got a lot of work done and are basically done with what we are submitting for mock conference, we just need to finalize our campaign activities and schedule.</t>
  </si>
  <si>
    <t>I planned out my first 10 slides</t>
  </si>
  <si>
    <t xml:space="preserve">Summary, swat, description </t>
  </si>
  <si>
    <t>Started campaign overview 🫣😬</t>
  </si>
  <si>
    <t>I did 1 campaign activity today.</t>
  </si>
  <si>
    <t>today i did my acronym for my activities !</t>
  </si>
  <si>
    <t xml:space="preserve">Olivia </t>
  </si>
  <si>
    <t xml:space="preserve">Philina </t>
  </si>
  <si>
    <t>I made a general idea of my campaign events</t>
  </si>
  <si>
    <t>Charlotte</t>
  </si>
  <si>
    <t>Finsihed table of contents and 1/2 of executive summary.</t>
  </si>
  <si>
    <t>table of contents and 1/2 of the executive summary</t>
  </si>
  <si>
    <t>We finalized our idea and started working on the canva and made so much progress.</t>
  </si>
  <si>
    <t xml:space="preserve">We worked on formatting our pitch deck </t>
  </si>
  <si>
    <t xml:space="preserve">Nathan </t>
  </si>
  <si>
    <t xml:space="preserve">Melody Leong </t>
  </si>
  <si>
    <t>We finalized the written</t>
  </si>
  <si>
    <t>We filled out a campaign activity</t>
  </si>
  <si>
    <t>for my activity i just worked on goals for my project</t>
  </si>
  <si>
    <t>Arko</t>
  </si>
  <si>
    <t>Creativity</t>
  </si>
  <si>
    <t>I completed a large part of my written.</t>
  </si>
  <si>
    <t xml:space="preserve">I noted some UVP factors I could potentially incorporate to my roleplay (not doing a written) </t>
  </si>
  <si>
    <t xml:space="preserve">I learned about UVP and applied the different way of thinking about products to my written, thinking outside of just the product but also things like vertical integration </t>
  </si>
  <si>
    <t>the room is 129 and there is no question</t>
  </si>
  <si>
    <t xml:space="preserve">Ji Hoo </t>
  </si>
  <si>
    <t>started my written</t>
  </si>
  <si>
    <t>emily tang</t>
  </si>
  <si>
    <t>i figured out my geographic expanison plan</t>
  </si>
  <si>
    <t>Do not include competitors in uvp</t>
  </si>
  <si>
    <t>I have most my info down.</t>
  </si>
  <si>
    <t>UVP is different from competitive advantage.</t>
  </si>
  <si>
    <t>the room is still 129, the noteworthy thing I done is I finished 1/3 of written in a week</t>
  </si>
  <si>
    <t>samuel</t>
  </si>
  <si>
    <t>title page</t>
  </si>
  <si>
    <t>I finished mt executive summary.</t>
  </si>
  <si>
    <t>imc workshop</t>
  </si>
  <si>
    <t>Finished my first page</t>
  </si>
  <si>
    <t>Finished a page of written.</t>
  </si>
  <si>
    <t>Finished Written summary and ran vbc sim.</t>
  </si>
  <si>
    <t>Revathu</t>
  </si>
  <si>
    <t xml:space="preserve">what are kpi and 2 specific kpis to at we did a project on hr management and finicl analysis </t>
  </si>
  <si>
    <t xml:space="preserve">The importance of kpis and how they help and also the importance of things like emotional intelligence </t>
  </si>
  <si>
    <t>there was no qurstion</t>
  </si>
  <si>
    <t>Nangare</t>
  </si>
  <si>
    <t xml:space="preserve">No questions today </t>
  </si>
  <si>
    <t>Tort: A civil wrong (not a crime) that causes harm or loss to another person or business The injured party (the plaintiff) can sue the wrongdoer (the defendant) for damages (money). ex. A customer sues a company for slipping on a wet floor with no warning sign</t>
  </si>
  <si>
    <t>Marketing and Information Management</t>
  </si>
  <si>
    <t xml:space="preserve">I learned about Business Law and communication </t>
  </si>
  <si>
    <t>Arissa</t>
  </si>
  <si>
    <t>Economics and customer relations</t>
  </si>
  <si>
    <t>Financial analysis, hr management</t>
  </si>
  <si>
    <t>ZaYD</t>
  </si>
  <si>
    <t>BASHADI</t>
  </si>
  <si>
    <t>NATALIE</t>
  </si>
  <si>
    <t>OPERATIONS AND PEODUCT MANAGEMENT</t>
  </si>
  <si>
    <t xml:space="preserve">business law and communication sjills </t>
  </si>
  <si>
    <t>Business law and communications</t>
  </si>
  <si>
    <t xml:space="preserve">Business law and communication skills </t>
  </si>
  <si>
    <t>Identify the basic torts relating to business enterprises (BL:069) (SP)  Tort: A civil wrong (not a crime) that causes harm or loss to another person or business The injured party (the plaintiff) can sue the wrongdoer (the defendant) for damages (money). ex. A customer sues a company for slipping on a wet floor with no warning sign</t>
  </si>
  <si>
    <t>I learned about marketing details and things information management needs</t>
  </si>
  <si>
    <t>vivian zheng</t>
  </si>
  <si>
    <t xml:space="preserve">Jayden Peterson </t>
  </si>
  <si>
    <t>Economic customer relations, entrepreneurship through metaphors</t>
  </si>
  <si>
    <t>* Tort: A civil wrong (not a crime) that causes harm or loss to another person or business     * The injured party (the plaintiff) can sue the wrongdoer (the defendant) for damages (money).     * ex. A customer sues a company for slipping on a wet floor with no warning sign</t>
  </si>
  <si>
    <t>Lincopn</t>
  </si>
  <si>
    <t>    •    Tort: A civil wrong (not a crime) that causes harm or loss to another person or business     ◦    The injured party (the plaintiff) can sue the wrongdoer (the defendant) for damages (money).     ◦    ex. A customer sues a company for slipping on a wet floor with no warning sign</t>
  </si>
  <si>
    <t xml:space="preserve">We learned about customer relations and its importance </t>
  </si>
  <si>
    <t>i learned how financial analysis and HR management work together and their meanings.</t>
  </si>
  <si>
    <t>elaine</t>
  </si>
  <si>
    <t xml:space="preserve">choi </t>
  </si>
  <si>
    <t>Entrepreneurship and emotional intelligence</t>
  </si>
  <si>
    <t>Probably how to make a good photo</t>
  </si>
  <si>
    <t>Negligence: Failure to exercise reasonable care, resulting in harm ex. A restaurant fails to clean up a spill → customer slips and breaks a leg.</t>
  </si>
  <si>
    <t>- Customer relations And how to integrate entrepreneurship PIs into your Roleplay</t>
  </si>
  <si>
    <t>Ms. Mia Tran</t>
  </si>
  <si>
    <t>Professional Development also includes personal life; Usage of AI could potentially be a good idea to use technology in companies :(</t>
  </si>
  <si>
    <t>    •    Tort: A civil wrong (not a crime) that causes harm or loss to another person or business     ◦    The injured party (the plaintiff) can sue the wrongdoer (the defendant) for damages (money).     ◦    ex. A customer sues a company for slipping on a wet floor with no warning sign     •    Types of Business Torts:     •    Negligence: Failure to exercise reasonable care, resulting in harm     ◦    ex. A restaurant fails to clean up a spill → customer slips and breaks a leg.     ◦    Prevention: Proper safety procedures, employee training, insurance     •    Fraud: Intentionally deceiving someone to gain money or advantage.     ◦    ex. A business lies about product features in ads or hides defects to sell more.     ◦    Legal result: Victim can sue for losses; company may face fines.     •    Defamation: False statements that harm a person’s or company’s reputation.     ◦    Libel = written defamation (ex. online post).     ◦    Slander = spoken defamation.     ◦    ex. A competitor spreads lies that your product causes illness.     •    Invasion of Privacy: Interfering with someone’s right to be left alone or revealing private info.     ◦    ex. A company posts a customer’s personal data or photos without consent.     •    Product Liability: Selling defective or unsafe products that cause harm.     ◦    ex. Exploding battery → lawsuit for negligence + design defect.     •    Trespass / Nuisance: Interfering with property rights or peaceful use.     ◦    ex. Factory pollution affecting nearby businesses.     •    Interference with Contractual Relations: Persuading someone to break a valid contract.     ◦    ex. Convincing a supplier to cancel a deal with a rival company.     •    Creativity:      ◦    Toolbox analogy - each tort is a tool  that can cause harm if misused:     ▪    Negligence = rusty wrench (carelessness)     ▪    Fraud = fake tool (deception)     ▪    Defamation = hammer (damaging reputation)     ◦    Draw symbols for each tort (eg. torn contract = interference, caution wet floor sign = negligence, newspaper headline = defamation)</t>
  </si>
  <si>
    <t xml:space="preserve">Emotional intelligence is important  when being an entrepreneur  and   financial management is also important </t>
  </si>
  <si>
    <t xml:space="preserve">Evelyn bai </t>
  </si>
  <si>
    <t>Letter vs Spirit of the Law Letter: Literal wording Sprit of the Law: The law’s intent Example: company using tax loopholes to avoid paying fair taxes is legal in wording but violating the spirit Ethical compliance = following both letter + spirit</t>
  </si>
  <si>
    <t>I learned about emotional intelligence and how you need it to be a good entrepreneur.</t>
  </si>
  <si>
    <t>Identify the basic torts relating to business enterprises (BL:069) (SP)  Tort: A civil wrong (not a crime) that causes harm or loss to another person or business The injured party (the plaintiff) can sue the wrongdoer (the defendant) for damages (money). ex. A customer sues a company for slipping on a wet floor with no warning sign Types of Business Torts: Negligence: Failure to exercise reasonable care, resulting in harm ex. A restaurant fails to clean up a spill → customer slips and breaks a leg. Prevention: Proper safety procedures, employee training, insurance Fraud: Intentionally deceiving someone to gain money or advantage. ex. A business lies about product features in ads or hides defects to sell more. Legal result: Victim can sue for losses; company may face fines. Defamation: False statements that harm a person’s or company’s reputation. Libel = written defamation (ex. online post). Slander = spoken defamation. ex. A competitor spreads lies that your product causes illness. Invasion of Privacy: Interfering with someone’s right to be left alone or revealing private info. ex. A company posts a customer’s personal data or photos without consent. Product Liability: Selling defective or unsafe products that cause harm. ex. Exploding battery → lawsuit for negligence + design defect. Trespass / Nuisance: Interfering with property rights or peaceful use. ex. Factory pollution affecting nearby businesses. Interference with Contractual Relations: Persuading someone to break a valid contract. ex. Convincing a supplier to cancel a deal with a rival company. Creativity:  Toolbox analogy - each tort is a tool  that can cause harm if misused: Negligence = rusty wrench (carelessness) Fraud = fake tool (deception) Defamation = hammer (damaging reputation) Draw symbols for each tort (eg. torn contract = interference, caution wet floor sign = negligence, newspaper headline = defamatio Identify the basic torts relating to business enterprises (BL:069) (SP)  Tort: A civil wrong (not a crime) that causes harm or loss to another person or business The injured party (the plaintiff) can sue the wrongdoer (the defendant) for damages (money). ex. A customer sues a company for slipping on a wet floor with no warning sign Types of Business Torts: Negligence: Failure to exercise reasonable care, resulting in harm ex. A restaurant fails to clean up a spill → customer slips and breaks a leg. Prevention: Proper safety procedures, employee training, insurance Fraud: Intentionally deceiving someone to gain money or advantage. ex. A business lies about product features in ads or hides defects to sell more. Legal result: Victim can sue for losses; company may face fines. Defamation: False statements that harm a person’s or company’s reputation. Libel = written defamation (ex. online post). Slander = spoken defamation. ex. A competitor spreads lies that your product causes illness. Invasion of Privacy: Interfering with someone’s right to be left alone or revealing private info. ex. A company posts a customer’s personal data or photos without consent. Product Liability: Selling defective or unsafe products that cause harm. ex. Exploding battery → lawsuit for negligence + design defect. Trespass / Nuisance: Interfering with property rights or peaceful use. ex. Factory pollution affecting nearby businesses. Interference with Contractual Relations: Persuading someone to break a valid contract. ex. Convincing a supplier to cancel a deal with a rival company. Creativity:  Toolbox analogy - each tort is a tool  that can cause harm if misused: Negligence = rusty wrench (carelessness) Fraud = fake tool (deception) Defamation = hammer (damaging reputation) Draw symbols for each tort (eg. torn contract = interference, caution wet floor sign = negligence, newspaper headline = defamatio</t>
  </si>
  <si>
    <t>Identify the basic torts relating to business enterprises (BL:069) (SP)  Tort: A civil wrong (not a crime) that causes harm or loss to another person or business The injured party (the plaintiff) can sue the wrongdoer (the defendant) for damages (money). ex. A customer sues a company for slipping on a wet floor with no warning sign Types of Business Torts: Negligence: Failure to exercise reasonable care, resulting in harm ex. A restaurant fails to clean up a spill → customer slips and breaks a leg. Prevention: Proper safety procedures, employee training, insurance Fraud: Intentionally deceiving someone to gain money or advantage. ex. A business lies about product features in ads or hides defects to sell more. Legal result: Victim can sue for losses; company may face fines. Defamation: False statements that harm a person’s or company’s reputation. Libel = written defamation (ex. online post). Slander = spoken defamation. ex. A competitor spreads lies that your product causes illness. Invasion of Privacy: Interfering with someone’s right to be left alone or revealing private info. ex. A company posts a customer’s personal data or photos without consent. Product Liability: Selling defective or unsafe products that cause harm. ex. Exploding battery → lawsuit for negligence + design defect. Trespass / Nuisance: Interfering with property rights or peaceful use. ex. Factory pollution affecting nearby businesses. Interference with Contractual Relations: Persuading someone to break a valid contract. ex. Convincing a supplier to cancel a deal with a rival company. Creativity:  Toolbox analogy - each tort is a tool  that can cause harm if misused: Negligence = rusty wrench (carelessness) Fraud = fake tool (deception) Defamation = hammer (damaging reputation) Draw symbols for each tort (eg. torn contract = interference, caution wet floor sign = negligence, newspaper headline = defamation)</t>
  </si>
  <si>
    <t>Negligence: Failure to exercise reasonable care, resulting in harm ex. A restaurant fails to clean up a spill → customer slips and breaks a leg. Prevention: Proper safety procedures, employee training, insurance</t>
  </si>
  <si>
    <t>Types of Business Torts: Negligence: Failure to exercise reasonable care, resulting in harm ex. A restaurant fails to clean up a spill → customer slips and breaks a leg. Prevention: Proper safety procedures, employee training, insurance Fraud: Intentionally deceiving someone to gain money or advantage. ex. A business lies about product features in ads or hides defects to sell more. Legal result: Victim can sue for losses; company may face fines. Defamation: False statements that harm a person’s or company’s reputation.</t>
  </si>
  <si>
    <t>Identify the basic torts relating to business enterprises (BL:069) (SP)      •    Tort: A civil wrong (not a crime) that causes harm or loss to another person or business     ◦    The injured party (the plaintiff) can sue the wrongdoer (the defendant) for damages (money).     ◦    ex. A customer sues a company for slipping on a wet floor with no warning sign     •    Types of Business Torts:     •    Negligence: Failure to exercise reasonable care, resulting in harm     ◦    ex. A restaurant fails to clean up a spill → customer slips and breaks a leg.     ◦    Prevention: Proper safety procedures, employee training, insurance     •    Fraud: Intentionally deceiving someone to gain money or advantage.     ◦    ex. A business lies about product features in ads or hides defects to sell more.     ◦    Legal result: Victim can sue for losses; company may face fines.     •    Defamation: False statements that harm a person’s or company’s reputation.     ◦    Libel = written defamation (ex. online post).     ◦    Slander = spoken defamation.     ◦    ex. A competitor spreads lies that your product causes illness.     •    Invasion of Privacy: Interfering with someone’s right to be left alone or revealing private info.     ◦    ex. A company posts a customer’s personal data or photos without consent.     •    Product Liability: Selling defective or unsafe products that cause harm.     ◦    ex. Exploding battery → lawsuit for negligence + design defect.     •    Trespass / Nuisance: Interfering with property rights or peaceful use.     ◦    ex. Factory pollution affecting nearby businesses.     •    Interference with Contractual Relations: Persuading someone to break a valid contract.     ◦    ex. Convincing a supplier to cancel a deal with a rival company.     •    Creativity:      ◦    Toolbox analogy - each tort is a tool  that can cause harm if misused:     ▪    Negligence = rusty wrench (carelessness)     ▪    Fraud = fake tool (deception)     ▪    Defamation = hammer (damaging reputation)     ◦    Draw symbols for each tort (eg. torn contract = interference, caution wet floor sign = negligence, newspaper headline = defamation)</t>
  </si>
  <si>
    <t>Describe the nature of legally binding contracts (BL:002) (SP) Performance Element: Explore the regulatory environment of United States' businesses to understand the diversity of regulations. Performance Indicators: Describe the nature of legal procedure (BL:070) (SP) Discuss the nature of debtor-creditor relationships (BL:071) (SP) Explain the nature of agency relationships (BL:072) (SP) Discuss the nature of environmental law (BL:073) (SP) Discuss the role of administrative law (BL:074) (SP) Performance Element: Apply knowledge of business ownership to establish and continue business operations. Performance Indicators: Explain types of business ownership (BL:003) (CS) Performance Element: Acquire knowledge of commerce laws and regulations to continue business operations. Performance Indicators: Explain the nature of import/export law (BL:145) (SP) Describe the nature of customs regulations (BL:126) (SP)</t>
  </si>
  <si>
    <t xml:space="preserve">Jordan </t>
  </si>
  <si>
    <t>Identify the basic torts relations to business enterprises from the deca instructional areas guide under “business law”</t>
  </si>
  <si>
    <t>* Tort: A civil wrong (not a crime) that causes harm or loss to another person or business     * The injured party (the plaintiff) can sue the wrongdoer (the defendant) for damages (money).     * ex. A customer sues a company for slipping on a wet floor with no warning sign * Types of Business Torts: * Negligence: Failure to exercise reasonable care, resulting in harm     * ex. A restaurant fails to clean up a spill → customer slips and breaks a leg.     * Prevention: Proper safety procedures, employee training, insurance * Fraud: Intentionally deceiving someone to gain money or advantage.     * ex. A business lies about product features in ads or hides defects to sell more.     * Legal result: Victim can sue for losses; company may face fines. * Defamation: False statements that harm a person’s or company’s reputation.     * Libel = written defamation (ex. online post).     * Slander = spoken defamation.     * ex. A competitor spreads lies that your product causes illness. * Invasion of Privacy: Interfering with someone’s right to be left alone or revealing private info.     * ex. A company posts a customer’s personal data or photos without consent. * Product Liability: Selling defective or unsafe products that cause harm.     * ex. Exploding battery → lawsuit for negligence + design defect. * Trespass / Nuisance: Interfering with property rights or peaceful use.     * ex. Factory pollution affecting nearby businesses. * Interference with Contractual Relations: Persuading someone to break a valid contract.     * ex. Convincing a supplier to cancel a deal with a rival company. * Creativity:      * Toolbox analogy - each tort is a tool  that can cause harm if misused:         * Negligence = rusty wrench (carelessness)         * Fraud = fake tool (deception)         * Defamation = hammer (damaging reputation)     * Draw symbols for each tort (eg. torn contract = interference, caution wet floor sign = negligence, newspaper headline = defamation)</t>
  </si>
  <si>
    <t>Anay</t>
  </si>
  <si>
    <t>Kalchuri</t>
  </si>
  <si>
    <t>Tort: A civil wrong (not a crime) that causes harm or loss to another person or business The injured party (the plaintiff) can sue the wrongdoer (the defendant) for damages (money). ex. A customer sues a company for slipping on a wet floor with no warning sign Types of Business Torts: Negligence: Failure to exercise reasonable care, resulting in harm ex. A restaurant fails to clean up a spill → customer slips and breaks a leg. Prevention: Proper safety procedures, employee training, insurance Fraud: Intentionally deceiving someone to gain money or advantage. ex. A business lies about product features in ads or hides defects to sell more. Legal result: Victim can sue for losses; company may face fines. Defamation: False statements that harm a person’s or company’s reputation. Libel = written defamation (ex. online post). Slander = spoken defamation. ex. A competitor spreads lies that your product causes illness. Invasion of Privacy: Interfering with someone’s right to be left alone or revealing private info. ex. A company posts a customer’s personal data or photos without consent. Product Liability: Selling defective or unsafe products that cause harm. ex. Exploding battery → lawsuit for negligence + design defect. Trespass / Nuisance: Interfering with property rights or peaceful use. ex. Factory pollution affecting nearby businesses. Interference with Contractual Relations: Persuading someone to break a valid contract. ex. Convincing a supplier to cancel a deal with a rival company. Creativity:  Toolbox analogy - each tort is a tool  that can cause harm if misused: Negligence = rusty wrench (carelessness) Fraud = fake tool (deception) Defamation = hammer (damaging reputation) Draw symbols for each tort (eg. torn contract = interference, caution wet floor sign = negligence, newspaper headline = defamation)</t>
  </si>
  <si>
    <t>Tristan</t>
  </si>
  <si>
    <t>I had my business overview proofread by someone else.</t>
  </si>
  <si>
    <t>I had my exec summary proof read by someone else</t>
  </si>
  <si>
    <t>ayden.wang@warriorlife.net</t>
  </si>
  <si>
    <t>I finished my executive summary</t>
  </si>
  <si>
    <t>eric</t>
  </si>
  <si>
    <t>jia</t>
  </si>
  <si>
    <t xml:space="preserve">hannah </t>
  </si>
  <si>
    <t>start my written</t>
  </si>
  <si>
    <t>I finished 3 slides of pitch deck</t>
  </si>
  <si>
    <t>Statistics slide on slide deck</t>
  </si>
  <si>
    <t>We finished lots of the executive summary.</t>
  </si>
  <si>
    <t>I finished half of my executive summary today.</t>
  </si>
  <si>
    <t xml:space="preserve">Poduri </t>
  </si>
  <si>
    <t>Finished finalizing my outline for my PSE presentation, finally ready to finish the rest of the formal presentation.</t>
  </si>
  <si>
    <t>xiao</t>
  </si>
  <si>
    <t>started written writing written</t>
  </si>
  <si>
    <t>Cost breakdown, rationale, impact</t>
  </si>
  <si>
    <t xml:space="preserve">We finished lots of the exec summary </t>
  </si>
  <si>
    <t>I changed the formatting of the executive summary, looks a lot more aesthetic and coherent</t>
  </si>
  <si>
    <t>Cost breakdown, rationale, and impact</t>
  </si>
  <si>
    <t>Avni</t>
  </si>
  <si>
    <t>Net profit, expenses, ROI</t>
  </si>
  <si>
    <t>Jaden</t>
  </si>
  <si>
    <t xml:space="preserve">Employee wages, ROI, and net income </t>
  </si>
  <si>
    <t xml:space="preserve">Nicholas Kiang </t>
  </si>
  <si>
    <t>Net Profit, Expenses, ROI</t>
  </si>
  <si>
    <t xml:space="preserve">Employee Wages, ROI, net income </t>
  </si>
  <si>
    <t>timeline</t>
  </si>
  <si>
    <t>Estimated, Explain, Total</t>
  </si>
  <si>
    <t>(1) Cost Breakdown, (2) ROI, (3) rationale and impact</t>
  </si>
  <si>
    <t>Cost breakdown, ROI, rational and impact</t>
  </si>
  <si>
    <t>My written.</t>
  </si>
  <si>
    <t xml:space="preserve">We need cost break down, ROI, and rationale and impact in our budget section. </t>
  </si>
  <si>
    <t>Net profit, Gross profit, and R.O.I</t>
  </si>
  <si>
    <t>ROI, breakdown, impact</t>
  </si>
  <si>
    <t xml:space="preserve">Cost breakdown, impact and rationale </t>
  </si>
  <si>
    <t>Louis</t>
  </si>
  <si>
    <t>my stats hw</t>
  </si>
  <si>
    <t xml:space="preserve">Cat Tuong </t>
  </si>
  <si>
    <t xml:space="preserve">Impact, rationale, cost breakdown </t>
  </si>
  <si>
    <t>We finsihed lots of them exec sum</t>
  </si>
  <si>
    <t>cost breakdown, rationale, impact</t>
  </si>
  <si>
    <t>riday appannagari</t>
  </si>
  <si>
    <t>reformatted written</t>
  </si>
  <si>
    <t xml:space="preserve">Salary, ROI, break even </t>
  </si>
  <si>
    <t xml:space="preserve">Hannah Li </t>
  </si>
  <si>
    <t xml:space="preserve">Cash &amp; cash equivalent, revenue, net income </t>
  </si>
  <si>
    <t>Alica</t>
  </si>
  <si>
    <t>Salary, roi, break even</t>
  </si>
  <si>
    <t xml:space="preserve">Rationale, cost break down, and impact </t>
  </si>
  <si>
    <t xml:space="preserve">Zeqi </t>
  </si>
  <si>
    <t>OM</t>
  </si>
  <si>
    <t>ROI break even and budget sectiosn</t>
  </si>
  <si>
    <t>i got written done</t>
  </si>
  <si>
    <t xml:space="preserve">Saira </t>
  </si>
  <si>
    <t xml:space="preserve">revenue, net income, and cash equivalent </t>
  </si>
  <si>
    <t xml:space="preserve">roi, break even, budget section </t>
  </si>
  <si>
    <t xml:space="preserve">I completed the first half of my presentation </t>
  </si>
  <si>
    <t>cost breakdown, impact, rationale</t>
  </si>
  <si>
    <t>RoI break even net profit???</t>
  </si>
  <si>
    <t xml:space="preserve">Work efficiently on written </t>
  </si>
  <si>
    <t>Charts for Exec Summary &amp; 2/3 of Exec Summary</t>
  </si>
  <si>
    <t>revenue, net income, ROI</t>
  </si>
  <si>
    <t>Rationale, Cost Breakdown, Impact</t>
  </si>
  <si>
    <t>om</t>
  </si>
  <si>
    <t>gandhi</t>
  </si>
  <si>
    <t>rochelle</t>
  </si>
  <si>
    <t xml:space="preserve">learned about different marketing strategies and planned out budget </t>
  </si>
  <si>
    <t>Cost breakdown rationale impact</t>
  </si>
  <si>
    <t>Cost breakdown, rational, impact</t>
  </si>
  <si>
    <t>Cost Breakdown, RoI, Net Income... IDK SOMEBODY EXPLAIN THIS TO ME PLEASE</t>
  </si>
  <si>
    <t>income, expenses, savings &amp; financial goals</t>
  </si>
  <si>
    <t xml:space="preserve"> cost breakdown, impact, rationale</t>
  </si>
  <si>
    <t>Davin</t>
  </si>
  <si>
    <t>Activity to create a budget for our IMCP campaign</t>
  </si>
  <si>
    <t>I started written</t>
  </si>
  <si>
    <t>Net gain,  gross gain, ROI</t>
  </si>
  <si>
    <t>We finished half of our written.</t>
  </si>
  <si>
    <t xml:space="preserve">Ima stuff </t>
  </si>
  <si>
    <t>Saron A</t>
  </si>
  <si>
    <t>I did a lot of budgedted</t>
  </si>
  <si>
    <t>i worked on a brief overview of our budget and the slide deck for our written</t>
  </si>
  <si>
    <t xml:space="preserve">Worked on presentation </t>
  </si>
  <si>
    <t>q- what did you do today? i switched teams (to non-competitive)</t>
  </si>
  <si>
    <t xml:space="preserve">I did my campaign activities and schedule </t>
  </si>
  <si>
    <t>Meldoy</t>
  </si>
  <si>
    <t>Impact, cost breakdown, etc.</t>
  </si>
  <si>
    <t xml:space="preserve">Aubrey </t>
  </si>
  <si>
    <t xml:space="preserve">Ayden </t>
  </si>
  <si>
    <t>I wired in my written</t>
  </si>
  <si>
    <t>chloe zhong</t>
  </si>
  <si>
    <t xml:space="preserve">i worked on my written </t>
  </si>
  <si>
    <t>IMC work</t>
  </si>
  <si>
    <t>i did my homework</t>
  </si>
  <si>
    <t>I finished up my slide deck</t>
  </si>
  <si>
    <t>Jennaly</t>
  </si>
  <si>
    <t>I worked on our target market</t>
  </si>
  <si>
    <t>Budget for imcs</t>
  </si>
  <si>
    <t xml:space="preserve">Braden </t>
  </si>
  <si>
    <t xml:space="preserve">budget </t>
  </si>
  <si>
    <t xml:space="preserve">Riyana </t>
  </si>
  <si>
    <t xml:space="preserve">My written </t>
  </si>
  <si>
    <t>i worked on budget</t>
  </si>
  <si>
    <t>yearly revenue x EBITDA</t>
  </si>
  <si>
    <t xml:space="preserve">Micah </t>
  </si>
  <si>
    <t xml:space="preserve">Yearly revenue x Ebita </t>
  </si>
  <si>
    <t>Yearly revenue times ebita</t>
  </si>
  <si>
    <t>Earning*ebitda</t>
  </si>
  <si>
    <t xml:space="preserve">Multiply the yearly revenue by the industry multiple </t>
  </si>
  <si>
    <t>Finished the competition analysis.</t>
  </si>
  <si>
    <t>EBITDA</t>
  </si>
  <si>
    <t xml:space="preserve">use an industry multiple </t>
  </si>
  <si>
    <t>Use your industry multiple and multiply it by your revenue number</t>
  </si>
  <si>
    <t>Annual Revenue x Industry Multiple</t>
  </si>
  <si>
    <t>purvi</t>
  </si>
  <si>
    <t>muriki</t>
  </si>
  <si>
    <t>ranjani</t>
  </si>
  <si>
    <t>industry multiple ebita</t>
  </si>
  <si>
    <t>company yearly revenue x EBITDA</t>
  </si>
  <si>
    <t>about 3mi</t>
  </si>
  <si>
    <t xml:space="preserve">Company yearly revenue times industry multiple </t>
  </si>
  <si>
    <t>company total revenue X industry multiple</t>
  </si>
  <si>
    <t>Annual revenue times ebitda value</t>
  </si>
  <si>
    <t>Multiply revenue times industry multiple</t>
  </si>
  <si>
    <t>annual revenue x evidaw</t>
  </si>
  <si>
    <t>yearly revenue x EBIDA</t>
  </si>
  <si>
    <t>Company yearly revenue times EBITA</t>
  </si>
  <si>
    <t>Ebitda or that annual revenue thing</t>
  </si>
  <si>
    <t>Company yearly overview times EBITBA</t>
  </si>
  <si>
    <t>Company’s revenue x industry multiple</t>
  </si>
  <si>
    <t xml:space="preserve">worked on my written </t>
  </si>
  <si>
    <t>Aunnaul Recenue x industry standard</t>
  </si>
  <si>
    <t>multiply yearly revenue by industry multiple</t>
  </si>
  <si>
    <t>company yearly overview times EBITBA</t>
  </si>
  <si>
    <t xml:space="preserve">Company profit x industry multiple </t>
  </si>
  <si>
    <t xml:space="preserve">EBITA: company profit x </t>
  </si>
  <si>
    <t xml:space="preserve">Revenue X multiple </t>
  </si>
  <si>
    <t>Arrisa Cai</t>
  </si>
  <si>
    <t>Companies total revenue times EBIs time industry multiple</t>
  </si>
  <si>
    <t>You multiply yearly revenue by industry multiples</t>
  </si>
  <si>
    <t xml:space="preserve">Use an industry multiple </t>
  </si>
  <si>
    <t>Chloe zhong</t>
  </si>
  <si>
    <t>Total revenue x a ??</t>
  </si>
  <si>
    <t>brady</t>
  </si>
  <si>
    <t>Cost structure</t>
  </si>
  <si>
    <t>Use an industry multiple</t>
  </si>
  <si>
    <t>multiply your company's key financial metric by the appropriate industry multiple</t>
  </si>
  <si>
    <t>Impact</t>
  </si>
  <si>
    <t>EITSB</t>
  </si>
  <si>
    <t>I don’t know because we didn’t have access yesterday even though I was on my warriorlife email</t>
  </si>
  <si>
    <t xml:space="preserve">Something I learned from the practice exam is when a speaker who distinctly voices the sounds of words is called enunciation </t>
  </si>
  <si>
    <t>Hao-Chien</t>
  </si>
  <si>
    <t>I learned that crossing arms is seen as impatient.</t>
  </si>
  <si>
    <t xml:space="preserve">I learned about different types of businesses like sole propriotorship. </t>
  </si>
  <si>
    <t>I worked on my written.</t>
  </si>
  <si>
    <t>I worked on Written presentation slides</t>
  </si>
  <si>
    <t>started on my slideshows</t>
  </si>
  <si>
    <t>I studied</t>
  </si>
  <si>
    <t>Finish my presentation</t>
  </si>
  <si>
    <t>I took a math quiz.</t>
  </si>
  <si>
    <t>Learned about fundamentals of operations research</t>
  </si>
  <si>
    <t>I did my roleplay with Grace</t>
  </si>
  <si>
    <t>I learned how to present</t>
  </si>
  <si>
    <t>I was productive and finished a slide in my pse slide deck.</t>
  </si>
  <si>
    <t>tone of a simple written report is informal</t>
  </si>
  <si>
    <t>How to quickly complete an exam</t>
  </si>
  <si>
    <t xml:space="preserve">how to efficiently answer exam question </t>
  </si>
  <si>
    <t xml:space="preserve">i did my exam and worked on written </t>
  </si>
  <si>
    <t xml:space="preserve">Brochures </t>
  </si>
  <si>
    <t>i just did my exam and worked on my written presentation</t>
  </si>
  <si>
    <t>Amanda</t>
  </si>
  <si>
    <t xml:space="preserve">Comply with the spirit and intent of laws and regulations </t>
  </si>
  <si>
    <t>I learned to do exam questions</t>
  </si>
  <si>
    <t xml:space="preserve">the rate of return doesn't keep up with inflation </t>
  </si>
  <si>
    <t>I learned how to answer a role play. I learned what KPI’s are.</t>
  </si>
  <si>
    <t>I learned how to present as a role in a random prompt</t>
  </si>
  <si>
    <t>Hospital industry emphasizes promotional efforts on price</t>
  </si>
  <si>
    <t>Something I learned today is to use KPIs more during your role play because they can deduct points for that( like a lot)</t>
  </si>
  <si>
    <t>I learned how to address my KPIs better as well as a better way to show my visuals on my roleplay</t>
  </si>
  <si>
    <t>        Tort: A civil wrong (not a crime) that causes harm or loss to another person or business         The injured party (the plaintiff) can sue the wrongdoer (the defendant) for damages (money).         ex. A customer sues a company for slipping on a wet floor with no warning sign         Types of Business Torts:         Negligence: Failure to exercise reasonable care, resulting in harm         ex. A restaurant fails to clean up a spill → customer slips and breaks a leg.         Prevention: Proper safety procedures, employee training, insurance         Fraud: Intentionally deceiving someone to gain money or advantage.         ex. A business lies about product features in ads or hides defects to sell more.         Legal result: Victim can sue for losses; company may face fines.         Defamation: False statements that harm a person’s or company’s reputation.         Libel = written defamation (ex. online post).         Slander = spoken defamation.         ex. A competitor spreads lies that your product causes illness.         Invasion of Privacy: Interfering with someone’s right to be left alone or revealing private info.         ex. A company posts a customer’s personal data or photos without consent.         Product Liability: Selling defective or unsafe products that cause harm.         ex. Exploding battery → lawsuit for negligence + design defect.         Trespass / Nuisance: Interfering with property rights or peaceful use.         ex. Factory pollution affecting nearby businesses.         Interference with Contractual Relations: Persuading someone to break a valid contract.         ex. Convincing a supplier to cancel a deal with a rival company.         Creativity:          Toolbox analogy - each tort is a tool  that can cause harm if misused:         Negligence = rusty wrench (carelessness)         Fraud = fake tool (deception)         Defamation = hammer (damaging reputation)         Draw symbols for each tort (eg. torn contract = interference, caution wet floor sign = negligence, newspaper headline = defamation)</t>
  </si>
  <si>
    <t>I learned that Chronological order is a way of organizing</t>
  </si>
  <si>
    <t>Describe the behavior of legally binding contracts (BL :002) (SP)</t>
  </si>
  <si>
    <t>I learned how to properly prepare for a roleplay</t>
  </si>
  <si>
    <t>Kylie Chen</t>
  </si>
  <si>
    <t>Identify the basic torts relating to business enterprises (BL:069) (SP) Describe the nature of legally binding contracts (BL:002) (SP)</t>
  </si>
  <si>
    <t xml:space="preserve">Describe the nature of legally binding contracts </t>
  </si>
  <si>
    <t>Describe the nature of legally binding contracts (BL:002) (SP)</t>
  </si>
  <si>
    <t>Describe the nature of legally binding contract</t>
  </si>
  <si>
    <t>Ayden wang</t>
  </si>
  <si>
    <t>Describe the nature of legally binding contracts (BL:002) (SP</t>
  </si>
  <si>
    <t>suvir</t>
  </si>
  <si>
    <t>Understands business's responsibility to know, abide by, and enforce laws an egulations that affect business operations and transaction</t>
  </si>
  <si>
    <t xml:space="preserve">Role plays are hard </t>
  </si>
  <si>
    <t>Understands business's responsibility to know, abide by, and enforce laws an egulations that affect business operations and transactior</t>
  </si>
  <si>
    <t>body language uses</t>
  </si>
  <si>
    <t xml:space="preserve">I learned about different laws and regulations that are set for businesses to follow. </t>
  </si>
  <si>
    <t>I learned that that it is helpful to have various research methods in BOR.</t>
  </si>
  <si>
    <t>I learned that PMK has a lot more things to do other than selling a product.</t>
  </si>
  <si>
    <t>I learned that SVCDC is in January</t>
  </si>
  <si>
    <t>I learned the difference between places that provide credit</t>
  </si>
  <si>
    <t xml:space="preserve">Hannah li </t>
  </si>
  <si>
    <t xml:space="preserve">I learned that computer software programs that usually contain a thesaurus are word processing </t>
  </si>
  <si>
    <t>One thing I learned from today's exam is defined benefits.</t>
  </si>
  <si>
    <t>Exam</t>
  </si>
  <si>
    <t>Something I learned is that we are the business when doing the roleplay</t>
  </si>
  <si>
    <t>Learned about the subjects tested in the marketing exam</t>
  </si>
  <si>
    <t>I learned how to be able to be more clear with my KPIs in roleplays</t>
  </si>
  <si>
    <t>I learned how to navigate through DECA+</t>
  </si>
  <si>
    <t xml:space="preserve">Huang </t>
  </si>
  <si>
    <t xml:space="preserve">We did exams </t>
  </si>
  <si>
    <t>Business is catered to customers</t>
  </si>
  <si>
    <t>I can study role play ICDC videos</t>
  </si>
  <si>
    <t>It’s good to have art/diagrams in your Roleplay notes</t>
  </si>
  <si>
    <t xml:space="preserve">Chun Ka </t>
  </si>
  <si>
    <t xml:space="preserve">I need to study more for my exam </t>
  </si>
  <si>
    <t>mia tran</t>
  </si>
  <si>
    <t>i need to study mote</t>
  </si>
  <si>
    <t>I learned about credit and debit</t>
  </si>
  <si>
    <t>I learned about how much commitments I have left</t>
  </si>
  <si>
    <t>I learned about defined benefits from the exam.</t>
  </si>
  <si>
    <t>Rudy</t>
  </si>
  <si>
    <t>I learned that I need to start studying ASAP.</t>
  </si>
  <si>
    <t xml:space="preserve">that social cues are a very big thing in business </t>
  </si>
  <si>
    <t>I learned that like how a business markets a product, your outward appearance is like marketing to others</t>
  </si>
  <si>
    <t>I learned that body language is very significant to business choices.</t>
  </si>
  <si>
    <t>I learned that visas are supplements of passports</t>
  </si>
  <si>
    <t xml:space="preserve">importance of customer relationships within workplace </t>
  </si>
  <si>
    <t>I learned about marketing and accounting.</t>
  </si>
  <si>
    <t>I learned that body language is significant to business choices.</t>
  </si>
  <si>
    <t>I learned what a touch point is.</t>
  </si>
  <si>
    <t>I learned that body language is significant when communicating ideas</t>
  </si>
  <si>
    <t>I learned that I need to know what Robinson patman act means</t>
  </si>
  <si>
    <t xml:space="preserve">Jessica </t>
  </si>
  <si>
    <t>i learned about service and product marketing!</t>
  </si>
  <si>
    <t>i did the roleplay and 50 questions of the exam</t>
  </si>
  <si>
    <t>Credit score and debit cards</t>
  </si>
  <si>
    <t xml:space="preserve">John </t>
  </si>
  <si>
    <t>Sonia</t>
  </si>
  <si>
    <t>I learned that exams are really long</t>
  </si>
  <si>
    <t xml:space="preserve">James </t>
  </si>
  <si>
    <t>Hannah</t>
  </si>
  <si>
    <t>Laws that ristrict certain aspects of buisnesses</t>
  </si>
  <si>
    <t>I learned how money functions in a society.</t>
  </si>
  <si>
    <t>Cooking w Nicholas</t>
  </si>
  <si>
    <t>vivian zhang</t>
  </si>
  <si>
    <t>A government agency would provide the most reliable data of sources</t>
  </si>
  <si>
    <t xml:space="preserve">Chen </t>
  </si>
  <si>
    <t xml:space="preserve">I did roleplay with Nick </t>
  </si>
  <si>
    <t>I didn’t do an exam</t>
  </si>
  <si>
    <t>I learned that I need to be more specific when talkimg about kpi during my roleplay</t>
  </si>
  <si>
    <t xml:space="preserve">How to stay calm under pressure </t>
  </si>
  <si>
    <t>fong</t>
  </si>
  <si>
    <t xml:space="preserve">Kyle </t>
  </si>
  <si>
    <t xml:space="preserve">Aaron Vu </t>
  </si>
  <si>
    <t>I learned about roleplays</t>
  </si>
  <si>
    <t>I learned from the exam that it’s important to understand key details and aspects of how business works and I should study</t>
  </si>
  <si>
    <t>Riday Appanagari</t>
  </si>
  <si>
    <t xml:space="preserve">Christine </t>
  </si>
  <si>
    <t>Practice exams</t>
  </si>
  <si>
    <t xml:space="preserve">Chloe </t>
  </si>
  <si>
    <t>Hospitality and tourism is intangible</t>
  </si>
  <si>
    <t>I finished my exam and sent it to my mentor</t>
  </si>
  <si>
    <t>vertical analysis is a method that shows each line of item as a percentage of a base figure within the same financial statement</t>
  </si>
  <si>
    <t xml:space="preserve">legally binding contracts </t>
  </si>
  <si>
    <t xml:space="preserve">Nguyen </t>
  </si>
  <si>
    <t>I learned that enunciation  is the act of speaking or pronouncing words clearly and distinctly</t>
  </si>
  <si>
    <t>Contract laws focus on issues regarding the promises that businesses make with their customers, vendors, and other business partners.</t>
  </si>
  <si>
    <t>Reviewed my written</t>
  </si>
  <si>
    <t>I took my English quiz.</t>
  </si>
  <si>
    <t>Reviewed my written.</t>
  </si>
  <si>
    <t xml:space="preserve">Finished interview </t>
  </si>
  <si>
    <t>I read through multiple presentation to see what inspiration I can take</t>
  </si>
  <si>
    <t xml:space="preserve">Vibhute </t>
  </si>
  <si>
    <t>Mock slideshow</t>
  </si>
  <si>
    <t>I researched more and added a works cited page to my written</t>
  </si>
  <si>
    <t>Loud speakers are good</t>
  </si>
  <si>
    <t xml:space="preserve">I revised my presentation </t>
  </si>
  <si>
    <t>I kept on working on my slide show</t>
  </si>
  <si>
    <t>Making and writing details for written presentation slideshiw</t>
  </si>
  <si>
    <t>I completed my script for Mock.</t>
  </si>
  <si>
    <t>Mock website</t>
  </si>
  <si>
    <t>Made edits for clarity and got others to look at my script</t>
  </si>
  <si>
    <t>I finished the presentation</t>
  </si>
  <si>
    <t xml:space="preserve">Natalie Zhang </t>
  </si>
  <si>
    <t>I would like to see more examples.</t>
  </si>
  <si>
    <t xml:space="preserve">Sarah Suh </t>
  </si>
  <si>
    <t>I finished a slide</t>
  </si>
  <si>
    <t>Presentational Tips are pretty helpful.</t>
  </si>
  <si>
    <t>I worked on my transitions for the script of my presentation.</t>
  </si>
  <si>
    <t>Independent work time</t>
  </si>
  <si>
    <t xml:space="preserve">Nishanth </t>
  </si>
  <si>
    <t xml:space="preserve">1. Work time 2. Informational sessions </t>
  </si>
  <si>
    <t xml:space="preserve">1) getting advice 2)good foot to motivate </t>
  </si>
  <si>
    <t>examples most helpful, see more examples</t>
  </si>
  <si>
    <t>Grace XU</t>
  </si>
  <si>
    <t>The practice roleplays has been the most helpful, I would like to see more of time for us to work in future workshops</t>
  </si>
  <si>
    <t>I learned tips, I wish next semester can be the same as this semester</t>
  </si>
  <si>
    <t xml:space="preserve">Presentations </t>
  </si>
  <si>
    <t>Them mentioning that there will be a 2 minute warning no timer maybe having more space in workshops to fit everyone</t>
  </si>
  <si>
    <t>The most helpful thing during workshops has been meeting with my group.</t>
  </si>
  <si>
    <t xml:space="preserve">having more space will be helpful for the workshop </t>
  </si>
  <si>
    <t xml:space="preserve">Amobi </t>
  </si>
  <si>
    <t xml:space="preserve">About what to say and how to make a script if needed </t>
  </si>
  <si>
    <t>Tanjani</t>
  </si>
  <si>
    <t>1. Meeting with my group 2.free snacks</t>
  </si>
  <si>
    <t>Knowing that we cannot time ourselves so prepping a lot is necessary</t>
  </si>
  <si>
    <t xml:space="preserve">Chadha </t>
  </si>
  <si>
    <t>Work time is the best because you guys can answer my questions. I want to see more of that.</t>
  </si>
  <si>
    <t>Meeting with my group</t>
  </si>
  <si>
    <t>1. The officers giving us feedback on what we are doing. 2) more information</t>
  </si>
  <si>
    <t>1. Personal feedback from expert mentors. 2. I would like more chances to receive mentor pod points</t>
  </si>
  <si>
    <t xml:space="preserve">Something that’s been helpful is that I am able to improve my slides with the information that is talked about in the workshops. I would like to see more of time for us to work during the workshops. </t>
  </si>
  <si>
    <t>The video example and advices such as highlighting keywords in the written or script</t>
  </si>
  <si>
    <t xml:space="preserve">Vivian </t>
  </si>
  <si>
    <t>I like all the help in preparing for the presentation</t>
  </si>
  <si>
    <t>The videos presentation example and advices</t>
  </si>
  <si>
    <t>nicholas kiang</t>
  </si>
  <si>
    <t xml:space="preserve">we cant time ourselves during the role plays so we have to prepare a lot in case </t>
  </si>
  <si>
    <t>Jayden Peyton was pretty helpful. Next year can give better advice</t>
  </si>
  <si>
    <t>Knowing that we cannot time ourselves so prepping a lot is extremely necessary</t>
  </si>
  <si>
    <t xml:space="preserve">The cost structure explanation. I would like to see workshops like this one </t>
  </si>
  <si>
    <t>prepping is necessary to perfect timing</t>
  </si>
  <si>
    <t>1. The roleplay help and the presentation help; 2. more work time m</t>
  </si>
  <si>
    <t>1. Roleplay tips 2. Written tips</t>
  </si>
  <si>
    <t xml:space="preserve">Ashley </t>
  </si>
  <si>
    <t>I learned alot about how writtens should be like. There is nothing else I want to see</t>
  </si>
  <si>
    <t>1. visual slides 2. more interactions with audience</t>
  </si>
  <si>
    <t>The most helpful during workshops are kahoots</t>
  </si>
  <si>
    <t>the q&amp;a, also more presentation tips</t>
  </si>
  <si>
    <t xml:space="preserve">1. The Q and A was super helpful because you answered many questions. I want to see more interactive opportunities. </t>
  </si>
  <si>
    <t>Sophia white.</t>
  </si>
  <si>
    <t xml:space="preserve"> 1. The Q&amp;A’s 2. More interactive opportunities </t>
  </si>
  <si>
    <t xml:space="preserve">1. the QnAs  2.more interactive presentations </t>
  </si>
  <si>
    <t xml:space="preserve">(1) practice writtens &amp; presentations; (2) more work time </t>
  </si>
  <si>
    <t>Answering questions from the q and a</t>
  </si>
  <si>
    <t xml:space="preserve">Listening to officers yap, offer snacks </t>
  </si>
  <si>
    <t>Discussion questions</t>
  </si>
  <si>
    <t>I would like to see more roleplays and I think that Nicholas has been very helpful and sigma</t>
  </si>
  <si>
    <t>Getting answers to questions; roleplay advice</t>
  </si>
  <si>
    <t>1. The most helpful during the workshops is when they teach me how to strategize what to say. 2. I would like examples like the mentors doing an actual roleplay.</t>
  </si>
  <si>
    <t>You</t>
  </si>
  <si>
    <t>practice role plays. I’d to see more practice on presentations.</t>
  </si>
  <si>
    <t>hailey</t>
  </si>
  <si>
    <t>i would like to have more time on my project</t>
  </si>
  <si>
    <t>1. Q&amp;As are very helpful. 2. I’d like to see more work time incorporated into workshops next semester (or next year).</t>
  </si>
  <si>
    <t xml:space="preserve">The most helpful was the practice exams and roleplays that we had to do. It allowed me to experience what it was like and helped me prepare. I would like to see more interactive workshops where we’re doing something. </t>
  </si>
  <si>
    <t>The visuals and examples really help me to imagine what my presentation should look like</t>
  </si>
  <si>
    <t>1. The slides 2. Recordings</t>
  </si>
  <si>
    <t>The workshops often give helpful tips but are often useless at the same time. I want more time with my mentor than just lectures and stuff.</t>
  </si>
  <si>
    <t>prep experince, more interactive and doing multiple in one day</t>
  </si>
  <si>
    <t xml:space="preserve">The Q&amp;As where the mentors get to answer our questions, and second semester i would like to see more interactive workshops where we aren’t only listening but also doing hands on learning </t>
  </si>
  <si>
    <t xml:space="preserve">Finished up my presentation </t>
  </si>
  <si>
    <t xml:space="preserve">1. Working on pitch decks during workshop time 2. More time to work on pitch deck/less lecture </t>
  </si>
  <si>
    <t>The QNA are very helpful! I would like to see more QNAs.</t>
  </si>
  <si>
    <t xml:space="preserve">1. Seeing the examples. 2.more examples would be beneficial </t>
  </si>
  <si>
    <t>Helping with the presentations</t>
  </si>
  <si>
    <t>1. Practice 2. Work time</t>
  </si>
  <si>
    <t xml:space="preserve">i think the most helpful has been talking with my mentor to get a better understanding of things, i would like to see maybe more hands on things? </t>
  </si>
  <si>
    <t>1. Idk the presentation 2. I would like to see Hannah not blocking the screen during kahoots</t>
  </si>
  <si>
    <t>1. The Q+A times. 2. More Q+As and talks about the new IMC format and how to best fulfill and get a better score with the new format.</t>
  </si>
  <si>
    <t xml:space="preserve">The most helpful has been showing me example on how to work. I would like to see more of examples and work time. </t>
  </si>
  <si>
    <t>1. Q&amp;A and practice time 2. More practice time but it’s pretty good how it is</t>
  </si>
  <si>
    <t>Explaining how writtens work and tips for presenting helped me the most during workshops. I would maybe like to see more in depth explanations on how to better gather data and stand out to judges.</t>
  </si>
  <si>
    <t xml:space="preserve">1. Q&amp;A was really helpful today, as well as watching an example presentation. 2. I would like to see some work time in workshops as well. </t>
  </si>
  <si>
    <t>Tips for writtens, I’d like to see more of it</t>
  </si>
  <si>
    <t>The example presentation and the Q&amp;A, I would like to see more practice presentation opportunities</t>
  </si>
  <si>
    <t>1. I think having the workshop in general and the activities were very helpful because it helped solidify the information in my head. 2. I think we should have more kahoots and games such as that.</t>
  </si>
  <si>
    <t xml:space="preserve">1. The way to talk to judge and how to handle nervous feelings. 2. More details about how we can be better on written </t>
  </si>
  <si>
    <t>The Q and A and I would like to see more winning example explanations.</t>
  </si>
  <si>
    <t xml:space="preserve">The q/a time has been very helpful with finding out how I can improve my written. I would like to see more examples of wining ICDC stuff and workshops explaining  how I can be more like it </t>
  </si>
  <si>
    <t xml:space="preserve">Most helpful has been the breakdowns for budget, and also the examples taken directly from writtens. I would like to see more of these examples, maybe even an experienced person presenting their written to give an example of how things should go. </t>
  </si>
  <si>
    <t>The examples given were helpful for understanding what should be included in the presentation and written. Some things could be more in depth explanations.</t>
  </si>
  <si>
    <t xml:space="preserve">Practice discussions with mentors help, more discussions </t>
  </si>
  <si>
    <t>I believe that the role play workshops are most helpful. However, I would like to see more written practice presentations  during workshops.</t>
  </si>
  <si>
    <t>1. The most helpful thing during workshops is going over written and lecture slides 2. I would like to see more of reviewing and analyzing written and presentations</t>
  </si>
  <si>
    <t>Understanding what to do for SC AND SV. To be honest i’m not sure what i want to see since i have a small perpective</t>
  </si>
  <si>
    <t xml:space="preserve">Ziqing </t>
  </si>
  <si>
    <t>1. The practice role plays 2. More one to one feedback</t>
  </si>
  <si>
    <t>Learning about what to put in your presentations and how to present, working on my presentation</t>
  </si>
  <si>
    <t>1. The most helpful thing during workshops have been Q&amp;A. 2. I don’t think there’s anything I would like to see more of.</t>
  </si>
  <si>
    <t>1. I think asking the leaders of each room really helps especially 1 on 1 work time. 2. I think i would like to see more hands on activities!</t>
  </si>
  <si>
    <t xml:space="preserve">1. Giving us ideas on what to write in our written 2. I think the workshop is already very good and I don’t see any room for improvement </t>
  </si>
  <si>
    <t>The video example of ICDC presentation. Work time you can ask mentors questions specific to your presentation on your company.</t>
  </si>
  <si>
    <t>1. the presentations and q&amp;as about specific parts of presentations.  2. Explanations and Group game/mini projects</t>
  </si>
  <si>
    <t>1. the q&amp;a 2. more examples from mentors</t>
  </si>
  <si>
    <t>The presentations. Time to work on the things mentioned</t>
  </si>
  <si>
    <t>The Q/A sessions have been the most helpfull thing during sessions. Next semester, I want to see more Q/A workshops that allow students to work on their presentations and ask questions when necessary.</t>
  </si>
  <si>
    <t xml:space="preserve">- visuals and examples were really helpful in showing what the presenters were saying and the way the people in the workshop were talking helped give me an idea on how to present at the conferences. - I want to see more ways of assessing our knowledge </t>
  </si>
  <si>
    <t>1. I enjoy the examples of the the IMC-P slides and the graphics that are supposed to be there, even with the handicap of not knowing how the slides should look in the first round. 2. I would like to see a more clear explanation on the slides and rubric, although I understand there’s not much people could do</t>
  </si>
  <si>
    <t>Q&amp;A has been most helpful. More examples</t>
  </si>
  <si>
    <t>1. The most helpful during workshops was the QnA from others. It helped me and my partner for unexpected things we needed to know. 2. I would like to see more hands on things.</t>
  </si>
  <si>
    <t xml:space="preserve">riyana </t>
  </si>
  <si>
    <t>ayden</t>
  </si>
  <si>
    <t xml:space="preserve">1. the most helpful was when people like deca officers came around and were interactive but in a personal way bc it helped to get their insights on my project 2. i would like to see more practical way to use these tips to actually win icdc </t>
  </si>
  <si>
    <t xml:space="preserve">What was most helpful was seeing the example of an imcs presentation by Sarah Suh it gave me a better understanding of what I should or shouldn’t do. </t>
  </si>
  <si>
    <t xml:space="preserve">presentation tips and budget, more written tips </t>
  </si>
  <si>
    <t>The most helpful is when they let us ask questions and show us examples of past writtens.</t>
  </si>
  <si>
    <t>1. Practicing exams and roleplays; 2. More tips for presenting</t>
  </si>
  <si>
    <t xml:space="preserve">Chaebin </t>
  </si>
  <si>
    <t xml:space="preserve">Jang </t>
  </si>
  <si>
    <t>I finished my written!</t>
  </si>
  <si>
    <t>1 page of written</t>
  </si>
  <si>
    <t>1. I think having the time to work on written has been the most helpful part. 2. I would like to see more guest speakers and see what they have to say about the business world.</t>
  </si>
  <si>
    <t>Eric</t>
  </si>
  <si>
    <t>Jia</t>
  </si>
  <si>
    <t>finished some of my written presentation</t>
  </si>
  <si>
    <t xml:space="preserve">Chloe ding </t>
  </si>
  <si>
    <t>I like how the revenue stream was explained</t>
  </si>
  <si>
    <t xml:space="preserve">I was a little late today but revathi saw me at the meeting the whole time. the most helpful thing during workshops is demo videos! </t>
  </si>
  <si>
    <t>Sorry i meant to say im sumbitting attendance late because i forgot but you can ask revathi she was there and i was there the whole time from 3-4 pm</t>
  </si>
  <si>
    <t>tiday</t>
  </si>
  <si>
    <t>six one</t>
  </si>
  <si>
    <t>Eye contact</t>
  </si>
  <si>
    <t>Don’t be rush</t>
  </si>
  <si>
    <t>don’t rush</t>
  </si>
  <si>
    <t xml:space="preserve">you need a wow factor </t>
  </si>
  <si>
    <t xml:space="preserve">Have a wow factor </t>
  </si>
  <si>
    <t>Don’t fake market research</t>
  </si>
  <si>
    <t>Smile.</t>
  </si>
  <si>
    <t>i learned to be more confident and that ai is a good tool to mention in roleplay</t>
  </si>
  <si>
    <t xml:space="preserve">Jayden </t>
  </si>
  <si>
    <t>Have a wow factor</t>
  </si>
  <si>
    <t xml:space="preserve">Franklin </t>
  </si>
  <si>
    <t>Woo factor</t>
  </si>
  <si>
    <t>Eyes contact</t>
  </si>
  <si>
    <t>use simple language not big business terms</t>
  </si>
  <si>
    <t xml:space="preserve">Use ai </t>
  </si>
  <si>
    <t xml:space="preserve">Aaron </t>
  </si>
  <si>
    <t xml:space="preserve">More personalization should be involved in the written. </t>
  </si>
  <si>
    <t>confidence is key and more is better</t>
  </si>
  <si>
    <t xml:space="preserve">Make sure to smile and be confident </t>
  </si>
  <si>
    <t>graphs on writtens matter a lot</t>
  </si>
  <si>
    <t>Confidence is key</t>
  </si>
  <si>
    <t>fake it till you make it</t>
  </si>
  <si>
    <t xml:space="preserve">I learned to make sure the written format is good because that is really important. </t>
  </si>
  <si>
    <t>Partnership</t>
  </si>
  <si>
    <t>I need wow factor</t>
  </si>
  <si>
    <t>the three main things to focus on to get to icdc</t>
  </si>
  <si>
    <t>U need a wow factor!!!</t>
  </si>
  <si>
    <t xml:space="preserve">Slow down and smile </t>
  </si>
  <si>
    <t>Confidence and passion</t>
  </si>
  <si>
    <t>Rochelle</t>
  </si>
  <si>
    <t xml:space="preserve">Strategy skills wow factor </t>
  </si>
  <si>
    <t xml:space="preserve">Make up tips and other things to boost engagement </t>
  </si>
  <si>
    <t xml:space="preserve">Have a “Wow” factor </t>
  </si>
  <si>
    <t xml:space="preserve">mia tran </t>
  </si>
  <si>
    <t>You need to include more competition</t>
  </si>
  <si>
    <t>I learned that I could deliver good visuals for a better grade on written</t>
  </si>
  <si>
    <t>Fake it!!!!!</t>
  </si>
  <si>
    <t xml:space="preserve">Understand that the time I have to make my case is mine, and that there is no need to rush to try and appease the judge. </t>
  </si>
  <si>
    <t>Nicholas kiang</t>
  </si>
  <si>
    <t xml:space="preserve">Wow factor </t>
  </si>
  <si>
    <t>Its okay to have fake marketing stats</t>
  </si>
  <si>
    <t>have a firm handshake</t>
  </si>
  <si>
    <t>Have energy</t>
  </si>
  <si>
    <t>Graphics are subjective, be careful when chosing and be clear</t>
  </si>
  <si>
    <t>Fake marketing stats on the roleplay is ok</t>
  </si>
  <si>
    <t>Talk more about stats</t>
  </si>
  <si>
    <t>Don’t rush and the wow factor</t>
  </si>
  <si>
    <t>i learned how to use strategies to make a better written</t>
  </si>
  <si>
    <t>Denena</t>
  </si>
  <si>
    <t>you are the top lead in roleplay</t>
  </si>
  <si>
    <t>melody</t>
  </si>
  <si>
    <t>strategy skills</t>
  </si>
  <si>
    <t>Joseph</t>
  </si>
  <si>
    <t>Shin</t>
  </si>
  <si>
    <t>Use graphs!</t>
  </si>
  <si>
    <t>we need a wow factor to really engage the judge because they are probably having a long day</t>
  </si>
  <si>
    <t>I learned to stay consistent.</t>
  </si>
  <si>
    <t>I learned that wow factor make a difference when presenting</t>
  </si>
  <si>
    <t>Back up my answes with data!</t>
  </si>
  <si>
    <t>Wow factor</t>
  </si>
  <si>
    <t>Live in what ur presenting</t>
  </si>
  <si>
    <t>Smile and make good eye contact</t>
  </si>
  <si>
    <t>Use fake marketing strategies and examples to back up great ideas in roleplay.</t>
  </si>
  <si>
    <t>The judges are subjective so use pathos.</t>
  </si>
  <si>
    <t xml:space="preserve">I learned that the Wow factor is really important to really captivate the judge. It can really help to also have a partner and to flow back and forth with your partner. </t>
  </si>
  <si>
    <t>I learned that’s smiling is really important.</t>
  </si>
  <si>
    <t>Be careful with your language and images- one image can mean many different things to different people.</t>
  </si>
  <si>
    <t>I should have a wow factor in my presentation to suceed</t>
  </si>
  <si>
    <t>you need strategy, skills, wow factor</t>
  </si>
  <si>
    <t>bring models</t>
  </si>
  <si>
    <t>Use AI as a tool</t>
  </si>
  <si>
    <t xml:space="preserve">I learned that you need to appeal to everyone in your presentation. </t>
  </si>
  <si>
    <t>Namal</t>
  </si>
  <si>
    <t>I should properly introduce myself and smile more and relax.</t>
  </si>
  <si>
    <t>Do not rush</t>
  </si>
  <si>
    <t>I learned to use AI to my advantage</t>
  </si>
  <si>
    <t xml:space="preserve">Make sure to memorize </t>
  </si>
  <si>
    <t xml:space="preserve">I have learned to remember to smile </t>
  </si>
  <si>
    <t>The three strategies for written</t>
  </si>
  <si>
    <t>We should have a wow factor</t>
  </si>
  <si>
    <t>Join deca to WIN</t>
  </si>
  <si>
    <t>I am not Elon Musk or Mark Jeckerberg</t>
  </si>
  <si>
    <t>AYden Wang</t>
  </si>
  <si>
    <t>you have it be innit to win it</t>
  </si>
  <si>
    <t xml:space="preserve">Chose a topic you are interested in </t>
  </si>
  <si>
    <t>Identify your strengths and weaknesses to be able to find good partners</t>
  </si>
  <si>
    <t>Have a wow! Factor</t>
  </si>
  <si>
    <t xml:space="preserve">One thing I learned is to make good eye contact with the judge </t>
  </si>
  <si>
    <t>I learned to talk about our competition.</t>
  </si>
  <si>
    <t xml:space="preserve">tp be visually appealing in ur slides </t>
  </si>
  <si>
    <t>One thing I learned today is to put only the main points on your slides rather than putting a lot of words.</t>
  </si>
  <si>
    <t>An important tip I learned was to have more energy and know the content in speaking</t>
  </si>
  <si>
    <t>Use simple language to appeal to mass audiences</t>
  </si>
  <si>
    <t xml:space="preserve">Make sure to be friendly </t>
  </si>
  <si>
    <t xml:space="preserve">Neela </t>
  </si>
  <si>
    <t xml:space="preserve">Koneru </t>
  </si>
  <si>
    <t xml:space="preserve">Stay calm and greet judges </t>
  </si>
  <si>
    <t>I learned that we should have strong examples and also “proofs” of why our plan works.</t>
  </si>
  <si>
    <t>I learned to be passionate abt my topic</t>
  </si>
  <si>
    <t>Learned to add ai into our roleplay</t>
  </si>
  <si>
    <t xml:space="preserve">I learned that it’s important to be confident and fake it until you make it . Deca is a competition and you should take this seriously </t>
  </si>
  <si>
    <t xml:space="preserve">Yamilet </t>
  </si>
  <si>
    <t xml:space="preserve">To have a wow factor and use my talent. To have a firm handshake and keep eye contact. </t>
  </si>
  <si>
    <t xml:space="preserve"> we need a wow factor to really engage the judge because they are probably having a long day</t>
  </si>
  <si>
    <t>Be confident and pick a tropic your interested about.</t>
  </si>
  <si>
    <t>One of the most important things is impression. Things like firm handshake, confident voice, and flowing with your partner.</t>
  </si>
  <si>
    <t xml:space="preserve">Personal connection to topic </t>
  </si>
  <si>
    <t>Kyle chen</t>
  </si>
  <si>
    <t>Use a practical realistic idea not a unicorn idea</t>
  </si>
  <si>
    <t>Talk about compatition</t>
  </si>
  <si>
    <t xml:space="preserve">firm handshake </t>
  </si>
  <si>
    <t xml:space="preserve">i heard tips from multiple parents from mock, they mentioned to have stronger connections between teammates and show partnership. </t>
  </si>
  <si>
    <t>eye contact</t>
  </si>
  <si>
    <t xml:space="preserve">I learned to fake it till u make it </t>
  </si>
  <si>
    <t>Confidence</t>
  </si>
  <si>
    <t>Make sure you know your information from back to front</t>
  </si>
  <si>
    <t>Laith</t>
  </si>
  <si>
    <t>Theodossy</t>
  </si>
  <si>
    <t>Remember to have confidence and know your content.</t>
  </si>
  <si>
    <t>Slow down when you are speaking.</t>
  </si>
  <si>
    <t>Improvise</t>
  </si>
  <si>
    <t>I learned to improvise</t>
  </si>
  <si>
    <t xml:space="preserve">Ruby </t>
  </si>
  <si>
    <t>Speak up and always be confident</t>
  </si>
  <si>
    <t>forrest</t>
  </si>
  <si>
    <t>su</t>
  </si>
  <si>
    <t>sarah</t>
  </si>
  <si>
    <t>speak clearly</t>
  </si>
  <si>
    <t xml:space="preserve">I learned to improvise </t>
  </si>
  <si>
    <t>Have your hands on the table and be very respectful</t>
  </si>
  <si>
    <t xml:space="preserve">respect the judge by having good posture and eye contact </t>
  </si>
  <si>
    <t xml:space="preserve">Be passionate about what you are saying. </t>
  </si>
  <si>
    <t xml:space="preserve">Have Confidence </t>
  </si>
  <si>
    <t xml:space="preserve">I learned to not memorize my script, but truly be passionate about what I am doing. </t>
  </si>
  <si>
    <t>Be aware of culture</t>
  </si>
  <si>
    <t>Be confident! And don’t read from the slides</t>
  </si>
  <si>
    <t>eye contat and body language have a big impact towards the judges</t>
  </si>
  <si>
    <t>gu</t>
  </si>
  <si>
    <t>Fill roleplay time effectively</t>
  </si>
  <si>
    <t xml:space="preserve">Improvise </t>
  </si>
  <si>
    <t>i learned to have good posture</t>
  </si>
  <si>
    <t xml:space="preserve">Evelyn </t>
  </si>
  <si>
    <t xml:space="preserve">Memorize your speech </t>
  </si>
  <si>
    <t>You have to be passionate wien talking amd genuine</t>
  </si>
  <si>
    <t>For roleplay, Introduction, Main part, Conclusion</t>
  </si>
  <si>
    <t>Be confident</t>
  </si>
  <si>
    <t>Learned about the structure of roleplay.</t>
  </si>
  <si>
    <t>I learned that don’t put a lot of text on your slides</t>
  </si>
  <si>
    <t>slow down and spent time on an introduction</t>
  </si>
  <si>
    <t xml:space="preserve">David yang taught me to be passionate about what I am presenting on. </t>
  </si>
  <si>
    <t>speak slower</t>
  </si>
  <si>
    <t>Speak clearly</t>
  </si>
  <si>
    <t>Speak confidently</t>
  </si>
  <si>
    <t xml:space="preserve">I learnt that we should fake it till we make it </t>
  </si>
  <si>
    <t xml:space="preserve">Aisha </t>
  </si>
  <si>
    <t xml:space="preserve">Mani </t>
  </si>
  <si>
    <t>Tips to do better at next conference</t>
  </si>
  <si>
    <t xml:space="preserve">speak confidently </t>
  </si>
  <si>
    <t xml:space="preserve">Zeidan </t>
  </si>
  <si>
    <t xml:space="preserve">Have a good intro </t>
  </si>
  <si>
    <t xml:space="preserve">Yen-Nhi </t>
  </si>
  <si>
    <t>I learned about importance in passion in presenting</t>
  </si>
  <si>
    <t>memorize ur pitch and live it</t>
  </si>
  <si>
    <t>I learned that you need to make your self sound genuine to the judges.</t>
  </si>
  <si>
    <t>Live my pitch</t>
  </si>
  <si>
    <t>Memorize</t>
  </si>
  <si>
    <t xml:space="preserve">Eye contact is very important </t>
  </si>
  <si>
    <t>I learned to use more passion when talking</t>
  </si>
  <si>
    <t xml:space="preserve">have a wow factor </t>
  </si>
  <si>
    <t>Have an introduction, main point, and conclusion don’t skip over setting the scene with your judge</t>
  </si>
  <si>
    <t>Using a Woo factor, speak with confidence, have communication skills.</t>
  </si>
  <si>
    <t>graphs are important in writtens</t>
  </si>
  <si>
    <t>Roshan</t>
  </si>
  <si>
    <t>Khanna</t>
  </si>
  <si>
    <t>Om L</t>
  </si>
  <si>
    <t>I like what Mr. Kommu said: prayer can go a long way!</t>
  </si>
  <si>
    <t>A</t>
  </si>
  <si>
    <t xml:space="preserve">Armaan </t>
  </si>
  <si>
    <t>Finished my goal</t>
  </si>
  <si>
    <t xml:space="preserve">I finished timeline plus pages </t>
  </si>
  <si>
    <t>I worked on Unique Value Proposition</t>
  </si>
  <si>
    <t>I finished one page of my written on the strategic suggestions.</t>
  </si>
  <si>
    <t>spaced out it slides to be presentational friendly</t>
  </si>
  <si>
    <t>Made slide 11 and 20 better</t>
  </si>
  <si>
    <t>I completed my goal, fixed up the slides for my Solutions as well as Value/ROI</t>
  </si>
  <si>
    <t>I finished my overview slide</t>
  </si>
  <si>
    <t xml:space="preserve">I finished 3 pages of the written </t>
  </si>
  <si>
    <t>I finished redesigning the first slide</t>
  </si>
  <si>
    <t>I made my wrotten more appealing, and i shortened thw paragraphs</t>
  </si>
  <si>
    <t>Today I completed a page of my proposed plan just like I said I would :)</t>
  </si>
  <si>
    <t xml:space="preserve">Completed our budget on slides </t>
  </si>
  <si>
    <t xml:space="preserve">Tanjani </t>
  </si>
  <si>
    <t>One page of our writteb</t>
  </si>
  <si>
    <t>detail financial graph/numbers</t>
  </si>
  <si>
    <t xml:space="preserve">Guo </t>
  </si>
  <si>
    <t>finished budget</t>
  </si>
  <si>
    <t>Findings and conclusion</t>
  </si>
  <si>
    <t xml:space="preserve">I finished the channels section of my written </t>
  </si>
  <si>
    <t xml:space="preserve">I worked on my written </t>
  </si>
  <si>
    <t>The competitive advantage</t>
  </si>
  <si>
    <t>michael</t>
  </si>
  <si>
    <t>myra patel is so hot😛😛😛</t>
  </si>
  <si>
    <t>Sarah my</t>
  </si>
  <si>
    <t>alicia tang</t>
  </si>
  <si>
    <t>My participant ID is 131683976</t>
  </si>
  <si>
    <t>I don’t have one</t>
  </si>
  <si>
    <t>Hao-chien</t>
  </si>
  <si>
    <t>chloe zhang</t>
  </si>
  <si>
    <t>mia</t>
  </si>
  <si>
    <t>hannah</t>
  </si>
  <si>
    <t>Yicheng(kissa)</t>
  </si>
  <si>
    <t>Lincoln Jacob</t>
  </si>
  <si>
    <t xml:space="preserve">Kyle Chen </t>
  </si>
  <si>
    <t>ID is 131567304</t>
  </si>
  <si>
    <t>park</t>
  </si>
  <si>
    <t xml:space="preserve">Sophie </t>
  </si>
  <si>
    <t>our gingerbread  house the best</t>
  </si>
  <si>
    <t xml:space="preserve">Saisha </t>
  </si>
  <si>
    <t>Evenlyn bai</t>
  </si>
  <si>
    <t xml:space="preserve">hyunseok </t>
  </si>
  <si>
    <t>cho</t>
  </si>
  <si>
    <t>My mentor said to leave it blank and that it’s fine</t>
  </si>
  <si>
    <t xml:space="preserve">om </t>
  </si>
  <si>
    <t xml:space="preserve">got excuse from revathi </t>
  </si>
  <si>
    <t xml:space="preserve">Bennett </t>
  </si>
  <si>
    <t>i don’t have to submit because i’m not going</t>
  </si>
  <si>
    <t>i don’t have one</t>
  </si>
  <si>
    <t>DECAwritten2025</t>
  </si>
  <si>
    <t xml:space="preserve">JennaLy </t>
  </si>
  <si>
    <t xml:space="preserve">Fangonilo </t>
  </si>
  <si>
    <t>131357406, I don’t know if this is right, this is the username I found in Nick’s email</t>
  </si>
  <si>
    <t xml:space="preserve">Arushi </t>
  </si>
  <si>
    <t>isobel</t>
  </si>
  <si>
    <t>kwong</t>
  </si>
  <si>
    <t>neela</t>
  </si>
  <si>
    <t>koneru</t>
  </si>
  <si>
    <t xml:space="preserve">matthew </t>
  </si>
  <si>
    <t>zhu</t>
  </si>
  <si>
    <t>suneri chin</t>
  </si>
  <si>
    <t>i’m not going to svcdc</t>
  </si>
  <si>
    <t>Riday.</t>
  </si>
  <si>
    <t>Edited my written.</t>
  </si>
  <si>
    <t>I checked my mentor’s notes and worked on my written.</t>
  </si>
  <si>
    <t xml:space="preserve">I worked on presentation skills. </t>
  </si>
  <si>
    <t>First Name</t>
  </si>
  <si>
    <t>Last Name</t>
  </si>
  <si>
    <t>Mentee Experience Status</t>
  </si>
  <si>
    <t>Mentor's First &amp; Last Name</t>
  </si>
  <si>
    <t>What day will you be absent?</t>
  </si>
  <si>
    <t>Reporting Absence at</t>
  </si>
  <si>
    <t xml:space="preserve">Briefly describe the reasons for your absence.  If this is an absence related to a test/quiz, sport or activity, provide: 1)teacher's name/subject if taking a mandatory test or 2) coach's name/sport or- 3)mentor's name/activity.  </t>
  </si>
  <si>
    <t>Comments - provide any detailed information to explain your absence.  If you have any questions, please let your mentor know and they can discuss it with an advisor.</t>
  </si>
  <si>
    <t>Excused?</t>
  </si>
  <si>
    <t>Workshop</t>
  </si>
  <si>
    <t>I have a blood test today after school</t>
  </si>
  <si>
    <t>I have an appointment right after school today so I cannot stay for the workshop today.</t>
  </si>
  <si>
    <t>Yes</t>
  </si>
  <si>
    <t xml:space="preserve">Dentist Appointment and Orthodontist Appointment </t>
  </si>
  <si>
    <t>All Hands Meeting</t>
  </si>
  <si>
    <t xml:space="preserve">I had in the lunch break the Mission Trip presentation in the Theater. Since I want to apply for the mission trip, I had to go there to be able to apply. </t>
  </si>
  <si>
    <t>Kissa</t>
  </si>
  <si>
    <t xml:space="preserve">Sickness, I got a fever and didn’t come to school today </t>
  </si>
  <si>
    <t>Chem tutoring</t>
  </si>
  <si>
    <t>No</t>
  </si>
  <si>
    <t xml:space="preserve">Tutoring chemistry was a once time occurrence </t>
  </si>
  <si>
    <t>All Hands Meeting, Workshop</t>
  </si>
  <si>
    <t>Scientific Research field trip to livermore; also agritech meeting</t>
  </si>
  <si>
    <t>anoushka.kapil@warriorlife.net</t>
  </si>
  <si>
    <t>Anoushka</t>
  </si>
  <si>
    <t>Kapil</t>
  </si>
  <si>
    <t>I am home sick so i cannot attend the in-person All Hands Meeting</t>
  </si>
  <si>
    <t>Warrior worship LA trip</t>
  </si>
  <si>
    <t>Gandhi</t>
  </si>
  <si>
    <t>I had a counselor meeting booked weeks ago-Mrs Smith</t>
  </si>
  <si>
    <t>Spoke to Mr Shimada about it previously.</t>
  </si>
  <si>
    <t>Went on a Southern California trip with the worship team with Dr. Utomo as our main chaperone. Was gone from 9/16 to 9/17 and got back at 9 PM on 9/17.</t>
  </si>
  <si>
    <t>Coach Coleman, water polo game at Mitty, bus leaves at 1:30</t>
  </si>
  <si>
    <t>Coach Watson/Cross Country</t>
  </si>
  <si>
    <t>The bus for the race leaves after chapel. The race is mandatory.</t>
  </si>
  <si>
    <t>Cross country meet during the day. Coach is Kaela Watson</t>
  </si>
  <si>
    <t>School Cross Country meet where we leave right after the rally and don’t return</t>
  </si>
  <si>
    <t xml:space="preserve">Thatcher </t>
  </si>
  <si>
    <t>I am going to WCAL for cross country, my coach’s name is Kaela Watson</t>
  </si>
  <si>
    <t>I will be going to a cross country race and will be absent for most of the day except second period and open period. Please forgive my absence.</t>
  </si>
  <si>
    <t>Coach Tiffany Chambers, mandatory Varsity Cheer lunch practice for the halftime performance happening at Homecoming on Saturday</t>
  </si>
  <si>
    <t>Water polo</t>
  </si>
  <si>
    <t>I’m on warrior court (we have an off-campus lunch) and then I have a water polo game</t>
  </si>
  <si>
    <t>I have to be at one of the ASB lunch rally games because I have to MC it.</t>
  </si>
  <si>
    <t>Cheer practice at lunch-Coach tiff/Avilucea</t>
  </si>
  <si>
    <t>Since its hoco week, We have cheer practice everyday this week.</t>
  </si>
  <si>
    <t>I am currently home sick and was not able to come to school at all.</t>
  </si>
  <si>
    <t>Coach Carlson, Water Polo</t>
  </si>
  <si>
    <t>I have an away game at SHP. Will continue to happen in the future occasionally for other away games but ill rmemeber to fill out the form</t>
  </si>
  <si>
    <t>I am having the senior family meeting with my consoler Mrs. Thomas during the lunch.</t>
  </si>
  <si>
    <t xml:space="preserve">Im not feeling good and went home </t>
  </si>
  <si>
    <t>Izzy</t>
  </si>
  <si>
    <t>Lunch meeting with pastor anna</t>
  </si>
  <si>
    <t xml:space="preserve">I missed school today because I am really sick </t>
  </si>
  <si>
    <t xml:space="preserve">I have bad nausea and headaches </t>
  </si>
  <si>
    <t>Warrior court lunch/ Mr. Smith</t>
  </si>
  <si>
    <t>This was a lunch for warrior court members. Mr. Smith, Dr. Silva and other admin were present.</t>
  </si>
  <si>
    <t>i had an orthodontist appointment that can not be skipped</t>
  </si>
  <si>
    <t>pham</t>
  </si>
  <si>
    <t xml:space="preserve">Sophia White/ Got a dentist appointment at 3:15pm today. </t>
  </si>
  <si>
    <t>n/a</t>
  </si>
  <si>
    <t xml:space="preserve">I was at school and during the final periods of the day I caught a fever </t>
  </si>
  <si>
    <t>Coach Kayla Watson/Cross Country, we had a meet and left during the rally</t>
  </si>
  <si>
    <t>I had a cross country meet in San Francisco and left during the rally.</t>
  </si>
  <si>
    <t>Cross country meet- Kaela Watson (coach)</t>
  </si>
  <si>
    <t>had to leave school by 11.30, so unable to go all hands and workshop</t>
  </si>
  <si>
    <t xml:space="preserve">Vidhani </t>
  </si>
  <si>
    <t>2) Coach Watson/Cross country</t>
  </si>
  <si>
    <t xml:space="preserve">I had a cross country meet outside of school </t>
  </si>
  <si>
    <t>dohn</t>
  </si>
  <si>
    <t xml:space="preserve">I am in the play radium girls and its mandatory makeup and dress rehearsal
Teacher: Ms. Kaelin </t>
  </si>
  <si>
    <t>I have a sports activity that i discussed with shimada.  Coach Jacqueline Hihosa.</t>
  </si>
  <si>
    <t xml:space="preserve">Coach Pepe - Golf Match </t>
  </si>
  <si>
    <t>I have a golf match which is why I have to miss the workshop. My coach's name is Coach Pepe.</t>
  </si>
  <si>
    <t>I have a golf tournament on Wedenesday after school: The coach’s name is Coach Pepe.</t>
  </si>
  <si>
    <t>Car maintenance appointment at 1:30</t>
  </si>
  <si>
    <t>I am very sick and not feeling well.</t>
  </si>
  <si>
    <t xml:space="preserve">School Suspension </t>
  </si>
  <si>
    <t>Doctors appointment for knee. Mandatory</t>
  </si>
  <si>
    <t>Partner is at workshop</t>
  </si>
  <si>
    <t>I will be in China with PIE, Mr. Wilson</t>
  </si>
  <si>
    <t>I will be in a different country</t>
  </si>
  <si>
    <t>in China with PIE, Mr. Wilson</t>
  </si>
  <si>
    <t>in a different country</t>
  </si>
  <si>
    <t>I have a dentist appointment.</t>
  </si>
  <si>
    <t>I had FRC practice today in preparation for a competition. Mrs. Luper was my advisor today.</t>
  </si>
  <si>
    <t>I will be coming the next 3 practices to make up for this.</t>
  </si>
  <si>
    <t>I was taking a quiz for English 10H Mrs Shabaglian</t>
  </si>
  <si>
    <t>Had to do corrections and grading for AP Chem FRQ at lunch, as I did not finish my FRQ grading yesterday and needed to come in at lunch today to do so.</t>
  </si>
  <si>
    <t>Nothing.</t>
  </si>
  <si>
    <t>I have to attend the preseason soccer information meeting during lunch on October 8th. The coach’s name is Kendra Stewart, and the sport is soccer.</t>
  </si>
  <si>
    <t>I have a golf match afterschool and I am not allowed to skip. Coach- Coach Scot, mentor- Alicia Tang</t>
  </si>
  <si>
    <t>Coach Scot Hathaway/ golf match</t>
  </si>
  <si>
    <t>I have a golf match tomorrow that I cannot miss.</t>
  </si>
  <si>
    <t xml:space="preserve">PIE (marching band) China trip, Mr Wilson </t>
  </si>
  <si>
    <t xml:space="preserve">PIE is going on a government paid trip to China. I am leaving for this trip on Oct 7, and will be gone till Oct 18 because I will be in China. </t>
  </si>
  <si>
    <t xml:space="preserve">PIE China trip, Mr Wilson </t>
  </si>
  <si>
    <t xml:space="preserve">I’m going on the PIE China trip and will be gone from Oct 8 to Oct 18. </t>
  </si>
  <si>
    <t>Radium girls has a student show from 9:20 to the end of school and we aren’t allowed to eat lunch at the regular time. (Mrs. Kaelin) (Sarah Suh)</t>
  </si>
  <si>
    <t>I was really sick and threw up this morning so i’m not at school sorry :(</t>
  </si>
  <si>
    <t xml:space="preserve">Pls don’t be mad at me </t>
  </si>
  <si>
    <t>Injured knee. I got surgery on monday and unable to come to school.</t>
  </si>
  <si>
    <t xml:space="preserve">I am not at school today due to illness. </t>
  </si>
  <si>
    <t>AP Statistics FRQ test, Mrs. Smith</t>
  </si>
  <si>
    <t xml:space="preserve">i have a wedding that has been planned for months </t>
  </si>
  <si>
    <t>I am sick and is not at school today</t>
  </si>
  <si>
    <t xml:space="preserve">Hi, I needed to talk to my counselor Mr. Sizelove about the college application process. </t>
  </si>
  <si>
    <t>I missed a counselor meeting before due to me being sick, so I had to meet with him today.</t>
  </si>
  <si>
    <t>family event</t>
  </si>
  <si>
    <t>I have a surgery consultation for my breathing that I cannot miss.</t>
  </si>
  <si>
    <t>I talked to Shimada about this.</t>
  </si>
  <si>
    <t>Cherrilyn</t>
  </si>
  <si>
    <t>I don’t have a ride home, my grandpa was supposed to pick me up but he can’t get me until 9pm and none of my friends in DECA live near me so I had to catch a ride home with one of my non-DECA friends.</t>
  </si>
  <si>
    <t>I had to go to the ER after school for my nose/breathing.</t>
  </si>
  <si>
    <t>i talked to mr. shimada about my two absences</t>
  </si>
  <si>
    <t>Experienced - must lock in for math test meeting a peer tutor</t>
  </si>
  <si>
    <t xml:space="preserve">I had to watch the Radium Girls play during lunch. This was the only showing thats available to Anatomy and Physiology students, and there is no other day for me to watch it. The teacher, Mrs Gerlach said I would be marked excused for all other activities or classes that overlap this time. I had to make up my AP Stats test after school (same time as workshop) with Mrs Smith. </t>
  </si>
  <si>
    <t>I briefly talked to Mr Shimada before I went to make up my test, and he said I just needed to fill out the form.</t>
  </si>
  <si>
    <t>Sophia White/Tutoring Gig of an junior high student</t>
  </si>
  <si>
    <t>I will be missing out on tomorrow’s workshop because I have a mandatory cross country practice as Thursday is our race day. 1) n/a 2) Coach Kaela Watson 3) Saron</t>
  </si>
  <si>
    <t>Before very race, cross country has prep days, or pre race days, and since Thursday is a very important meet, WCAL, it is mandatory to attend tomorrow’s practice. Thank you for your understanding!</t>
  </si>
  <si>
    <t>Kaela Watson, Cross Country. Mandatory practice after school.</t>
  </si>
  <si>
    <t>The day after Wednesday we have a cross country meeting, so the practice on Wednesday is mandatory. Because of that I can’t come to the workshop</t>
  </si>
  <si>
    <t xml:space="preserve">Riya </t>
  </si>
  <si>
    <t>I will be missing the workshop, and there is a chance I might miss all hands too. I leave school at 4:30 and won't be back until 10 because I have rehearsal in Palo Alto for Palo Alto Chamber Orchestra. I wanted to take the time I have after school and during lunch to study and go to office hours because the next day I have a quiz and a test that I need help preparing for. Usually every week I would go to the meetings and study after I get home from rehearsal, but for this particular situation I need more help with the material because I don't fully understand yet and I don't want to come to the test/quiz unprepared the next day.</t>
  </si>
  <si>
    <t>Mandatory pre-race practice.</t>
  </si>
  <si>
    <t>2) Waterpolo Game-- Shea Coleman</t>
  </si>
  <si>
    <t xml:space="preserve">I have already let Mr. Shimada know and we have talked about my waterpolo and DECA meeting problems-- I will still meet the 75% by attending the rest of the meeting this month. </t>
  </si>
  <si>
    <t>i got sick</t>
  </si>
  <si>
    <t>I have an excused absence from school because I am sick with a fever</t>
  </si>
  <si>
    <t>1) Mrs. Shak; AP Calculus BC</t>
  </si>
  <si>
    <t>Needed to go over u-substitution before quiz next class and test the following class. I had literally no other time to go over the problems.</t>
  </si>
  <si>
    <t>sick</t>
  </si>
  <si>
    <t>I did not go to school today (10/15)</t>
  </si>
  <si>
    <t>I couldn't come to school today because I have a stomach bug</t>
  </si>
  <si>
    <t xml:space="preserve">I could not go to school at all not just the deca meetings. </t>
  </si>
  <si>
    <t>Coach Watson.</t>
  </si>
  <si>
    <t xml:space="preserve">Mandatory Cross Country after school practice </t>
  </si>
  <si>
    <t>Kaela Watson/Cross Country We have a mandatory practice after school for the meet on 10/16. The practice goes till 4:45</t>
  </si>
  <si>
    <t>My parents got mad at me and Im not allowed to go</t>
  </si>
  <si>
    <t>i have an appintment that i have had scheduled and can’t reschedule or we will have to pay money</t>
  </si>
  <si>
    <t>Froeder</t>
  </si>
  <si>
    <t>Field hockey practice, Coach jackie</t>
  </si>
  <si>
    <t>I’m missing 50% of deca after school workshops during the fall</t>
  </si>
  <si>
    <t>Knee surgery out with doctors instructions</t>
  </si>
  <si>
    <t xml:space="preserve">I forgot there was a lunch meeting </t>
  </si>
  <si>
    <t>suneri/doctors appointment</t>
  </si>
  <si>
    <t xml:space="preserve">Golf match/ Coach Scot Hathaway </t>
  </si>
  <si>
    <t>This is a mandatory golf match.</t>
  </si>
  <si>
    <t>louis</t>
  </si>
  <si>
    <t>Mentor Name: Riday
i will be absent because there is a college visit at lunch and many colleges on my list are pullin up</t>
  </si>
  <si>
    <t>I will be going to the PGA Jr league national championships and my flight is at 6 pm so I will have to leave school early.</t>
  </si>
  <si>
    <t>I already missed one afterschool meeting this month due to a golf match for school which I could not skip.</t>
  </si>
  <si>
    <t xml:space="preserve">Yiu </t>
  </si>
  <si>
    <t>Coleman/Waterpolo</t>
  </si>
  <si>
    <t>In the beginning of the season, we established that waterpolo gets two excused absences for a game so I’m using one now.</t>
  </si>
  <si>
    <t xml:space="preserve">Coach Scott - Varsity Golf Match @ Green Hills, afterschool </t>
  </si>
  <si>
    <t xml:space="preserve">My Coach has talked to Deca about my absent about missing the workshop for golf since I have already missed 1 this month. I have also discussed it with my mentor. </t>
  </si>
  <si>
    <t>The college fair is tomorrow, and three or more of the schools I plan on applying to are going to be there.</t>
  </si>
  <si>
    <t>I am out of town on a business trip with my parents so I am not at school,</t>
  </si>
  <si>
    <t>I will be at the college fair during lunchtime.</t>
  </si>
  <si>
    <t>james</t>
  </si>
  <si>
    <t>yu</t>
  </si>
  <si>
    <t xml:space="preserve">Doctor’s appointment </t>
  </si>
  <si>
    <t>I originally didn’t knoe there was a doctor’s appointment and had to leave without notice.</t>
  </si>
  <si>
    <t xml:space="preserve">College visits at lunch today. I am interested in applying to many of the colleges that are visiting today, so this is valuable information that I cannot miss out on. </t>
  </si>
  <si>
    <t>College fair at lunch</t>
  </si>
  <si>
    <t xml:space="preserve">I am sick and not at school </t>
  </si>
  <si>
    <t>Tiffanh</t>
  </si>
  <si>
    <t>Doctor’s appointment</t>
  </si>
  <si>
    <t>College Fair at lunch.</t>
  </si>
  <si>
    <t>Lunch: Counselor meeting Cosgrove. Afterschool: waterpolo carlson</t>
  </si>
  <si>
    <t>Note: no for AH, yes for WS</t>
  </si>
  <si>
    <t xml:space="preserve">Out of State College Fair. My parents told me to attend the fair to gather information about college apps and possible financial aid options.  1. hthomas@vcs.net shgilbert22@yahoo.com (mom) 2. Sophia White </t>
  </si>
  <si>
    <t xml:space="preserve">My parents wanted me to attend to gather information about college about the schools I’m going to apply to. This includes financial aide. </t>
  </si>
  <si>
    <t>I have a high fever.</t>
  </si>
  <si>
    <t>I have been sick for 4 days and I'm staying home to get well</t>
  </si>
  <si>
    <t>Sophia White/Picking Up my sister from her school.</t>
  </si>
  <si>
    <t>Both my parents are currently out of town until Friday.</t>
  </si>
  <si>
    <t>I am sick</t>
  </si>
  <si>
    <t xml:space="preserve">Doctors appointment </t>
  </si>
  <si>
    <t xml:space="preserve">Lincoln </t>
  </si>
  <si>
    <t>I have a doctor’s appointment tomorrow.</t>
  </si>
  <si>
    <t>Lunch: doctors appointment. Afterschiol: water polo home game</t>
  </si>
  <si>
    <t xml:space="preserve">I am not feeling well and I am sick so I am missing school tomorrow, October 29th. </t>
  </si>
  <si>
    <t xml:space="preserve">Missing school due to sickness so I can’t go to the meeting. </t>
  </si>
  <si>
    <t>Mrs. Claudia Smith for taking AMC 10 A this day after school</t>
  </si>
  <si>
    <t>it should be obvious this is excused 😏</t>
  </si>
  <si>
    <t>Ms. Megan Stagi for Emerge-Adventures in Wonderland Tech Week</t>
  </si>
  <si>
    <t>It should be obvious this is an excused absence 😏</t>
  </si>
  <si>
    <t>Mrs. Evans-I need to try out the costumes for Emerge: Adventures in Wonderland this day, and I cannot do it Friday (the other available day) due to Fall Palooza-club meeting thing</t>
  </si>
  <si>
    <t>It's possible that I'll only miss the few minutes in the beginning or it could be the whole meeting depending on the schedule... Who knows 🤔</t>
  </si>
  <si>
    <t xml:space="preserve">Nathaniel </t>
  </si>
  <si>
    <t xml:space="preserve">Orthodontist appointment </t>
  </si>
  <si>
    <t xml:space="preserve">I have XPRIZE Wildfire competition that spans the whole day. Our mentor is Mr. Grady. </t>
  </si>
  <si>
    <t>Not able to reschedule. Will still do a practice exam after school to make up for missed workshop time.</t>
  </si>
  <si>
    <t>I have a school event. I will be attending science camp with the 5th graders as a counselor. My teacher for this specific event is an elementary teacher, Mrs. Dmukhovskiy</t>
  </si>
  <si>
    <t xml:space="preserve">I had a shadow today and I had to guide my shadow around during lunch which we were told by Mrs Griffiths. I couldn’t attend the all hands meeting therefore but it was a one time thing I won’t have any shadows after this. </t>
  </si>
  <si>
    <t xml:space="preserve">I had to show the shadow around and get lunch with them so I couldn’t attend the lunch meeting.
</t>
  </si>
  <si>
    <t>I have a dentist appointment at 2:40pm today, so I am leaving school at 2:00pm</t>
  </si>
  <si>
    <t xml:space="preserve">Charlotte </t>
  </si>
  <si>
    <t>Volleyball game vs. Saint Francis, Coach: Ron Whitmill</t>
  </si>
  <si>
    <t>Our bus leaves at 2pm so I won’t be able to make workshop.</t>
  </si>
  <si>
    <t>I am not feeling well and will not be at school during these times.</t>
  </si>
  <si>
    <t>I had to fly to So-Cal on a whim because of a family emergency, my grandma is very sick and is not doing well. My mentor is melody</t>
  </si>
  <si>
    <t>I’m sick and I didn’t attend school today.</t>
  </si>
  <si>
    <t>I am ill</t>
  </si>
  <si>
    <t>I was absent today because I was sick and I didn’t attend school either.</t>
  </si>
  <si>
    <t>alyssa</t>
  </si>
  <si>
    <t>doan</t>
  </si>
  <si>
    <t>yesterday, i got a bug bite and allergic reaction to it, so i had to go to urgent care and i took drowsy medicine and didnt come to school today</t>
  </si>
  <si>
    <t>2) game</t>
  </si>
  <si>
    <t xml:space="preserve">i have a dentist appointment after school today and i already rebooked it last time so i can’t reschedule anymore. </t>
  </si>
  <si>
    <t>I have to get my blood drawn and the appointment cannot be rescheduled.</t>
  </si>
  <si>
    <t>Field hockey practice, Coach Jackie, i’m excused from 50% of after school workshops.</t>
  </si>
  <si>
    <t xml:space="preserve">Tu </t>
  </si>
  <si>
    <t>Club event meeting for fall palooza; Chinese student Union Mrs.Pai</t>
  </si>
  <si>
    <t>Experienced mentee</t>
  </si>
  <si>
    <t xml:space="preserve">i dont think this is excused. talk to me after </t>
  </si>
  <si>
    <t>Sophia White/Volunteering at a local school for a halloween event</t>
  </si>
  <si>
    <t xml:space="preserve">I had to go home early because I had a stomach ache after unknowingly consuming moldy bread. </t>
  </si>
  <si>
    <t>I have discussed my absence with my mentor as well as Mr. Shimada.</t>
  </si>
  <si>
    <t>I will be absent because of mandatory cross country meet at Crystal Springs. My coach’s name is Kaela Watson and the sport is Cross Country, my mentor’s name is Saron Amdeberhan</t>
  </si>
  <si>
    <t>the entire cross country team will be leaving at 10:45 to go to Crystal Springs for our final meet. I will also not be able to fulfill my condition for not completing Step Two of the SVCDC registration, however as this is our last meet, I will be free to do it all the other days.</t>
  </si>
  <si>
    <t>Required cross country meet</t>
  </si>
  <si>
    <t xml:space="preserve">Mrs. Carlson, my AP Art History teacher is making me take my test during lunch because this will be the last opportunity to make it up. </t>
  </si>
  <si>
    <t>There is a math competition after school, it can't be moved.</t>
  </si>
  <si>
    <t>Had a doctors appointment, left school early.</t>
  </si>
  <si>
    <t>Music activity - Ryan Beiter</t>
  </si>
  <si>
    <t>music rehersal during lunch for the sounds of autumn concert</t>
  </si>
  <si>
    <t xml:space="preserve">I have a make up quiz for Mrs Shabaglian’s English 10H class during lunch, I also have the AMC 10 after school and have to miss the workshop as well. </t>
  </si>
  <si>
    <t>no for lunch, yes workshop</t>
  </si>
  <si>
    <t xml:space="preserve">AMC10 Exam, I will be getting proctored by Mr. Nie but Dr. Shim and Mrs. Smith are the main organizers of this event. </t>
  </si>
  <si>
    <t>I will attending a Cross Country Meet
 teacher/coach: Kaela Watson
Sport: cross country
Mentor: Saron Amdeberham IMC-P</t>
  </si>
  <si>
    <t>I will be leaving by bus to a park at 10:45 and will not be able to attend either one of the DECA events. I already sent out a form for the Workshop, but I was not aware that I would miss lunch as well</t>
  </si>
  <si>
    <t xml:space="preserve">Michael </t>
  </si>
  <si>
    <t>Coach: Kaela Watson, Cross country meet.</t>
  </si>
  <si>
    <t>It is WCAL finals and I will have to leave around the beginning of third period so I will have to miss the lunch meeting. But I can make it back to school in time for the workshop.</t>
  </si>
  <si>
    <t>Music activity, Sounds of Autumn Music Festival Jazz Combo</t>
  </si>
  <si>
    <t>I am very sick and taking the day off.</t>
  </si>
  <si>
    <t>Staying home whole day because of fever</t>
  </si>
  <si>
    <t>Hyunseok</t>
  </si>
  <si>
    <t>Cho</t>
  </si>
  <si>
    <t>I have senior portraits and therefore will not be at school.</t>
  </si>
  <si>
    <t>i have a cross country meet. Kaela Watson/Cross Country</t>
  </si>
  <si>
    <t>Cross country meet- Ms Watson</t>
  </si>
  <si>
    <t xml:space="preserve">Left at 10:45 for a cross country meet all day: was granted permission from Mr Shimada to miss All Hands &amp; Workshop  along  with clean up. </t>
  </si>
  <si>
    <t xml:space="preserve">Office Meeting/ Dr Silva/ Mia </t>
  </si>
  <si>
    <t xml:space="preserve">AMC 10- Taking it under Mr. Nie e205 and Dr. Shim and Mrs. Smith orchestrated the thing. </t>
  </si>
  <si>
    <t xml:space="preserve">I am taking the AMC10A today after school in Mr. Nie’s classroom. </t>
  </si>
  <si>
    <t>AMC 10</t>
  </si>
  <si>
    <t xml:space="preserve">I have a doctors appt right after school </t>
  </si>
  <si>
    <t xml:space="preserve">Geralyn </t>
  </si>
  <si>
    <t xml:space="preserve">I have a basketball meeting from 3-4 afterschool. My coach’s name is Coach Ashely. </t>
  </si>
  <si>
    <t>I got sick (cough, sore throat, runny nose) during the weekend so I’m staying home to recover.</t>
  </si>
  <si>
    <t>I understand that getting sick now is not the best timing with VCMC coming up and I hope that the advisor team is able to extend grace, especially since I have fulfilled my commitments as a mentee. Thank you for your consideration.</t>
  </si>
  <si>
    <t xml:space="preserve">I have a basketball meeting afterschool from 3-4pm. My coach’s name is Coach Ashley. </t>
  </si>
  <si>
    <t>Ms. Gerlach's field trip</t>
  </si>
  <si>
    <t>I'm currently sick and unable to attend.</t>
  </si>
  <si>
    <t>Sore throat, twisted ankle</t>
  </si>
  <si>
    <t xml:space="preserve">My coach made me go and support my teammate's signing. </t>
  </si>
  <si>
    <t>I have confirmation from my coach that they made me go.</t>
  </si>
  <si>
    <t xml:space="preserve">Tutoring </t>
  </si>
  <si>
    <t xml:space="preserve">I have a meeting for international students during lunch time in E105, and Mrs. Seo send me an email that it’s mandatory for all international students </t>
  </si>
  <si>
    <t>Not at school due to excused absence.</t>
  </si>
  <si>
    <t>I will be gone for a dentist appointment after school, which is at 3:30 and 20 minutes away from school.</t>
  </si>
  <si>
    <t xml:space="preserve">Srinivasan </t>
  </si>
  <si>
    <t xml:space="preserve">I have a soccer games. My coach is Michael Kute. </t>
  </si>
  <si>
    <t xml:space="preserve">No. </t>
  </si>
  <si>
    <t>I have dentist appointment right after school.</t>
  </si>
  <si>
    <t>I will be absent for the November 19th workshop due to a mandatory dance practice for the Emerge dance show. This practice is a requirement (and does affect my grade) for my Dance Technique 2 class. My teacher’s name is Ms. Kara Richey, the director of the show is Mrs. Michelle McLaughlin.</t>
  </si>
  <si>
    <t>completed F&amp;F assignment</t>
  </si>
  <si>
    <t>I have a counselor meeting with Mr. Lewis starting at 1pm during lunch.</t>
  </si>
  <si>
    <t>College interview!!</t>
  </si>
  <si>
    <t>It was the best time for the interviewer, so I didn’t really have a choice.</t>
  </si>
  <si>
    <t>Dr. Shim Test Corrections Office hours- only available Monday, Wednesday, Friday but the test corrections end Thursday</t>
  </si>
  <si>
    <t xml:space="preserve">If not excused, I will come but it would be absolutely great if I could get excused as this is very important to maintaining a good grade. </t>
  </si>
  <si>
    <t xml:space="preserve">This is the only day that I can take the college tour that aligns with my mom’s schedule. We tried to find other days that work but she is very busy with work. </t>
  </si>
  <si>
    <t>If you need to contact my mom that’s fine, she can also explain further.</t>
  </si>
  <si>
    <t>Mandatory test Dr. Shim Precalculus honors test retake.</t>
  </si>
  <si>
    <t>I will be skipping the workshop to retake a math test with dr shim.</t>
  </si>
  <si>
    <t>Mandatory Emerge Dance Show Tech Rehearsal, Filming day (filming the entire show), Mrs. McLaughlin</t>
  </si>
  <si>
    <t>2) Valley Varsity Soccer Team game at Santa Clara High School. Coach is Mr. Kute</t>
  </si>
  <si>
    <t>Came down with a cold and not at school today.</t>
  </si>
  <si>
    <t>I am going to be absent for the workshop because I have an after school soccer scrimmage that I must attend in preparation for our first game. The coach’s name is Kendra Stewart, and I play soccer. My mentor’s name is Ranjani.</t>
  </si>
  <si>
    <t xml:space="preserve">Have an doctors appointment and will be picked up and be gone for the day </t>
  </si>
  <si>
    <t>tech week emerge show teacher is Ms. Mclaughlin.</t>
  </si>
  <si>
    <t>I’m sick and not at school today.</t>
  </si>
  <si>
    <t>Agri tech last meeting</t>
  </si>
  <si>
    <t>Soccer game, Mr. Kute</t>
  </si>
  <si>
    <t>I was sick today and did not come to school.</t>
  </si>
  <si>
    <t>For Service Learning: Justice during 3B (right before lunch and all-hands) on Wednesday, Mr. Gallaher wants us as a class to stay longer at Stand4, where we will be helping out with food distribution in food boxes. This means we will be staying for 10-15 minutes into lunch.</t>
  </si>
  <si>
    <t>Mr. Gallaher has asked for a class vote, and a majority of the class wanted to stay longer during lunch instead of missing chapel. Since I am not able to get transportation back to Valley before lunch, I have to miss at least half of the all-hands meeting.</t>
  </si>
  <si>
    <t>Mr. Gallaher, Service Learning: Justice, Field Trip to Stan4</t>
  </si>
  <si>
    <t>I will miss half of lunch because our class is staying later to volunteer at Stan4.</t>
  </si>
  <si>
    <t>I am currently sick at home.</t>
  </si>
  <si>
    <t>counsellor meeting, mr. lewis</t>
  </si>
  <si>
    <t xml:space="preserve">Eye Doctor Appointment </t>
  </si>
  <si>
    <t>Jessica a</t>
  </si>
  <si>
    <t>I have a a dentist appointment at 3:30 today so I am not able to attend todays workshop, but I am currently at the all hands meeting.</t>
  </si>
  <si>
    <t>This is my first absence from DECA.</t>
  </si>
  <si>
    <t>Service Hours at church</t>
  </si>
  <si>
    <t>I have a headache and had to stay hime today.</t>
  </si>
  <si>
    <t>I also told my mentor about my abcense today.</t>
  </si>
  <si>
    <t>no</t>
  </si>
  <si>
    <t xml:space="preserve"> attendance: 75% workshops</t>
  </si>
  <si>
    <t xml:space="preserve">I had a math test and still needed lunch time to complete it, In Mr.Lemas classroom E230 3B unit 5 math test </t>
  </si>
  <si>
    <t xml:space="preserve">I did not expect the test to run long </t>
  </si>
  <si>
    <t>Mandatory test makeup for an outside of school class</t>
  </si>
  <si>
    <t>dental appointment</t>
  </si>
  <si>
    <t xml:space="preserve">i had a appointment after school </t>
  </si>
  <si>
    <t>i got really sick and i had to see the doctor for my fever and sore throat and today after school was the only available time slot otherwise i would've had to wait for too long but i needed meds and a check up</t>
  </si>
  <si>
    <t>Kissa yicheng</t>
  </si>
  <si>
    <t>I had a fever and i was absence at school</t>
  </si>
  <si>
    <t>I had a fever</t>
  </si>
  <si>
    <t xml:space="preserve">I will not be in town. My sister is graduating college and we are going to visit her and help her move back to California. I leave for Arizona on Tuesday and will be gone the entire week. My mentor is Sophia White. My mothers email is shgilbert22@yahoo.com </t>
  </si>
  <si>
    <t xml:space="preserve">My sister is graduating college in Arizona and we are having a family reunion to celebrate her. We will also be helping her move back to California by bringing her and her stuff home. My sister is graduating with a double major in special education and elementary education and it is a huge family event. I will be gone the whole week starting Tuesday as I have to help move stuff home. If you have any questions my phone number is 1 (408) 406-0761 and my mothers email is shgilbert22@yahoo.com </t>
  </si>
  <si>
    <t xml:space="preserve">My Chinese teacher is Ms. Pai. I need to complete a mandatory test afterschool that day. </t>
  </si>
  <si>
    <t>Test - Ms. Garay, Spanish 2</t>
  </si>
  <si>
    <t>I need to miss the all-hands meeting on 12/10 because I’m planning to make up a Spanish 2 test with Ms. Garay. I didn’t do as well as I hoped on the test, and the make-up time available is during lunch on 12/10. I will still be able to attend food and fellowship.</t>
  </si>
  <si>
    <t>I’m still sick so my dad wants me to go home to rest.</t>
  </si>
  <si>
    <t>The only reason I went to school in the first place was for one of my finals. (AP Hug was moved to a week earlier)</t>
  </si>
  <si>
    <t>Dr. Angulo, AP Spanish, making up a quiz from an absence on Friday. It’s past late work deadline so he said to get it done today lunch.</t>
  </si>
  <si>
    <t>I am sick at home with a cold</t>
  </si>
  <si>
    <t>Agri-tech final meeting and I need to set up my Fellows Project today because it is relevant to my Scientific Research class as well. The teacher is Mr. Gonzalez.</t>
  </si>
  <si>
    <t>I got permission from Mrs. Wang because I have office permission to leave due to my sickness</t>
  </si>
  <si>
    <t>I have a yellow slip from the office to leave school early</t>
  </si>
  <si>
    <t>Dr Shim Pre-calc Honors Test Make-Up Emily Tang Officer/ Workshot</t>
  </si>
  <si>
    <t>I was sick.</t>
  </si>
  <si>
    <t xml:space="preserve">JV Soccer Game — Coach Jon Edwards </t>
  </si>
  <si>
    <t>I am travelling and am not in the country</t>
  </si>
  <si>
    <t>I will be back right before sv</t>
  </si>
  <si>
    <t>I have a doctor’s appointment tomorrow and will be leaving school at 2:00 pm so I will miss the workshop after school.</t>
  </si>
  <si>
    <t>out of town</t>
  </si>
  <si>
    <t>Already talked to Mr. Shimada about absence this week</t>
  </si>
  <si>
    <t>myra</t>
  </si>
  <si>
    <t>chadha</t>
  </si>
  <si>
    <t>traveling, i am in oman right now</t>
  </si>
  <si>
    <t>traveling to oman and coming back on sunday night. already talked to shimada about absence this week.</t>
  </si>
  <si>
    <t>Sick/fever</t>
  </si>
  <si>
    <t>Sick</t>
  </si>
  <si>
    <t>I am sick with a fever so I could not make it today,</t>
  </si>
  <si>
    <t xml:space="preserve">I was sick and didn’t go to school today. </t>
  </si>
  <si>
    <t xml:space="preserve">I have an orthodontics appointment today and have to leave right after school. The place could only schedule an appointment on a Wednesday or sometime a lot later which we didn’t want to do. My mentors name is Jayden Peterson. </t>
  </si>
  <si>
    <t>Chronic migraine and couldn’t move my neck and breathe because of it.</t>
  </si>
  <si>
    <t>I made sure to let an officer amd co pres know why I couldn’t make my practice roleplay today.</t>
  </si>
  <si>
    <t>I have to go to a game that requires me to leave at 12:00 as it is in San Francisco. The game starts at 2:30, and my coach's name is Coach Kute; he is the soccer coach. My mentor is Saron for IMCP.</t>
  </si>
  <si>
    <t>I’m sick so I’m at home today</t>
  </si>
  <si>
    <t>Ella</t>
  </si>
  <si>
    <t>Parents are unable to pick up late today.</t>
  </si>
  <si>
    <t>My parents don't have time today to pick me up late, so I need to leave at regular time.</t>
  </si>
  <si>
    <t>taking drivers permit test today</t>
  </si>
  <si>
    <t xml:space="preserve">I have a doctors appointment that was scheduled 6 months ago, so I couldn’t change it. </t>
  </si>
  <si>
    <t>I have a physical exam so I will be missing the workshop.</t>
  </si>
  <si>
    <t>I was not at school because I got sick from DECA</t>
  </si>
  <si>
    <t xml:space="preserve">I have a ear doctor appointment today which we didn’t realized we booked on a Wednesday until recently, however we couldn’t change the day. My mentors name is Jayden. </t>
  </si>
  <si>
    <t>Scheduled Senior Photos At 3:00 pm</t>
  </si>
  <si>
    <t>doctors appt</t>
  </si>
  <si>
    <t>Meeting with my surgeon for a post surgery check up</t>
  </si>
  <si>
    <t xml:space="preserve">i’m just very sick and have a doctors appointment </t>
  </si>
  <si>
    <t>Covid</t>
  </si>
  <si>
    <t>I’m sick, I have a fever and I’m staying home for today.</t>
  </si>
  <si>
    <t>I am sick.</t>
  </si>
  <si>
    <t>I am sick and can’t attend school.</t>
  </si>
  <si>
    <t xml:space="preserve">Muriki </t>
  </si>
  <si>
    <t xml:space="preserve">I am feeling very sick. </t>
  </si>
  <si>
    <t>I was sick this weekend, and I didn't go to school yesterday. I had to go to school today due to having some important lectures, and since I was here, I did attend the All-hands meeting during lunch. However, I am not feeling good enough to stay after school, so I cannot attend the workshop.</t>
  </si>
  <si>
    <t>I am feeling very sick and had to go home out of a desire to rest and also not infect anyone else.</t>
  </si>
  <si>
    <t>Tutoring several 5th graders</t>
  </si>
  <si>
    <t>I have a doctors appointment.</t>
  </si>
  <si>
    <t xml:space="preserve">I have a dentist appointment </t>
  </si>
  <si>
    <t xml:space="preserve">AP Spanish, Dr Angelo: needed to talk with him about a project, he was helping my find someone for the project so we talked during lunch to get that figured out </t>
  </si>
  <si>
    <t xml:space="preserve">Had to leave early for a soccer game at Mitty. </t>
  </si>
  <si>
    <t>I am going to be absent because I have a school soccer game for the girls varsity soccer team. Our bus leaves right as soon as lunch starts, and we will be back at around 7. Our game is at San Francisco, so I will be unable to attend the all hands meeting and the workshop. Our coach's name is Kendra Nogales, and the sport is girls soccer.</t>
  </si>
  <si>
    <t>Had a fever and body aches. I will not be at school</t>
  </si>
  <si>
    <t>I am staying home because I am sick.</t>
  </si>
  <si>
    <t>I'm sick and still recovering.</t>
  </si>
  <si>
    <t>At home sick</t>
  </si>
  <si>
    <t xml:space="preserve">i have a fever so i had to stay at home today. </t>
  </si>
  <si>
    <t xml:space="preserve">Doctor appointment </t>
  </si>
  <si>
    <t xml:space="preserve">I just found out so I couldn't submit the form earlier </t>
  </si>
  <si>
    <t>1/28/0026</t>
  </si>
  <si>
    <t>I was not feeling well during 4th period.</t>
  </si>
  <si>
    <t>I had a headache and wasn’t at school.</t>
  </si>
  <si>
    <t>Brady</t>
  </si>
  <si>
    <t>doctors appontment</t>
  </si>
  <si>
    <t>I have a dentist appointment at 3pm.</t>
  </si>
  <si>
    <t>I am leaving school early for a mandatory varsity girls soccer team event right towards the end of third period, but I should be back before the end of school, and should be able to attend the workshop after school. The sport is girls soccer and my coach is Kendra.</t>
  </si>
  <si>
    <t>Kaiser doctors appointment</t>
  </si>
  <si>
    <t>I’ve been trying to schedule an appointment with my counselor for a few days now and the only time she would be available was this wednesday lunch. Unfortunately, the things I want to talk to her about are due on Friday so it’s really urgent.</t>
  </si>
  <si>
    <t>Wi</t>
  </si>
  <si>
    <t>I have to take the USABO Open Exam today at lunch.</t>
  </si>
  <si>
    <t>Currently sick at home; didn’t attend school day + was excused from school absences due to illness</t>
  </si>
  <si>
    <t>I am staying at home because I have a fever</t>
  </si>
  <si>
    <t>Today I ended up throwing up after 4th period and I’ve already been very very sick over the last couple of days. I had to leave school after 1st period yesterday as well because of this same illness and have been coughing with a horrible throat and an upset stomach. i feel like and will not be well enough to attend today’s meeting afterschool.</t>
  </si>
  <si>
    <t xml:space="preserve">thank you for your time </t>
  </si>
  <si>
    <t>I have an eye doctor appointment today and cannot attend.</t>
  </si>
  <si>
    <t>We booked this a long time ago and couldn’t find a day that wasn’t Wednesday</t>
  </si>
  <si>
    <t>Sickness</t>
  </si>
  <si>
    <t>I have tennis tryouts, an isolated situation since the date got moved.</t>
  </si>
  <si>
    <t>It won’t happen again, since this is the only required tennis day and my written has already been worked on. Deca is still my priority.</t>
  </si>
  <si>
    <t>I am sick i have a severe headache</t>
  </si>
  <si>
    <t xml:space="preserve">I have a last minute doctor appointment that I can't skip, as the only availability is tomorrow. </t>
  </si>
  <si>
    <t>Mrs. Gerlach, Field trip to stanford for global health and wellness</t>
  </si>
  <si>
    <t>I am sick today so I am staying at home</t>
  </si>
  <si>
    <t xml:space="preserve">I have an orthopedic appointment for my ankle. </t>
  </si>
  <si>
    <t xml:space="preserve">I have not been at school yesterday and today and I might have to skip school for the next few days as well. </t>
  </si>
  <si>
    <t>Recovering from surgery from the day prior</t>
  </si>
  <si>
    <t>Soccer game at bellarmine</t>
  </si>
  <si>
    <t>I have to pick up my parents from the airport since they fly in from amsterdam today at 3pm.</t>
  </si>
  <si>
    <t xml:space="preserve">I’m feeling sick so I went home right after school  </t>
  </si>
  <si>
    <t>I have to go to San Francisco to renew my passport</t>
  </si>
  <si>
    <t>i wasnt able to go to school today im rly sick</t>
  </si>
  <si>
    <t>Doctor Appointment at Dentist</t>
  </si>
  <si>
    <t xml:space="preserve">Very important dentist appointment to get fillings for back teeth, only day not booked </t>
  </si>
  <si>
    <t>im staying home cuz i'm sick</t>
  </si>
  <si>
    <t xml:space="preserve"> I have a Bio Field Trip with Mrs. Gerlach’s class at Monterey Bay Aquarium. My mentor is Saron Amdeberhan and I’ll be missing both workshop and the All-Hands Meeting.</t>
  </si>
  <si>
    <t>Field trip to Monterey bay aquarium.</t>
  </si>
  <si>
    <t>I will be gone the whole school day tomorrow for the Monterey bay biology field trip.</t>
  </si>
  <si>
    <t>This is for Spanish test in Mrs. Lewis’s Spanish 1 class</t>
  </si>
  <si>
    <t>I missed this test because of SCDC and was unable to find any other times besides this day. I also thought we wouldn’t have any more meetings after SCDC.</t>
  </si>
  <si>
    <t xml:space="preserve">Kinshuk </t>
  </si>
  <si>
    <t>Monterey Bay Fied drip</t>
  </si>
  <si>
    <t xml:space="preserve">Dr. Taylor, Monterey Bay Aquarium field trip </t>
  </si>
  <si>
    <t>Monterey bay aquarium field trip, biology honors Mrs. Gerlach</t>
  </si>
  <si>
    <t>sickness</t>
  </si>
  <si>
    <t xml:space="preserve">I have a field trip for biology honors for the whole day </t>
  </si>
  <si>
    <t>It’s with Ms.Gerlachs class to Monterey Bay.</t>
  </si>
  <si>
    <t>I’m sick</t>
  </si>
  <si>
    <t>I’m sick so I’m not coming.</t>
  </si>
  <si>
    <t>I am sick, and absent at school.</t>
  </si>
  <si>
    <t>3) philina/field trip</t>
  </si>
  <si>
    <t>I spent extra time doing my chem test for Dr. Hagnazhari.</t>
  </si>
  <si>
    <t>amanda</t>
  </si>
  <si>
    <t>lam</t>
  </si>
  <si>
    <t>Mr. Ryu, check up</t>
  </si>
  <si>
    <t>Monterey bay aquarium trip for bio honors</t>
  </si>
  <si>
    <t>Mentor Pod #</t>
  </si>
  <si>
    <t>Mentor Name(s)</t>
  </si>
  <si>
    <t>Status</t>
  </si>
  <si>
    <t>Level</t>
  </si>
  <si>
    <t>Analytics -&gt;</t>
  </si>
  <si>
    <t>% AH attended</t>
  </si>
  <si>
    <t>% WS attended</t>
  </si>
  <si>
    <t>WS Commit OK?</t>
  </si>
  <si>
    <t>Attendance OK?</t>
  </si>
  <si>
    <t>Competing</t>
  </si>
  <si>
    <t>Nina</t>
  </si>
  <si>
    <t>Ling</t>
  </si>
  <si>
    <t>Gary</t>
  </si>
  <si>
    <t xml:space="preserve">Sofia </t>
  </si>
  <si>
    <t>Non-Compete</t>
  </si>
  <si>
    <t xml:space="preserve">Sunny </t>
  </si>
  <si>
    <t xml:space="preserve">Cherrilyn </t>
  </si>
  <si>
    <t>Madi</t>
  </si>
  <si>
    <t>Keshav</t>
  </si>
  <si>
    <t>Jihoo</t>
  </si>
  <si>
    <t xml:space="preserve">Lucas </t>
  </si>
  <si>
    <t>Hailey</t>
  </si>
  <si>
    <t>Taylor</t>
  </si>
  <si>
    <t>Jamie</t>
  </si>
  <si>
    <t>Gabby</t>
  </si>
  <si>
    <t>Joey</t>
  </si>
  <si>
    <t>Quintana</t>
  </si>
  <si>
    <t>Joshwyn</t>
  </si>
  <si>
    <t>Hong</t>
  </si>
  <si>
    <t xml:space="preserve">Jaylyn </t>
  </si>
  <si>
    <t xml:space="preserve">Eila </t>
  </si>
  <si>
    <t>Zhou</t>
  </si>
  <si>
    <t xml:space="preserve">Lai </t>
  </si>
  <si>
    <t>Iszy</t>
  </si>
  <si>
    <t>David</t>
  </si>
  <si>
    <t xml:space="preserve">Saranya </t>
  </si>
  <si>
    <t>Chi</t>
  </si>
  <si>
    <t>Gilbert</t>
  </si>
  <si>
    <t>Aaryan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</si>
</sst>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yyyy h:mm:ss"/>
  </numFmts>
  <fonts count="13">
    <font>
      <sz val="10.0"/>
      <color rgb="FF000000"/>
      <name val="Arial"/>
      <scheme val="minor"/>
    </font>
    <font>
      <b/>
      <color theme="1"/>
      <name val="Arial"/>
    </font>
    <font>
      <color theme="1"/>
      <name val="Arial"/>
      <scheme val="minor"/>
    </font>
    <font>
      <sz val="11.0"/>
      <color theme="1"/>
      <name val="Calibri"/>
    </font>
    <font>
      <color theme="1"/>
      <name val="Arial"/>
    </font>
    <font>
      <strike/>
      <color theme="1"/>
      <name val="Arial"/>
      <scheme val="minor"/>
    </font>
    <font>
      <strike/>
      <sz val="11.0"/>
      <color theme="1"/>
      <name val="Calibri"/>
    </font>
    <font>
      <sz val="11.0"/>
      <color rgb="FF000000"/>
      <name val="Docs-Calibri"/>
    </font>
    <font>
      <color rgb="FF000000"/>
      <name val="Arial"/>
    </font>
    <font>
      <color rgb="FF000000"/>
      <name val="Roboto"/>
    </font>
    <font>
      <strike/>
      <color theme="1"/>
      <name val="Arial"/>
    </font>
    <font>
      <i/>
      <color theme="1"/>
      <name val="Arial"/>
      <scheme val="minor"/>
    </font>
    <font>
      <b/>
      <color theme="1"/>
      <name val="Arial"/>
      <scheme val="minor"/>
    </font>
  </fonts>
  <fills count="21">
    <fill>
      <patternFill patternType="none"/>
    </fill>
    <fill>
      <patternFill patternType="lightGray"/>
    </fill>
    <fill>
      <patternFill patternType="solid">
        <fgColor rgb="FFD0E0E3"/>
        <bgColor rgb="FFD0E0E3"/>
      </patternFill>
    </fill>
    <fill>
      <patternFill patternType="solid">
        <fgColor rgb="FFE4EEF6"/>
        <bgColor rgb="FFE4EEF6"/>
      </patternFill>
    </fill>
    <fill>
      <patternFill patternType="solid">
        <fgColor rgb="FFFFF2CC"/>
        <bgColor rgb="FFFFF2CC"/>
      </patternFill>
    </fill>
    <fill>
      <patternFill patternType="solid">
        <fgColor rgb="FFEAD1DC"/>
        <bgColor rgb="FFEAD1DC"/>
      </patternFill>
    </fill>
    <fill>
      <patternFill patternType="solid">
        <fgColor rgb="FFF9F3E1"/>
        <bgColor rgb="FFF9F3E1"/>
      </patternFill>
    </fill>
    <fill>
      <patternFill patternType="solid">
        <fgColor rgb="FFFCE5CD"/>
        <bgColor rgb="FFFCE5CD"/>
      </patternFill>
    </fill>
    <fill>
      <patternFill patternType="solid">
        <fgColor rgb="FFF4CCCC"/>
        <bgColor rgb="FFF4CCCC"/>
      </patternFill>
    </fill>
    <fill>
      <patternFill patternType="solid">
        <fgColor rgb="FFD9D2E9"/>
        <bgColor rgb="FFD9D2E9"/>
      </patternFill>
    </fill>
    <fill>
      <patternFill patternType="solid">
        <fgColor rgb="FFD9EAD3"/>
        <bgColor rgb="FFD9EAD3"/>
      </patternFill>
    </fill>
    <fill>
      <patternFill patternType="solid">
        <fgColor rgb="FFC9DAF8"/>
        <bgColor rgb="FFC9DAF8"/>
      </patternFill>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E6B8AF"/>
        <bgColor rgb="FFE6B8AF"/>
      </patternFill>
    </fill>
    <fill>
      <patternFill patternType="solid">
        <fgColor rgb="FF999999"/>
        <bgColor rgb="FF999999"/>
      </patternFill>
    </fill>
    <fill>
      <patternFill patternType="solid">
        <fgColor rgb="FFBDBDBD"/>
        <bgColor rgb="FFBDBDBD"/>
      </patternFill>
    </fill>
    <fill>
      <patternFill patternType="solid">
        <fgColor rgb="FFB7E1CD"/>
        <bgColor rgb="FFB7E1CD"/>
      </patternFill>
    </fill>
    <fill>
      <patternFill patternType="solid">
        <fgColor rgb="FFFF0000"/>
        <bgColor rgb="FFFF0000"/>
      </patternFill>
    </fill>
    <fill>
      <patternFill patternType="solid">
        <fgColor rgb="FFEA9999"/>
        <bgColor rgb="FFEA9999"/>
      </patternFill>
    </fill>
  </fills>
  <borders count="12">
    <border/>
    <border>
      <bottom style="medium">
        <color rgb="FF000000"/>
      </bottom>
    </border>
    <border>
      <bottom style="thin">
        <color rgb="FF000000"/>
      </bottom>
    </border>
    <border>
      <top style="medium">
        <color rgb="FF000000"/>
      </top>
    </border>
    <border>
      <top style="thin">
        <color rgb="FF000000"/>
      </top>
    </border>
    <border>
      <right style="thin">
        <color rgb="FF000000"/>
      </right>
    </border>
    <border>
      <right style="thick">
        <color rgb="FF000000"/>
      </right>
    </border>
    <border>
      <left style="medium">
        <color rgb="FF000000"/>
      </left>
      <bottom style="medium">
        <color rgb="FF000000"/>
      </bottom>
    </border>
    <border>
      <left style="thick">
        <color rgb="FF000000"/>
      </lef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center" vertical="bottom"/>
    </xf>
    <xf borderId="0" fillId="0" fontId="1" numFmtId="164" xfId="0" applyAlignment="1" applyFont="1" applyNumberFormat="1">
      <alignment vertical="bottom"/>
    </xf>
    <xf borderId="0" fillId="0" fontId="2" numFmtId="164" xfId="0" applyAlignment="1" applyFont="1" applyNumberFormat="1">
      <alignment readingOrder="0"/>
    </xf>
    <xf borderId="0" fillId="0" fontId="2" numFmtId="164" xfId="0" applyFont="1" applyNumberFormat="1"/>
    <xf borderId="0" fillId="0" fontId="3" numFmtId="0" xfId="0" applyAlignment="1" applyFont="1">
      <alignment vertical="bottom"/>
    </xf>
    <xf borderId="0" fillId="0" fontId="2" numFmtId="0" xfId="0" applyAlignment="1" applyFont="1">
      <alignment horizontal="center" readingOrder="0"/>
    </xf>
    <xf borderId="0" fillId="2" fontId="3" numFmtId="0" xfId="0" applyAlignment="1" applyFill="1" applyFont="1">
      <alignment horizontal="right" vertical="bottom"/>
    </xf>
    <xf borderId="0" fillId="0" fontId="2" numFmtId="0" xfId="0" applyAlignment="1" applyFont="1">
      <alignment readingOrder="0"/>
    </xf>
    <xf borderId="0" fillId="3" fontId="4" numFmtId="0" xfId="0" applyAlignment="1" applyFill="1" applyFont="1">
      <alignment horizontal="center" vertical="bottom"/>
    </xf>
    <xf borderId="0" fillId="0" fontId="4" numFmtId="0" xfId="0" applyAlignment="1" applyFont="1">
      <alignment horizontal="right" vertical="bottom"/>
    </xf>
    <xf borderId="0" fillId="0" fontId="4" numFmtId="0" xfId="0" applyAlignment="1" applyFont="1">
      <alignment readingOrder="0" vertical="bottom"/>
    </xf>
    <xf borderId="0" fillId="0" fontId="4" numFmtId="0" xfId="0" applyAlignment="1" applyFont="1">
      <alignment vertical="bottom"/>
    </xf>
    <xf borderId="1" fillId="0" fontId="2" numFmtId="0" xfId="0" applyBorder="1" applyFont="1"/>
    <xf borderId="1" fillId="0" fontId="3" numFmtId="0" xfId="0" applyAlignment="1" applyBorder="1" applyFont="1">
      <alignment vertical="bottom"/>
    </xf>
    <xf borderId="1" fillId="0" fontId="2" numFmtId="0" xfId="0" applyAlignment="1" applyBorder="1" applyFont="1">
      <alignment horizontal="center" readingOrder="0"/>
    </xf>
    <xf borderId="1" fillId="2" fontId="3" numFmtId="0" xfId="0" applyAlignment="1" applyBorder="1" applyFont="1">
      <alignment horizontal="right" readingOrder="0" vertical="bottom"/>
    </xf>
    <xf borderId="1" fillId="0" fontId="2" numFmtId="0" xfId="0" applyAlignment="1" applyBorder="1" applyFont="1">
      <alignment readingOrder="0"/>
    </xf>
    <xf borderId="2" fillId="0" fontId="2" numFmtId="0" xfId="0" applyAlignment="1" applyBorder="1" applyFont="1">
      <alignment readingOrder="0"/>
    </xf>
    <xf borderId="0" fillId="4" fontId="3" numFmtId="0" xfId="0" applyAlignment="1" applyFill="1" applyFont="1">
      <alignment horizontal="right" vertical="bottom"/>
    </xf>
    <xf borderId="0" fillId="0" fontId="3" numFmtId="0" xfId="0" applyAlignment="1" applyFont="1">
      <alignment readingOrder="0" vertical="bottom"/>
    </xf>
    <xf borderId="0" fillId="4" fontId="3" numFmtId="0" xfId="0" applyAlignment="1" applyFont="1">
      <alignment horizontal="right" readingOrder="0" vertical="bottom"/>
    </xf>
    <xf borderId="1" fillId="4" fontId="3" numFmtId="0" xfId="0" applyAlignment="1" applyBorder="1" applyFont="1">
      <alignment horizontal="right" vertical="bottom"/>
    </xf>
    <xf borderId="1" fillId="0" fontId="5" numFmtId="0" xfId="0" applyBorder="1" applyFont="1"/>
    <xf borderId="0" fillId="0" fontId="6" numFmtId="0" xfId="0" applyAlignment="1" applyFont="1">
      <alignment vertical="bottom"/>
    </xf>
    <xf borderId="0" fillId="0" fontId="5" numFmtId="0" xfId="0" applyAlignment="1" applyFont="1">
      <alignment horizontal="center" readingOrder="0"/>
    </xf>
    <xf borderId="0" fillId="5" fontId="6" numFmtId="0" xfId="0" applyAlignment="1" applyFill="1" applyFont="1">
      <alignment horizontal="right" vertical="bottom"/>
    </xf>
    <xf borderId="0" fillId="0" fontId="5" numFmtId="0" xfId="0" applyAlignment="1" applyFont="1">
      <alignment readingOrder="0"/>
    </xf>
    <xf borderId="0" fillId="0" fontId="5" numFmtId="0" xfId="0" applyFont="1"/>
    <xf borderId="0" fillId="5" fontId="3" numFmtId="0" xfId="0" applyAlignment="1" applyFont="1">
      <alignment horizontal="right" vertical="bottom"/>
    </xf>
    <xf borderId="0" fillId="6" fontId="4" numFmtId="0" xfId="0" applyAlignment="1" applyFill="1" applyFont="1">
      <alignment horizontal="center" vertical="bottom"/>
    </xf>
    <xf borderId="1" fillId="5" fontId="3" numFmtId="0" xfId="0" applyAlignment="1" applyBorder="1" applyFont="1">
      <alignment horizontal="right" vertical="bottom"/>
    </xf>
    <xf borderId="1" fillId="2" fontId="3" numFmtId="0" xfId="0" applyAlignment="1" applyBorder="1" applyFont="1">
      <alignment horizontal="right" vertical="bottom"/>
    </xf>
    <xf borderId="0" fillId="7" fontId="3" numFmtId="0" xfId="0" applyAlignment="1" applyFill="1" applyFont="1">
      <alignment horizontal="right" vertical="bottom"/>
    </xf>
    <xf borderId="1" fillId="7" fontId="3" numFmtId="0" xfId="0" applyAlignment="1" applyBorder="1" applyFont="1">
      <alignment horizontal="right" vertical="bottom"/>
    </xf>
    <xf borderId="0" fillId="0" fontId="3" numFmtId="0" xfId="0" applyAlignment="1" applyFont="1">
      <alignment vertical="bottom"/>
    </xf>
    <xf borderId="0" fillId="8" fontId="3" numFmtId="0" xfId="0" applyAlignment="1" applyFill="1" applyFont="1">
      <alignment horizontal="right" vertical="bottom"/>
    </xf>
    <xf borderId="0" fillId="0" fontId="4" numFmtId="0" xfId="0" applyAlignment="1" applyFont="1">
      <alignment horizontal="right" readingOrder="0" vertical="bottom"/>
    </xf>
    <xf borderId="1" fillId="0" fontId="3" numFmtId="0" xfId="0" applyAlignment="1" applyBorder="1" applyFont="1">
      <alignment readingOrder="0" vertical="bottom"/>
    </xf>
    <xf borderId="1" fillId="3" fontId="4" numFmtId="0" xfId="0" applyAlignment="1" applyBorder="1" applyFont="1">
      <alignment horizontal="center" vertical="bottom"/>
    </xf>
    <xf borderId="1" fillId="8" fontId="3" numFmtId="0" xfId="0" applyAlignment="1" applyBorder="1" applyFont="1">
      <alignment horizontal="right" vertical="bottom"/>
    </xf>
    <xf borderId="1" fillId="0" fontId="4" numFmtId="0" xfId="0" applyAlignment="1" applyBorder="1" applyFont="1">
      <alignment horizontal="right" vertical="bottom"/>
    </xf>
    <xf borderId="1" fillId="0" fontId="4" numFmtId="0" xfId="0" applyAlignment="1" applyBorder="1" applyFont="1">
      <alignment horizontal="right" readingOrder="0" vertical="bottom"/>
    </xf>
    <xf borderId="1" fillId="0" fontId="4" numFmtId="0" xfId="0" applyAlignment="1" applyBorder="1" applyFont="1">
      <alignment readingOrder="0" vertical="bottom"/>
    </xf>
    <xf borderId="1" fillId="0" fontId="4" numFmtId="0" xfId="0" applyAlignment="1" applyBorder="1" applyFont="1">
      <alignment vertical="bottom"/>
    </xf>
    <xf borderId="0" fillId="9" fontId="3" numFmtId="0" xfId="0" applyAlignment="1" applyFill="1" applyFont="1">
      <alignment horizontal="right" vertical="bottom"/>
    </xf>
    <xf borderId="1" fillId="9" fontId="3" numFmtId="0" xfId="0" applyAlignment="1" applyBorder="1" applyFont="1">
      <alignment horizontal="right" vertical="bottom"/>
    </xf>
    <xf borderId="0" fillId="10" fontId="3" numFmtId="0" xfId="0" applyAlignment="1" applyFill="1" applyFont="1">
      <alignment horizontal="right" vertical="bottom"/>
    </xf>
    <xf borderId="1" fillId="10" fontId="3" numFmtId="0" xfId="0" applyAlignment="1" applyBorder="1" applyFont="1">
      <alignment horizontal="right" vertical="bottom"/>
    </xf>
    <xf borderId="0" fillId="11" fontId="3" numFmtId="0" xfId="0" applyAlignment="1" applyFill="1" applyFont="1">
      <alignment horizontal="right" vertical="bottom"/>
    </xf>
    <xf borderId="1" fillId="11" fontId="3" numFmtId="0" xfId="0" applyAlignment="1" applyBorder="1" applyFont="1">
      <alignment horizontal="right" vertical="bottom"/>
    </xf>
    <xf borderId="0" fillId="0" fontId="4" numFmtId="0" xfId="0" applyAlignment="1" applyFont="1">
      <alignment horizontal="right" vertical="bottom"/>
    </xf>
    <xf borderId="0" fillId="12" fontId="7" numFmtId="0" xfId="0" applyAlignment="1" applyFill="1" applyFont="1">
      <alignment horizontal="left" readingOrder="0" shrinkToFit="0" vertical="bottom" wrapText="0"/>
    </xf>
    <xf borderId="0" fillId="13" fontId="8" numFmtId="0" xfId="0" applyAlignment="1" applyFill="1" applyFont="1">
      <alignment horizontal="center" readingOrder="0" shrinkToFit="0" vertical="bottom" wrapText="0"/>
    </xf>
    <xf borderId="0" fillId="0" fontId="7" numFmtId="0" xfId="0" applyAlignment="1" applyFont="1">
      <alignment horizontal="left" readingOrder="0" shrinkToFit="0" vertical="bottom" wrapText="0"/>
    </xf>
    <xf borderId="0" fillId="0" fontId="9" numFmtId="0" xfId="0" applyAlignment="1" applyFont="1">
      <alignment readingOrder="0" vertical="bottom"/>
    </xf>
    <xf borderId="0" fillId="12" fontId="8" numFmtId="0" xfId="0" applyAlignment="1" applyFont="1">
      <alignment horizontal="right" readingOrder="0" shrinkToFit="0" vertical="bottom" wrapText="0"/>
    </xf>
    <xf borderId="2" fillId="0" fontId="9" numFmtId="0" xfId="0" applyAlignment="1" applyBorder="1" applyFont="1">
      <alignment readingOrder="0"/>
    </xf>
    <xf borderId="0" fillId="14" fontId="3" numFmtId="0" xfId="0" applyAlignment="1" applyFill="1" applyFont="1">
      <alignment horizontal="right" vertical="bottom"/>
    </xf>
    <xf borderId="0" fillId="14" fontId="2" numFmtId="0" xfId="0" applyAlignment="1" applyFont="1">
      <alignment horizontal="center" readingOrder="0"/>
    </xf>
    <xf borderId="1" fillId="14" fontId="3" numFmtId="0" xfId="0" applyAlignment="1" applyBorder="1" applyFont="1">
      <alignment horizontal="right" vertical="bottom"/>
    </xf>
    <xf borderId="0" fillId="15" fontId="3" numFmtId="0" xfId="0" applyAlignment="1" applyFill="1" applyFont="1">
      <alignment horizontal="right" vertical="bottom"/>
    </xf>
    <xf borderId="3" fillId="0" fontId="2" numFmtId="0" xfId="0" applyAlignment="1" applyBorder="1" applyFont="1">
      <alignment readingOrder="0"/>
    </xf>
    <xf borderId="4" fillId="0" fontId="2" numFmtId="0" xfId="0" applyAlignment="1" applyBorder="1" applyFont="1">
      <alignment readingOrder="0"/>
    </xf>
    <xf borderId="3" fillId="0" fontId="2" numFmtId="0" xfId="0" applyBorder="1" applyFont="1"/>
    <xf borderId="1" fillId="15" fontId="3" numFmtId="0" xfId="0" applyAlignment="1" applyBorder="1" applyFont="1">
      <alignment horizontal="right" vertical="bottom"/>
    </xf>
    <xf borderId="0" fillId="14" fontId="4" numFmtId="0" xfId="0" applyAlignment="1" applyFont="1">
      <alignment horizontal="center" vertical="bottom"/>
    </xf>
    <xf borderId="0" fillId="4" fontId="4" numFmtId="0" xfId="0" applyAlignment="1" applyFont="1">
      <alignment horizontal="center" vertical="bottom"/>
    </xf>
    <xf borderId="2" fillId="0" fontId="2" numFmtId="0" xfId="0" applyBorder="1" applyFont="1"/>
    <xf borderId="2" fillId="0" fontId="3" numFmtId="0" xfId="0" applyAlignment="1" applyBorder="1" applyFont="1">
      <alignment vertical="bottom"/>
    </xf>
    <xf borderId="2" fillId="0" fontId="2" numFmtId="0" xfId="0" applyAlignment="1" applyBorder="1" applyFont="1">
      <alignment horizontal="center" readingOrder="0"/>
    </xf>
    <xf borderId="2" fillId="9" fontId="3" numFmtId="0" xfId="0" applyAlignment="1" applyBorder="1" applyFont="1">
      <alignment horizontal="right" vertical="bottom"/>
    </xf>
    <xf borderId="0" fillId="0" fontId="4" numFmtId="0" xfId="0" applyAlignment="1" applyFont="1">
      <alignment horizontal="center" readingOrder="0" vertical="bottom"/>
    </xf>
    <xf borderId="0" fillId="0" fontId="2" numFmtId="0" xfId="0" applyFont="1"/>
    <xf borderId="0" fillId="0" fontId="3" numFmtId="0" xfId="0" applyAlignment="1" applyFont="1">
      <alignment horizontal="left" vertical="bottom"/>
    </xf>
    <xf borderId="0" fillId="0" fontId="3" numFmtId="0" xfId="0" applyAlignment="1" applyFont="1">
      <alignment horizontal="center" vertical="bottom"/>
    </xf>
    <xf borderId="0" fillId="0" fontId="3" numFmtId="0" xfId="0" applyAlignment="1" applyFont="1">
      <alignment horizontal="left" readingOrder="0" vertical="bottom"/>
    </xf>
    <xf borderId="0" fillId="0" fontId="2" numFmtId="0" xfId="0" applyAlignment="1" applyFont="1">
      <alignment horizontal="right" readingOrder="0"/>
    </xf>
    <xf borderId="3" fillId="0" fontId="3" numFmtId="0" xfId="0" applyAlignment="1" applyBorder="1" applyFont="1">
      <alignment vertical="bottom"/>
    </xf>
    <xf borderId="3" fillId="0" fontId="2" numFmtId="0" xfId="0" applyAlignment="1" applyBorder="1" applyFont="1">
      <alignment horizontal="center" readingOrder="0"/>
    </xf>
    <xf borderId="3" fillId="9" fontId="3" numFmtId="0" xfId="0" applyAlignment="1" applyBorder="1" applyFont="1">
      <alignment horizontal="right" vertical="bottom"/>
    </xf>
    <xf borderId="0" fillId="0" fontId="2" numFmtId="0" xfId="0" applyAlignment="1" applyFont="1">
      <alignment horizontal="center"/>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5" fillId="0" fontId="2" numFmtId="0" xfId="0" applyAlignment="1" applyBorder="1" applyFont="1">
      <alignment horizontal="left" readingOrder="0" shrinkToFit="0" vertical="center" wrapText="0"/>
    </xf>
    <xf borderId="6" fillId="16" fontId="2" numFmtId="0" xfId="0" applyBorder="1" applyFill="1" applyFont="1"/>
    <xf borderId="0" fillId="17" fontId="1" numFmtId="164" xfId="0" applyAlignment="1" applyFill="1" applyFont="1" applyNumberFormat="1">
      <alignment vertical="bottom"/>
    </xf>
    <xf borderId="0" fillId="17" fontId="1" numFmtId="164" xfId="0" applyAlignment="1" applyFont="1" applyNumberFormat="1">
      <alignment vertical="bottom"/>
    </xf>
    <xf borderId="0" fillId="17" fontId="1" numFmtId="164" xfId="0" applyAlignment="1" applyFont="1" applyNumberFormat="1">
      <alignment horizontal="right" vertical="bottom"/>
    </xf>
    <xf borderId="0" fillId="17" fontId="1" numFmtId="164" xfId="0" applyAlignment="1" applyFont="1" applyNumberFormat="1">
      <alignment readingOrder="0" vertical="bottom"/>
    </xf>
    <xf borderId="0" fillId="17" fontId="1" numFmtId="164" xfId="0" applyAlignment="1" applyFont="1" applyNumberFormat="1">
      <alignment vertical="center"/>
    </xf>
    <xf borderId="0" fillId="0" fontId="1" numFmtId="164" xfId="0" applyAlignment="1" applyFont="1" applyNumberFormat="1">
      <alignment vertical="bottom"/>
    </xf>
    <xf borderId="0" fillId="0" fontId="2" numFmtId="165" xfId="0" applyAlignment="1" applyFont="1" applyNumberFormat="1">
      <alignment readingOrder="0" shrinkToFit="0" vertical="center" wrapText="0"/>
    </xf>
    <xf borderId="0" fillId="0" fontId="2" numFmtId="0" xfId="0" applyAlignment="1" applyFont="1">
      <alignment readingOrder="0" shrinkToFit="0" vertical="center" wrapText="0"/>
    </xf>
    <xf borderId="6" fillId="0" fontId="2" numFmtId="0" xfId="0" applyBorder="1" applyFont="1"/>
    <xf borderId="0" fillId="0" fontId="4" numFmtId="4" xfId="0" applyAlignment="1" applyFont="1" applyNumberFormat="1">
      <alignment horizontal="right" vertical="bottom"/>
    </xf>
    <xf borderId="0" fillId="0" fontId="2" numFmtId="4" xfId="0" applyAlignment="1" applyFont="1" applyNumberFormat="1">
      <alignment horizontal="right" readingOrder="0"/>
    </xf>
    <xf borderId="0" fillId="0" fontId="2" numFmtId="4" xfId="0" applyAlignment="1" applyFont="1" applyNumberFormat="1">
      <alignment horizontal="right"/>
    </xf>
    <xf borderId="0" fillId="0" fontId="2" numFmtId="4" xfId="0" applyAlignment="1" applyFont="1" applyNumberFormat="1">
      <alignment readingOrder="0"/>
    </xf>
    <xf borderId="0" fillId="0" fontId="2" numFmtId="4" xfId="0" applyFont="1" applyNumberFormat="1"/>
    <xf borderId="0" fillId="0" fontId="2" numFmtId="165"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4" numFmtId="4" xfId="0" applyAlignment="1" applyFont="1" applyNumberFormat="1">
      <alignment horizontal="right" readingOrder="0" vertical="bottom"/>
    </xf>
    <xf borderId="0" fillId="0" fontId="10" numFmtId="4" xfId="0" applyAlignment="1" applyFont="1" applyNumberFormat="1">
      <alignment horizontal="right" vertical="bottom"/>
    </xf>
    <xf borderId="0" fillId="0" fontId="5" numFmtId="4" xfId="0" applyAlignment="1" applyFont="1" applyNumberFormat="1">
      <alignment horizontal="right" readingOrder="0"/>
    </xf>
    <xf borderId="0" fillId="0" fontId="5" numFmtId="4" xfId="0" applyAlignment="1" applyFont="1" applyNumberFormat="1">
      <alignment horizontal="right"/>
    </xf>
    <xf borderId="0" fillId="0" fontId="5" numFmtId="4" xfId="0" applyAlignment="1" applyFont="1" applyNumberFormat="1">
      <alignment readingOrder="0"/>
    </xf>
    <xf borderId="0" fillId="0" fontId="5" numFmtId="4" xfId="0" applyFont="1" applyNumberFormat="1"/>
    <xf borderId="2" fillId="0" fontId="3" numFmtId="0" xfId="0" applyAlignment="1" applyBorder="1" applyFont="1">
      <alignment readingOrder="0" vertical="bottom"/>
    </xf>
    <xf borderId="2" fillId="3" fontId="4" numFmtId="0" xfId="0" applyAlignment="1" applyBorder="1" applyFont="1">
      <alignment horizontal="center" vertical="bottom"/>
    </xf>
    <xf borderId="2" fillId="8" fontId="3" numFmtId="0" xfId="0" applyAlignment="1" applyBorder="1" applyFont="1">
      <alignment horizontal="right" vertical="bottom"/>
    </xf>
    <xf borderId="2" fillId="0" fontId="4" numFmtId="0" xfId="0" applyAlignment="1" applyBorder="1" applyFont="1">
      <alignment readingOrder="0" vertical="bottom"/>
    </xf>
    <xf borderId="7" fillId="0" fontId="3" numFmtId="0" xfId="0" applyAlignment="1" applyBorder="1" applyFont="1">
      <alignment vertical="bottom"/>
    </xf>
    <xf borderId="0" fillId="0" fontId="9" numFmtId="0" xfId="0" applyAlignment="1" applyFont="1">
      <alignment readingOrder="0"/>
    </xf>
    <xf borderId="0" fillId="13" fontId="3" numFmtId="0" xfId="0" applyAlignment="1" applyFont="1">
      <alignment vertical="bottom"/>
    </xf>
    <xf borderId="0" fillId="3" fontId="4" numFmtId="0" xfId="0" applyAlignment="1" applyFont="1">
      <alignment horizontal="center" vertical="bottom"/>
    </xf>
    <xf borderId="0" fillId="2" fontId="3" numFmtId="0" xfId="0" applyAlignment="1" applyFont="1">
      <alignment horizontal="right" vertical="bottom"/>
    </xf>
    <xf borderId="0" fillId="18" fontId="4" numFmtId="4" xfId="0" applyAlignment="1" applyFill="1" applyFont="1" applyNumberFormat="1">
      <alignment horizontal="right" vertical="bottom"/>
    </xf>
    <xf borderId="0" fillId="0" fontId="4" numFmtId="4" xfId="0" applyAlignment="1" applyFont="1" applyNumberFormat="1">
      <alignment readingOrder="0" vertical="bottom"/>
    </xf>
    <xf borderId="4" fillId="0" fontId="3" numFmtId="0" xfId="0" applyAlignment="1" applyBorder="1" applyFont="1">
      <alignment vertical="bottom"/>
    </xf>
    <xf borderId="4" fillId="0" fontId="2" numFmtId="0" xfId="0" applyAlignment="1" applyBorder="1" applyFont="1">
      <alignment horizontal="center" readingOrder="0"/>
    </xf>
    <xf borderId="4" fillId="5" fontId="3" numFmtId="0" xfId="0" applyAlignment="1" applyBorder="1" applyFont="1">
      <alignment horizontal="right" vertical="bottom"/>
    </xf>
    <xf borderId="4" fillId="0" fontId="2" numFmtId="0" xfId="0" applyBorder="1" applyFont="1"/>
    <xf borderId="0" fillId="8" fontId="3" numFmtId="0" xfId="0" applyAlignment="1" applyFont="1">
      <alignment vertical="bottom"/>
    </xf>
    <xf borderId="0" fillId="19" fontId="3" numFmtId="0" xfId="0" applyAlignment="1" applyFill="1" applyFont="1">
      <alignment vertical="bottom"/>
    </xf>
    <xf borderId="0" fillId="8" fontId="2" numFmtId="0" xfId="0" applyAlignment="1" applyFont="1">
      <alignment readingOrder="0" shrinkToFit="0" vertical="center" wrapText="0"/>
    </xf>
    <xf borderId="8" fillId="0" fontId="3" numFmtId="0" xfId="0" applyAlignment="1" applyBorder="1" applyFont="1">
      <alignment vertical="bottom"/>
    </xf>
    <xf borderId="0" fillId="0" fontId="2" numFmtId="2" xfId="0" applyAlignment="1" applyFont="1" applyNumberFormat="1">
      <alignment horizontal="right"/>
    </xf>
    <xf borderId="0" fillId="0" fontId="2" numFmtId="2" xfId="0" applyFont="1" applyNumberFormat="1"/>
    <xf borderId="0" fillId="0" fontId="2" numFmtId="1" xfId="0" applyAlignment="1" applyFont="1" applyNumberFormat="1">
      <alignment horizontal="right"/>
    </xf>
    <xf borderId="0" fillId="0" fontId="2" numFmtId="1" xfId="0" applyFont="1" applyNumberFormat="1"/>
    <xf borderId="0" fillId="0" fontId="2" numFmtId="0" xfId="0" applyAlignment="1" applyFont="1">
      <alignment horizontal="right"/>
    </xf>
    <xf quotePrefix="1" borderId="0" fillId="0" fontId="2" numFmtId="0" xfId="0" applyAlignment="1" applyFont="1">
      <alignment readingOrder="0" shrinkToFit="0" vertical="center" wrapText="0"/>
    </xf>
    <xf borderId="0" fillId="20" fontId="2" numFmtId="0" xfId="0" applyAlignment="1" applyFill="1" applyFont="1">
      <alignment readingOrder="0" shrinkToFit="0" vertical="center" wrapText="0"/>
    </xf>
    <xf borderId="9" fillId="0" fontId="2" numFmtId="165" xfId="0" applyAlignment="1" applyBorder="1" applyFont="1" applyNumberFormat="1">
      <alignment readingOrder="0" shrinkToFit="0" vertical="center" wrapText="0"/>
    </xf>
    <xf borderId="9" fillId="0" fontId="2" numFmtId="0" xfId="0" applyAlignment="1" applyBorder="1" applyFont="1">
      <alignment readingOrder="0" shrinkToFit="0" vertical="center" wrapText="0"/>
    </xf>
    <xf borderId="10" fillId="0" fontId="2" numFmtId="165" xfId="0" applyAlignment="1" applyBorder="1" applyFont="1" applyNumberFormat="1">
      <alignment readingOrder="0" shrinkToFit="0" vertical="center" wrapText="0"/>
    </xf>
    <xf borderId="10" fillId="0" fontId="2" numFmtId="0" xfId="0" applyAlignment="1" applyBorder="1" applyFont="1">
      <alignment readingOrder="0" shrinkToFit="0" vertical="center" wrapText="0"/>
    </xf>
    <xf borderId="11" fillId="0" fontId="2" numFmtId="165" xfId="0" applyAlignment="1" applyBorder="1" applyFont="1" applyNumberFormat="1">
      <alignment readingOrder="0" shrinkToFit="0" vertical="center" wrapText="0"/>
    </xf>
    <xf borderId="11" fillId="0" fontId="2" numFmtId="0" xfId="0" applyAlignment="1" applyBorder="1" applyFont="1">
      <alignment readingOrder="0" shrinkToFit="0" vertical="center" wrapText="0"/>
    </xf>
    <xf borderId="5" fillId="0" fontId="2" numFmtId="0" xfId="0" applyBorder="1" applyFont="1"/>
    <xf borderId="0" fillId="0" fontId="2" numFmtId="0" xfId="0" applyAlignment="1" applyFont="1">
      <alignment shrinkToFit="0" vertical="center" wrapText="0"/>
    </xf>
    <xf borderId="0" fillId="0" fontId="2" numFmtId="14" xfId="0" applyAlignment="1" applyFont="1" applyNumberFormat="1">
      <alignment readingOrder="0" shrinkToFit="0" vertical="center" wrapText="0"/>
    </xf>
    <xf borderId="0" fillId="0" fontId="2" numFmtId="14" xfId="0" applyAlignment="1" applyFont="1" applyNumberForma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bottom" wrapText="0"/>
    </xf>
    <xf borderId="0" fillId="0" fontId="1" numFmtId="0" xfId="0" applyAlignment="1" applyFont="1">
      <alignment vertical="bottom"/>
    </xf>
    <xf borderId="0" fillId="0" fontId="11" numFmtId="0" xfId="0" applyAlignment="1" applyFont="1">
      <alignment readingOrder="0"/>
    </xf>
    <xf borderId="0" fillId="0" fontId="12" numFmtId="0" xfId="0" applyAlignment="1" applyFont="1">
      <alignment readingOrder="0" shrinkToFit="0" wrapText="1"/>
    </xf>
    <xf borderId="5" fillId="0" fontId="12" numFmtId="0" xfId="0" applyAlignment="1" applyBorder="1" applyFont="1">
      <alignment readingOrder="0" shrinkToFit="0" wrapText="1"/>
    </xf>
    <xf borderId="0" fillId="0" fontId="2" numFmtId="9" xfId="0" applyFont="1" applyNumberFormat="1"/>
    <xf borderId="0" fillId="0" fontId="2" numFmtId="10" xfId="0" applyAlignment="1" applyFont="1" applyNumberFormat="1">
      <alignment horizontal="right"/>
    </xf>
    <xf borderId="1" fillId="2" fontId="3" numFmtId="0" xfId="0" applyAlignment="1" applyBorder="1" applyFont="1">
      <alignment horizontal="right" vertical="bottom"/>
    </xf>
    <xf borderId="0" fillId="4" fontId="3" numFmtId="0" xfId="0" applyAlignment="1" applyFont="1">
      <alignment horizontal="right" vertical="bottom"/>
    </xf>
    <xf borderId="0" fillId="0" fontId="6" numFmtId="0" xfId="0" applyAlignment="1" applyFont="1">
      <alignment readingOrder="0" vertical="bottom"/>
    </xf>
    <xf borderId="0" fillId="0" fontId="10" numFmtId="0" xfId="0" applyAlignment="1" applyFont="1">
      <alignment vertical="bottom"/>
    </xf>
    <xf borderId="0" fillId="0" fontId="5" numFmtId="9" xfId="0" applyFont="1" applyNumberFormat="1"/>
    <xf borderId="0" fillId="0" fontId="5" numFmtId="10" xfId="0" applyAlignment="1" applyFont="1" applyNumberFormat="1">
      <alignment horizontal="right"/>
    </xf>
    <xf borderId="5" fillId="0" fontId="5" numFmtId="0" xfId="0" applyBorder="1" applyFont="1"/>
    <xf borderId="3" fillId="0" fontId="3" numFmtId="0" xfId="0" applyAlignment="1" applyBorder="1" applyFont="1">
      <alignment vertical="bottom"/>
    </xf>
    <xf borderId="1" fillId="0" fontId="3" numFmtId="0" xfId="0" applyAlignment="1" applyBorder="1" applyFont="1">
      <alignment vertical="bottom"/>
    </xf>
    <xf borderId="1" fillId="0" fontId="4" numFmtId="0" xfId="0" applyAlignment="1" applyBorder="1" applyFont="1">
      <alignment vertical="bottom"/>
    </xf>
    <xf borderId="3" fillId="7" fontId="3" numFmtId="0" xfId="0" applyAlignment="1" applyBorder="1" applyFont="1">
      <alignment horizontal="right" vertical="bottom"/>
    </xf>
    <xf borderId="0" fillId="0" fontId="4" numFmtId="0" xfId="0" applyAlignment="1" applyFont="1">
      <alignment vertical="bottom"/>
    </xf>
    <xf borderId="0" fillId="3" fontId="4" numFmtId="0" xfId="0" applyAlignment="1" applyFont="1">
      <alignment horizontal="center" readingOrder="0" vertical="bottom"/>
    </xf>
    <xf borderId="3" fillId="4" fontId="3" numFmtId="0" xfId="0" applyAlignment="1" applyBorder="1" applyFont="1">
      <alignment horizontal="right" vertical="bottom"/>
    </xf>
    <xf borderId="3" fillId="10" fontId="3" numFmtId="0" xfId="0" applyAlignment="1" applyBorder="1" applyFont="1">
      <alignment horizontal="right" vertical="bottom"/>
    </xf>
    <xf borderId="2" fillId="0" fontId="4" numFmtId="0" xfId="0" applyAlignment="1" applyBorder="1" applyFont="1">
      <alignment horizontal="center" readingOrder="0" vertical="bottom"/>
    </xf>
    <xf borderId="0" fillId="0" fontId="2" numFmtId="10" xfId="0" applyFont="1" applyNumberFormat="1"/>
  </cellXfs>
  <cellStyles count="1">
    <cellStyle xfId="0" name="Normal" builtinId="0"/>
  </cellStyles>
  <dxfs count="14">
    <dxf>
      <font/>
      <fill>
        <patternFill patternType="solid">
          <fgColor rgb="FFE4EEF6"/>
          <bgColor rgb="FFE4EEF6"/>
        </patternFill>
      </fill>
      <border/>
    </dxf>
    <dxf>
      <font/>
      <fill>
        <patternFill patternType="solid">
          <fgColor rgb="FFF9F3E1"/>
          <bgColor rgb="FFF9F3E1"/>
        </patternFill>
      </fill>
      <border/>
    </dxf>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solid">
          <fgColor rgb="FFD9EAD3"/>
          <bgColor rgb="FFD9EAD3"/>
        </patternFill>
      </fill>
      <border/>
    </dxf>
    <dxf>
      <font/>
      <fill>
        <patternFill patternType="solid">
          <fgColor rgb="FFFFF2CC"/>
          <bgColor rgb="FFFFF2CC"/>
        </patternFill>
      </fill>
      <border/>
    </dxf>
  </dxfs>
  <tableStyles count="6">
    <tableStyle count="4" pivot="0" name="Workshop Attendance -style">
      <tableStyleElement dxfId="3" type="headerRow"/>
      <tableStyleElement dxfId="4" type="firstRowStripe"/>
      <tableStyleElement dxfId="5" type="secondRowStripe"/>
      <tableStyleElement dxfId="6" size="0" type="wholeTable"/>
    </tableStyle>
    <tableStyle count="3" pivot="0" name="Workshop Attendance -style 2">
      <tableStyleElement dxfId="7" type="headerRow"/>
      <tableStyleElement dxfId="4" type="firstRowStripe"/>
      <tableStyleElement dxfId="8" type="secondRowStripe"/>
    </tableStyle>
    <tableStyle count="3" pivot="0" name="Workshop Attendance -style 3">
      <tableStyleElement dxfId="7" type="headerRow"/>
      <tableStyleElement dxfId="4" type="firstRowStripe"/>
      <tableStyleElement dxfId="8" type="secondRowStripe"/>
    </tableStyle>
    <tableStyle count="4" pivot="0" name="Unexcused-Absense Form for Ment-style">
      <tableStyleElement dxfId="3" type="headerRow"/>
      <tableStyleElement dxfId="4" type="firstRowStripe"/>
      <tableStyleElement dxfId="5" type="secondRowStripe"/>
      <tableStyleElement dxfId="6" size="0" type="wholeTable"/>
    </tableStyle>
    <tableStyle count="3" pivot="0" name="Mentee Commitment TrackingMDP-style">
      <tableStyleElement dxfId="7" type="headerRow"/>
      <tableStyleElement dxfId="4" type="firstRowStripe"/>
      <tableStyleElement dxfId="8" type="secondRowStripe"/>
    </tableStyle>
    <tableStyle count="2" pivot="0" name="Mentee Commitment TrackingMDP-style 2">
      <tableStyleElement dxfId="4" type="firstRowStripe"/>
      <tableStyleElement dxfId="8"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309" displayName="Form_Responses1" name="Form_Responses1" id="1">
  <tableColumns count="8">
    <tableColumn name="Timestamp" id="1"/>
    <tableColumn name="Email Address" id="2"/>
    <tableColumn name="Legal first name" id="3"/>
    <tableColumn name="Last name" id="4"/>
    <tableColumn name="Workshop Room" id="5"/>
    <tableColumn name="What mentee category are you in? (Analytics will track so dont lie)" id="6"/>
    <tableColumn name="Who is your mentor?" id="7"/>
    <tableColumn name="What's the answer to today's question?" id="8"/>
  </tableColumns>
  <tableStyleInfo name="Workshop Attendance -style" showColumnStripes="0" showFirstColumn="1" showLastColumn="1" showRowStripes="1"/>
</table>
</file>

<file path=xl/tables/table2.xml><?xml version="1.0" encoding="utf-8"?>
<table xmlns="http://schemas.openxmlformats.org/spreadsheetml/2006/main" headerRowCount="0" ref="J1:Q181" displayName="Table_1" name="Table_1"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Workshop Attendance -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R105:R106" displayName="Table_2" name="Table_2" id="3">
  <tableColumns count="1">
    <tableColumn name="Column1" id="1"/>
  </tableColumns>
  <tableStyleInfo name="Workshop Attendance -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1:J288" displayName="Form_Responses2" name="Form_Responses2" id="4">
  <autoFilter ref="$A$1:$J$288">
    <filterColumn colId="6">
      <filters>
        <filter val="2/23/2026"/>
        <filter val="3/11/2026"/>
        <filter val="2/11/2026"/>
        <filter val="1/28/2026"/>
        <filter val="1/28/0026"/>
      </filters>
    </filterColumn>
  </autoFilter>
  <tableColumns count="10">
    <tableColumn name="Timestamp" id="1"/>
    <tableColumn name="Email Address" id="2"/>
    <tableColumn name="First Name" id="3"/>
    <tableColumn name="Last Name" id="4"/>
    <tableColumn name="Mentee Experience Status" id="5"/>
    <tableColumn name="Mentor's First &amp; Last Name" id="6"/>
    <tableColumn name="What day will you be absent?" id="7"/>
    <tableColumn name="Reporting Absence at" id="8"/>
    <tableColumn name="Briefly describe the reasons for your absence.  If this is an absence related to a test/quiz, sport or activity, provide: 1)teacher's name/subject if taking a mandatory test or 2) coach's name/sport or- 3)mentor's name/activity.  " id="9"/>
    <tableColumn name="Comments - provide any detailed information to explain your absence.  If you have any questions, please let your mentor know and they can discuss it with an advisor." id="10"/>
  </tableColumns>
  <tableStyleInfo name="Unexcused-Absense Form for Ment-style" showColumnStripes="0" showFirstColumn="1" showLastColumn="1" showRowStripes="1"/>
</table>
</file>

<file path=xl/tables/table5.xml><?xml version="1.0" encoding="utf-8"?>
<table xmlns="http://schemas.openxmlformats.org/spreadsheetml/2006/main" ref="C1:C181" displayName="Table_3" name="Table_3" id="5">
  <tableColumns count="1">
    <tableColumn name="Email" id="1"/>
  </tableColumns>
  <tableStyleInfo name="Mentee Commitment TrackingMDP-style" showColumnStripes="0" showFirstColumn="1" showLastColumn="1" showRowStripes="1"/>
</table>
</file>

<file path=xl/tables/table6.xml><?xml version="1.0" encoding="utf-8"?>
<table xmlns="http://schemas.openxmlformats.org/spreadsheetml/2006/main" headerRowCount="0" ref="G2:G181" displayName="Table_4" name="Table_4" id="6">
  <tableColumns count="1">
    <tableColumn name="Column1" id="1"/>
  </tableColumns>
  <tableStyleInfo name="Mentee Commitment TrackingMDP-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 Id="rId6" Type="http://schemas.openxmlformats.org/officeDocument/2006/relationships/table" Target="../tables/table5.xml"/><Relationship Id="rId7"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hidden="1" min="1" max="1" width="15.0"/>
    <col hidden="1" min="2" max="2" width="12.63"/>
    <col customWidth="1" min="3" max="3" width="15.63"/>
    <col customWidth="1" min="4" max="4" width="22.13"/>
  </cols>
  <sheetData>
    <row r="1">
      <c r="A1" s="1" t="s">
        <v>0</v>
      </c>
      <c r="B1" s="1" t="s">
        <v>1</v>
      </c>
      <c r="C1" s="2" t="s">
        <v>2</v>
      </c>
      <c r="D1" s="1" t="s">
        <v>3</v>
      </c>
      <c r="E1" s="1" t="s">
        <v>4</v>
      </c>
      <c r="F1" s="3" t="s">
        <v>5</v>
      </c>
      <c r="G1" s="4" t="s">
        <v>6</v>
      </c>
      <c r="H1" s="4" t="s">
        <v>7</v>
      </c>
      <c r="I1" s="5">
        <v>45917.0</v>
      </c>
      <c r="J1" s="5">
        <v>45924.0</v>
      </c>
      <c r="K1" s="5">
        <v>45931.0</v>
      </c>
      <c r="L1" s="5">
        <v>45938.0</v>
      </c>
      <c r="M1" s="5">
        <v>45945.0</v>
      </c>
      <c r="N1" s="5">
        <v>45952.0</v>
      </c>
      <c r="O1" s="5">
        <v>45959.0</v>
      </c>
      <c r="P1" s="5">
        <v>45966.0</v>
      </c>
      <c r="Q1" s="5">
        <v>45973.0</v>
      </c>
      <c r="R1" s="5">
        <v>45980.0</v>
      </c>
      <c r="S1" s="5">
        <v>45994.0</v>
      </c>
      <c r="T1" s="5">
        <v>46001.0</v>
      </c>
      <c r="U1" s="6">
        <f>T1+28</f>
        <v>46029</v>
      </c>
      <c r="V1" s="6">
        <f t="shared" ref="V1:Z1" si="1">U1+7</f>
        <v>46036</v>
      </c>
      <c r="W1" s="6">
        <f t="shared" si="1"/>
        <v>46043</v>
      </c>
      <c r="X1" s="6">
        <f t="shared" si="1"/>
        <v>46050</v>
      </c>
      <c r="Y1" s="6">
        <f t="shared" si="1"/>
        <v>46057</v>
      </c>
      <c r="Z1" s="6">
        <f t="shared" si="1"/>
        <v>46064</v>
      </c>
      <c r="AA1" s="6">
        <f>Z1+28</f>
        <v>46092</v>
      </c>
    </row>
    <row r="2">
      <c r="C2" s="7" t="s">
        <v>8</v>
      </c>
      <c r="D2" s="7" t="s">
        <v>9</v>
      </c>
      <c r="E2" s="7" t="s">
        <v>10</v>
      </c>
      <c r="F2" s="8" t="s">
        <v>11</v>
      </c>
      <c r="G2" s="7" t="s">
        <v>12</v>
      </c>
      <c r="H2" s="9">
        <v>1.0</v>
      </c>
      <c r="I2" s="10">
        <v>1.0</v>
      </c>
      <c r="J2" s="10">
        <v>1.0</v>
      </c>
      <c r="K2" s="10">
        <v>1.0</v>
      </c>
      <c r="L2" s="10">
        <v>1.0</v>
      </c>
      <c r="M2" s="10">
        <v>1.0</v>
      </c>
      <c r="N2" s="10">
        <v>1.0</v>
      </c>
      <c r="O2" s="10">
        <v>1.0</v>
      </c>
      <c r="P2" s="10">
        <v>1.0</v>
      </c>
      <c r="Q2" s="10">
        <v>1.0</v>
      </c>
      <c r="R2" s="10">
        <v>1.0</v>
      </c>
      <c r="S2" s="10">
        <v>1.0</v>
      </c>
      <c r="T2" s="10">
        <v>1.0</v>
      </c>
      <c r="U2" s="10">
        <v>1.0</v>
      </c>
      <c r="V2" s="10">
        <v>1.0</v>
      </c>
      <c r="W2" s="10">
        <v>1.0</v>
      </c>
      <c r="X2" s="10">
        <v>1.0</v>
      </c>
      <c r="Y2" s="10">
        <v>1.0</v>
      </c>
      <c r="Z2" s="10">
        <v>1.0</v>
      </c>
      <c r="AA2" s="10">
        <v>1.0</v>
      </c>
    </row>
    <row r="3">
      <c r="C3" s="7" t="s">
        <v>13</v>
      </c>
      <c r="D3" s="7" t="s">
        <v>14</v>
      </c>
      <c r="E3" s="7" t="s">
        <v>10</v>
      </c>
      <c r="F3" s="8" t="s">
        <v>11</v>
      </c>
      <c r="G3" s="7" t="s">
        <v>12</v>
      </c>
      <c r="H3" s="9">
        <v>1.0</v>
      </c>
      <c r="I3" s="10">
        <v>1.0</v>
      </c>
      <c r="J3" s="10">
        <v>1.0</v>
      </c>
      <c r="K3" s="10">
        <v>1.0</v>
      </c>
      <c r="L3" s="10">
        <v>1.0</v>
      </c>
      <c r="M3" s="10">
        <v>1.0</v>
      </c>
      <c r="N3" s="10">
        <v>1.0</v>
      </c>
      <c r="O3" s="10">
        <v>1.0</v>
      </c>
      <c r="P3" s="10">
        <v>1.0</v>
      </c>
      <c r="Q3" s="10">
        <v>1.0</v>
      </c>
      <c r="R3" s="10">
        <v>1.0</v>
      </c>
      <c r="S3" s="10">
        <v>1.0</v>
      </c>
      <c r="T3" s="10">
        <v>1.0</v>
      </c>
      <c r="U3" s="10">
        <v>1.0</v>
      </c>
      <c r="V3" s="10">
        <v>1.0</v>
      </c>
      <c r="W3" s="10">
        <v>1.0</v>
      </c>
      <c r="X3" s="10">
        <v>1.0</v>
      </c>
      <c r="Y3" s="10">
        <v>1.0</v>
      </c>
      <c r="Z3" s="10">
        <v>1.0</v>
      </c>
      <c r="AA3" s="10">
        <v>1.0</v>
      </c>
    </row>
    <row r="4">
      <c r="C4" s="7" t="s">
        <v>15</v>
      </c>
      <c r="D4" s="7" t="s">
        <v>16</v>
      </c>
      <c r="E4" s="7" t="s">
        <v>10</v>
      </c>
      <c r="F4" s="8" t="s">
        <v>11</v>
      </c>
      <c r="G4" s="7" t="s">
        <v>12</v>
      </c>
      <c r="H4" s="9">
        <v>1.0</v>
      </c>
      <c r="I4" s="10">
        <v>1.0</v>
      </c>
      <c r="J4" s="10">
        <v>1.0</v>
      </c>
      <c r="K4" s="10">
        <v>1.0</v>
      </c>
      <c r="L4" s="10">
        <v>1.0</v>
      </c>
      <c r="M4" s="10">
        <v>1.0</v>
      </c>
      <c r="N4" s="10">
        <v>1.0</v>
      </c>
      <c r="O4" s="10">
        <v>1.0</v>
      </c>
      <c r="P4" s="10">
        <v>1.0</v>
      </c>
      <c r="Q4" s="10">
        <v>1.0</v>
      </c>
      <c r="R4" s="10">
        <v>1.0</v>
      </c>
      <c r="S4" s="10">
        <v>1.0</v>
      </c>
      <c r="T4" s="10">
        <v>1.0</v>
      </c>
      <c r="U4" s="10">
        <v>1.0</v>
      </c>
      <c r="V4" s="10">
        <v>1.0</v>
      </c>
      <c r="W4" s="10">
        <v>1.0</v>
      </c>
      <c r="X4" s="10">
        <v>1.0</v>
      </c>
      <c r="Y4" s="10">
        <v>1.0</v>
      </c>
      <c r="Z4" s="10">
        <v>1.0</v>
      </c>
      <c r="AA4" s="10">
        <v>1.0</v>
      </c>
    </row>
    <row r="5">
      <c r="C5" s="7" t="s">
        <v>17</v>
      </c>
      <c r="D5" s="7" t="s">
        <v>18</v>
      </c>
      <c r="E5" s="7" t="s">
        <v>10</v>
      </c>
      <c r="F5" s="11" t="s">
        <v>11</v>
      </c>
      <c r="G5" s="7" t="s">
        <v>12</v>
      </c>
      <c r="H5" s="9">
        <v>1.0</v>
      </c>
      <c r="I5" s="12">
        <v>1.0</v>
      </c>
      <c r="J5" s="12">
        <v>1.0</v>
      </c>
      <c r="K5" s="13">
        <v>1.0</v>
      </c>
      <c r="L5" s="13">
        <v>1.0</v>
      </c>
      <c r="M5" s="13">
        <v>1.0</v>
      </c>
      <c r="N5" s="13">
        <v>1.0</v>
      </c>
      <c r="O5" s="13">
        <v>1.0</v>
      </c>
      <c r="P5" s="13">
        <v>1.0</v>
      </c>
      <c r="Q5" s="10">
        <v>1.0</v>
      </c>
      <c r="R5" s="13">
        <v>0.5</v>
      </c>
      <c r="S5" s="13">
        <v>1.0</v>
      </c>
      <c r="T5" s="13">
        <v>1.0</v>
      </c>
      <c r="U5" s="10">
        <v>1.0</v>
      </c>
      <c r="V5" s="13">
        <v>1.0</v>
      </c>
      <c r="W5" s="13">
        <v>1.0</v>
      </c>
      <c r="X5" s="13">
        <v>1.0</v>
      </c>
      <c r="Y5" s="13">
        <v>1.0</v>
      </c>
      <c r="Z5" s="13">
        <v>1.0</v>
      </c>
      <c r="AA5" s="13">
        <v>1.0</v>
      </c>
      <c r="AB5" s="14"/>
    </row>
    <row r="6">
      <c r="A6" s="15"/>
      <c r="B6" s="15"/>
      <c r="C6" s="16" t="s">
        <v>19</v>
      </c>
      <c r="D6" s="16" t="s">
        <v>20</v>
      </c>
      <c r="E6" s="16" t="s">
        <v>10</v>
      </c>
      <c r="F6" s="17" t="s">
        <v>11</v>
      </c>
      <c r="G6" s="16" t="s">
        <v>12</v>
      </c>
      <c r="H6" s="18">
        <v>1.0</v>
      </c>
      <c r="I6" s="19">
        <v>1.0</v>
      </c>
      <c r="J6" s="19">
        <v>1.0</v>
      </c>
      <c r="K6" s="19">
        <v>1.0</v>
      </c>
      <c r="L6" s="19">
        <v>1.0</v>
      </c>
      <c r="M6" s="19">
        <v>1.0</v>
      </c>
      <c r="N6" s="19">
        <v>1.0</v>
      </c>
      <c r="O6" s="19">
        <v>1.0</v>
      </c>
      <c r="P6" s="19">
        <v>1.0</v>
      </c>
      <c r="Q6" s="19">
        <v>1.0</v>
      </c>
      <c r="R6" s="19">
        <v>1.0</v>
      </c>
      <c r="S6" s="19">
        <v>1.0</v>
      </c>
      <c r="T6" s="19">
        <v>1.0</v>
      </c>
      <c r="U6" s="20">
        <v>1.0</v>
      </c>
      <c r="V6" s="19">
        <v>1.0</v>
      </c>
      <c r="W6" s="19">
        <v>1.0</v>
      </c>
      <c r="X6" s="19">
        <v>1.0</v>
      </c>
      <c r="Y6" s="19">
        <v>1.0</v>
      </c>
      <c r="Z6" s="19">
        <v>1.0</v>
      </c>
      <c r="AA6" s="19">
        <v>1.0</v>
      </c>
      <c r="AB6" s="15"/>
    </row>
    <row r="7">
      <c r="C7" s="7" t="s">
        <v>21</v>
      </c>
      <c r="D7" s="7" t="s">
        <v>22</v>
      </c>
      <c r="E7" s="7" t="s">
        <v>23</v>
      </c>
      <c r="F7" s="8" t="s">
        <v>24</v>
      </c>
      <c r="G7" s="7" t="s">
        <v>25</v>
      </c>
      <c r="H7" s="21">
        <v>2.0</v>
      </c>
      <c r="I7" s="10">
        <v>1.0</v>
      </c>
      <c r="J7" s="10">
        <v>1.0</v>
      </c>
      <c r="K7" s="10">
        <v>0.0</v>
      </c>
      <c r="L7" s="10">
        <v>1.0</v>
      </c>
      <c r="M7" s="10">
        <v>1.0</v>
      </c>
      <c r="N7" s="10">
        <v>0.5</v>
      </c>
      <c r="O7" s="10">
        <v>1.0</v>
      </c>
      <c r="P7" s="10">
        <v>1.0</v>
      </c>
      <c r="Q7" s="10">
        <v>1.0</v>
      </c>
      <c r="R7" s="10">
        <v>0.5</v>
      </c>
      <c r="S7" s="10">
        <v>1.0</v>
      </c>
      <c r="T7" s="10">
        <v>1.0</v>
      </c>
      <c r="U7" s="10">
        <v>1.0</v>
      </c>
      <c r="V7" s="10">
        <v>1.0</v>
      </c>
      <c r="W7" s="10">
        <v>1.0</v>
      </c>
      <c r="X7" s="10">
        <v>1.0</v>
      </c>
      <c r="Y7" s="10">
        <v>1.0</v>
      </c>
      <c r="Z7" s="10">
        <v>1.0</v>
      </c>
    </row>
    <row r="8">
      <c r="C8" s="7" t="s">
        <v>26</v>
      </c>
      <c r="D8" s="7" t="s">
        <v>27</v>
      </c>
      <c r="E8" s="7" t="s">
        <v>23</v>
      </c>
      <c r="F8" s="8" t="s">
        <v>28</v>
      </c>
      <c r="G8" s="7" t="s">
        <v>29</v>
      </c>
      <c r="H8" s="21">
        <v>2.0</v>
      </c>
      <c r="I8" s="10">
        <v>1.0</v>
      </c>
      <c r="J8" s="10">
        <v>0.5</v>
      </c>
      <c r="K8" s="10">
        <v>1.0</v>
      </c>
      <c r="L8" s="10">
        <v>0.5</v>
      </c>
      <c r="M8" s="10">
        <v>1.0</v>
      </c>
      <c r="N8" s="10">
        <v>1.0</v>
      </c>
      <c r="O8" s="10">
        <v>1.0</v>
      </c>
      <c r="P8" s="10">
        <v>1.0</v>
      </c>
      <c r="Q8" s="10">
        <v>1.0</v>
      </c>
      <c r="R8" s="10">
        <v>1.0</v>
      </c>
      <c r="S8" s="10">
        <v>1.0</v>
      </c>
      <c r="T8" s="10">
        <v>1.0</v>
      </c>
      <c r="U8" s="10">
        <v>1.0</v>
      </c>
      <c r="V8" s="10">
        <v>0.5</v>
      </c>
      <c r="W8" s="10">
        <v>1.0</v>
      </c>
      <c r="X8" s="10">
        <v>1.0</v>
      </c>
      <c r="Y8" s="10">
        <v>1.0</v>
      </c>
      <c r="Z8" s="10">
        <v>0.0</v>
      </c>
    </row>
    <row r="9">
      <c r="C9" s="22" t="s">
        <v>30</v>
      </c>
      <c r="D9" s="22" t="s">
        <v>31</v>
      </c>
      <c r="E9" s="7" t="s">
        <v>23</v>
      </c>
      <c r="F9" s="8" t="s">
        <v>28</v>
      </c>
      <c r="G9" s="7" t="s">
        <v>12</v>
      </c>
      <c r="H9" s="23">
        <v>2.0</v>
      </c>
      <c r="I9" s="10">
        <v>1.0</v>
      </c>
      <c r="J9" s="10">
        <v>1.0</v>
      </c>
      <c r="K9" s="10">
        <v>1.0</v>
      </c>
      <c r="L9" s="10">
        <v>1.0</v>
      </c>
      <c r="M9" s="10">
        <v>1.0</v>
      </c>
      <c r="N9" s="10">
        <v>1.0</v>
      </c>
      <c r="O9" s="10">
        <v>1.0</v>
      </c>
      <c r="P9" s="10">
        <v>1.0</v>
      </c>
      <c r="Q9" s="10">
        <v>1.0</v>
      </c>
      <c r="R9" s="10">
        <v>1.0</v>
      </c>
      <c r="S9" s="10">
        <v>1.0</v>
      </c>
      <c r="T9" s="10">
        <v>1.0</v>
      </c>
      <c r="U9" s="10">
        <v>1.0</v>
      </c>
      <c r="V9" s="10">
        <v>1.0</v>
      </c>
      <c r="W9" s="10">
        <v>1.0</v>
      </c>
      <c r="X9" s="10">
        <v>1.0</v>
      </c>
      <c r="Y9" s="10">
        <v>1.0</v>
      </c>
      <c r="Z9" s="10">
        <v>1.0</v>
      </c>
      <c r="AA9" s="10">
        <v>1.0</v>
      </c>
    </row>
    <row r="10">
      <c r="A10" s="15"/>
      <c r="B10" s="15"/>
      <c r="C10" s="7" t="s">
        <v>32</v>
      </c>
      <c r="D10" s="7" t="s">
        <v>33</v>
      </c>
      <c r="E10" s="7" t="s">
        <v>23</v>
      </c>
      <c r="F10" s="8" t="s">
        <v>28</v>
      </c>
      <c r="G10" s="7" t="s">
        <v>12</v>
      </c>
      <c r="H10" s="21">
        <v>2.0</v>
      </c>
      <c r="I10" s="10">
        <v>1.0</v>
      </c>
      <c r="J10" s="10">
        <v>1.0</v>
      </c>
      <c r="K10" s="10">
        <v>1.0</v>
      </c>
      <c r="L10" s="10">
        <v>1.0</v>
      </c>
      <c r="M10" s="10">
        <v>1.0</v>
      </c>
      <c r="N10" s="10">
        <v>1.0</v>
      </c>
      <c r="O10" s="10">
        <v>1.0</v>
      </c>
      <c r="P10" s="10">
        <v>1.0</v>
      </c>
      <c r="Q10" s="10">
        <v>1.0</v>
      </c>
      <c r="R10" s="10">
        <v>1.0</v>
      </c>
      <c r="S10" s="10">
        <v>1.0</v>
      </c>
      <c r="T10" s="10">
        <v>1.0</v>
      </c>
      <c r="U10" s="10">
        <v>1.0</v>
      </c>
      <c r="V10" s="10">
        <v>1.0</v>
      </c>
      <c r="W10" s="10">
        <v>1.0</v>
      </c>
      <c r="X10" s="10">
        <v>1.0</v>
      </c>
      <c r="Y10" s="10">
        <v>1.0</v>
      </c>
      <c r="Z10" s="10">
        <v>1.0</v>
      </c>
      <c r="AA10" s="10">
        <v>1.0</v>
      </c>
    </row>
    <row r="11">
      <c r="A11" s="15"/>
      <c r="B11" s="15"/>
      <c r="C11" s="16" t="s">
        <v>34</v>
      </c>
      <c r="D11" s="16" t="s">
        <v>35</v>
      </c>
      <c r="E11" s="16" t="s">
        <v>23</v>
      </c>
      <c r="F11" s="17" t="s">
        <v>28</v>
      </c>
      <c r="G11" s="16" t="s">
        <v>29</v>
      </c>
      <c r="H11" s="24">
        <v>2.0</v>
      </c>
      <c r="I11" s="19">
        <v>1.0</v>
      </c>
      <c r="J11" s="19">
        <v>1.0</v>
      </c>
      <c r="K11" s="19">
        <v>1.0</v>
      </c>
      <c r="L11" s="19">
        <v>1.0</v>
      </c>
      <c r="M11" s="19">
        <v>1.0</v>
      </c>
      <c r="N11" s="19">
        <v>0.0</v>
      </c>
      <c r="O11" s="19">
        <v>1.0</v>
      </c>
      <c r="P11" s="19">
        <v>1.0</v>
      </c>
      <c r="Q11" s="19">
        <v>1.0</v>
      </c>
      <c r="R11" s="10">
        <v>1.0</v>
      </c>
      <c r="S11" s="19">
        <v>1.0</v>
      </c>
      <c r="T11" s="19">
        <v>0.5</v>
      </c>
      <c r="U11" s="19">
        <v>1.0</v>
      </c>
      <c r="V11" s="19">
        <v>0.0</v>
      </c>
      <c r="W11" s="19">
        <v>0.0</v>
      </c>
      <c r="X11" s="19">
        <v>0.0</v>
      </c>
      <c r="Y11" s="19">
        <v>1.0</v>
      </c>
      <c r="Z11" s="19">
        <v>0.0</v>
      </c>
      <c r="AA11" s="15"/>
      <c r="AB11" s="15"/>
    </row>
    <row r="12">
      <c r="A12" s="25"/>
      <c r="B12" s="25"/>
      <c r="C12" s="26" t="s">
        <v>36</v>
      </c>
      <c r="D12" s="26" t="s">
        <v>37</v>
      </c>
      <c r="E12" s="26" t="s">
        <v>38</v>
      </c>
      <c r="F12" s="27" t="s">
        <v>28</v>
      </c>
      <c r="G12" s="26" t="s">
        <v>29</v>
      </c>
      <c r="H12" s="28">
        <v>3.0</v>
      </c>
      <c r="I12" s="29">
        <v>1.0</v>
      </c>
      <c r="J12" s="29">
        <v>1.0</v>
      </c>
      <c r="K12" s="29">
        <v>1.0</v>
      </c>
      <c r="L12" s="29">
        <v>1.0</v>
      </c>
      <c r="M12" s="29">
        <v>1.0</v>
      </c>
      <c r="N12" s="29">
        <v>1.0</v>
      </c>
      <c r="O12" s="29">
        <v>0.0</v>
      </c>
      <c r="P12" s="29">
        <v>0.0</v>
      </c>
      <c r="Q12" s="29">
        <v>0.0</v>
      </c>
      <c r="R12" s="29">
        <v>1.0</v>
      </c>
      <c r="S12" s="29">
        <v>0.0</v>
      </c>
      <c r="T12" s="30"/>
      <c r="U12" s="10">
        <v>1.0</v>
      </c>
      <c r="V12" s="30"/>
      <c r="W12" s="30"/>
      <c r="X12" s="30"/>
      <c r="Y12" s="30"/>
      <c r="Z12" s="30"/>
      <c r="AA12" s="30"/>
      <c r="AB12" s="30"/>
    </row>
    <row r="13">
      <c r="C13" s="7" t="s">
        <v>39</v>
      </c>
      <c r="D13" s="7" t="s">
        <v>40</v>
      </c>
      <c r="E13" s="7" t="s">
        <v>38</v>
      </c>
      <c r="F13" s="8" t="s">
        <v>11</v>
      </c>
      <c r="G13" s="7" t="s">
        <v>12</v>
      </c>
      <c r="H13" s="31">
        <v>3.0</v>
      </c>
      <c r="I13" s="10">
        <v>1.0</v>
      </c>
      <c r="J13" s="10">
        <v>1.0</v>
      </c>
      <c r="K13" s="10">
        <v>1.0</v>
      </c>
      <c r="L13" s="10">
        <v>1.0</v>
      </c>
      <c r="M13" s="10">
        <v>0.0</v>
      </c>
      <c r="N13" s="10">
        <v>1.0</v>
      </c>
      <c r="O13" s="10">
        <v>1.0</v>
      </c>
      <c r="P13" s="10">
        <v>1.0</v>
      </c>
      <c r="Q13" s="10">
        <v>1.0</v>
      </c>
      <c r="R13" s="10">
        <v>1.0</v>
      </c>
      <c r="S13" s="10">
        <v>1.0</v>
      </c>
      <c r="T13" s="10">
        <v>1.0</v>
      </c>
      <c r="U13" s="10">
        <v>1.0</v>
      </c>
      <c r="V13" s="10">
        <v>1.0</v>
      </c>
      <c r="W13" s="10">
        <v>1.0</v>
      </c>
      <c r="X13" s="10">
        <v>0.5</v>
      </c>
      <c r="Y13" s="10">
        <v>0.5</v>
      </c>
      <c r="Z13" s="10">
        <v>1.0</v>
      </c>
    </row>
    <row r="14">
      <c r="C14" s="7" t="s">
        <v>41</v>
      </c>
      <c r="D14" s="7" t="s">
        <v>42</v>
      </c>
      <c r="E14" s="7" t="s">
        <v>38</v>
      </c>
      <c r="F14" s="32" t="s">
        <v>24</v>
      </c>
      <c r="G14" s="7" t="s">
        <v>29</v>
      </c>
      <c r="H14" s="31">
        <v>3.0</v>
      </c>
      <c r="I14" s="12">
        <v>1.0</v>
      </c>
      <c r="J14" s="12">
        <v>1.0</v>
      </c>
      <c r="K14" s="13">
        <v>1.0</v>
      </c>
      <c r="L14" s="13">
        <v>0.5</v>
      </c>
      <c r="M14" s="13">
        <v>1.0</v>
      </c>
      <c r="N14" s="13">
        <v>1.0</v>
      </c>
      <c r="O14" s="13">
        <v>0.5</v>
      </c>
      <c r="P14" s="13">
        <v>1.0</v>
      </c>
      <c r="Q14" s="13">
        <v>1.0</v>
      </c>
      <c r="R14" s="10">
        <v>1.0</v>
      </c>
      <c r="S14" s="13">
        <v>1.0</v>
      </c>
      <c r="T14" s="13">
        <v>1.0</v>
      </c>
      <c r="U14" s="10">
        <v>1.0</v>
      </c>
      <c r="V14" s="13">
        <v>1.0</v>
      </c>
      <c r="W14" s="13">
        <v>1.0</v>
      </c>
      <c r="X14" s="13">
        <v>1.0</v>
      </c>
      <c r="Y14" s="13">
        <v>1.0</v>
      </c>
      <c r="Z14" s="13">
        <v>1.0</v>
      </c>
      <c r="AA14" s="13">
        <v>1.0</v>
      </c>
      <c r="AB14" s="14"/>
    </row>
    <row r="15">
      <c r="C15" s="7" t="s">
        <v>43</v>
      </c>
      <c r="D15" s="7" t="s">
        <v>44</v>
      </c>
      <c r="E15" s="7" t="s">
        <v>38</v>
      </c>
      <c r="F15" s="32" t="s">
        <v>24</v>
      </c>
      <c r="G15" s="7" t="s">
        <v>25</v>
      </c>
      <c r="H15" s="31">
        <v>3.0</v>
      </c>
      <c r="I15" s="12">
        <v>1.0</v>
      </c>
      <c r="J15" s="12">
        <v>1.0</v>
      </c>
      <c r="K15" s="13">
        <v>1.0</v>
      </c>
      <c r="L15" s="13">
        <v>1.0</v>
      </c>
      <c r="M15" s="13">
        <v>1.0</v>
      </c>
      <c r="N15" s="13">
        <v>1.0</v>
      </c>
      <c r="O15" s="13">
        <v>1.0</v>
      </c>
      <c r="P15" s="13">
        <v>1.0</v>
      </c>
      <c r="Q15" s="13">
        <v>1.0</v>
      </c>
      <c r="R15" s="10">
        <v>1.0</v>
      </c>
      <c r="S15" s="13">
        <v>1.0</v>
      </c>
      <c r="T15" s="13">
        <v>1.0</v>
      </c>
      <c r="U15" s="10">
        <v>1.0</v>
      </c>
      <c r="V15" s="13">
        <v>1.0</v>
      </c>
      <c r="W15" s="13">
        <v>1.0</v>
      </c>
      <c r="X15" s="13">
        <v>1.0</v>
      </c>
      <c r="Y15" s="13">
        <v>1.0</v>
      </c>
      <c r="Z15" s="13">
        <v>1.0</v>
      </c>
      <c r="AA15" s="13">
        <v>1.0</v>
      </c>
      <c r="AB15" s="14"/>
    </row>
    <row r="16">
      <c r="A16" s="15"/>
      <c r="B16" s="15"/>
      <c r="C16" s="16" t="s">
        <v>45</v>
      </c>
      <c r="D16" s="16" t="s">
        <v>46</v>
      </c>
      <c r="E16" s="16" t="s">
        <v>38</v>
      </c>
      <c r="F16" s="17" t="s">
        <v>11</v>
      </c>
      <c r="G16" s="16" t="s">
        <v>12</v>
      </c>
      <c r="H16" s="33">
        <v>3.0</v>
      </c>
      <c r="I16" s="19">
        <v>1.0</v>
      </c>
      <c r="J16" s="19">
        <v>1.0</v>
      </c>
      <c r="K16" s="19">
        <v>1.0</v>
      </c>
      <c r="L16" s="19">
        <v>1.0</v>
      </c>
      <c r="M16" s="19">
        <v>1.0</v>
      </c>
      <c r="N16" s="19">
        <v>1.0</v>
      </c>
      <c r="O16" s="19">
        <v>1.0</v>
      </c>
      <c r="P16" s="19">
        <v>1.0</v>
      </c>
      <c r="Q16" s="19">
        <v>1.0</v>
      </c>
      <c r="R16" s="10">
        <v>1.0</v>
      </c>
      <c r="S16" s="19">
        <v>1.0</v>
      </c>
      <c r="T16" s="19">
        <v>1.0</v>
      </c>
      <c r="U16" s="19">
        <v>1.0</v>
      </c>
      <c r="V16" s="19">
        <v>1.0</v>
      </c>
      <c r="W16" s="19">
        <v>1.0</v>
      </c>
      <c r="X16" s="19">
        <v>1.0</v>
      </c>
      <c r="Y16" s="19">
        <v>1.0</v>
      </c>
      <c r="Z16" s="19">
        <v>1.0</v>
      </c>
      <c r="AA16" s="15"/>
      <c r="AB16" s="15"/>
    </row>
    <row r="17">
      <c r="A17" s="15"/>
      <c r="B17" s="15"/>
      <c r="C17" s="7" t="s">
        <v>47</v>
      </c>
      <c r="D17" s="7" t="s">
        <v>48</v>
      </c>
      <c r="E17" s="7" t="s">
        <v>49</v>
      </c>
      <c r="F17" s="8" t="s">
        <v>24</v>
      </c>
      <c r="G17" s="7" t="s">
        <v>25</v>
      </c>
      <c r="H17" s="9">
        <v>4.0</v>
      </c>
      <c r="I17" s="10">
        <v>1.0</v>
      </c>
      <c r="J17" s="10">
        <v>1.0</v>
      </c>
      <c r="K17" s="10">
        <v>1.0</v>
      </c>
      <c r="L17" s="10">
        <v>1.0</v>
      </c>
      <c r="M17" s="10">
        <v>1.0</v>
      </c>
      <c r="N17" s="10">
        <v>1.0</v>
      </c>
      <c r="O17" s="10">
        <v>1.0</v>
      </c>
      <c r="P17" s="10">
        <v>1.0</v>
      </c>
      <c r="Q17" s="10">
        <v>1.0</v>
      </c>
      <c r="R17" s="10">
        <v>1.0</v>
      </c>
      <c r="S17" s="10">
        <v>1.0</v>
      </c>
      <c r="T17" s="10">
        <v>1.0</v>
      </c>
      <c r="U17" s="10">
        <v>1.0</v>
      </c>
      <c r="V17" s="10">
        <v>1.0</v>
      </c>
      <c r="W17" s="10">
        <v>1.0</v>
      </c>
      <c r="X17" s="10">
        <v>1.0</v>
      </c>
      <c r="Y17" s="10">
        <v>1.0</v>
      </c>
      <c r="Z17" s="10">
        <v>1.0</v>
      </c>
      <c r="AA17" s="10">
        <v>1.0</v>
      </c>
    </row>
    <row r="18">
      <c r="C18" s="7" t="s">
        <v>50</v>
      </c>
      <c r="D18" s="7" t="s">
        <v>51</v>
      </c>
      <c r="E18" s="7" t="s">
        <v>49</v>
      </c>
      <c r="F18" s="8" t="s">
        <v>24</v>
      </c>
      <c r="G18" s="7" t="s">
        <v>25</v>
      </c>
      <c r="H18" s="9">
        <v>4.0</v>
      </c>
      <c r="I18" s="10">
        <v>1.0</v>
      </c>
      <c r="J18" s="10">
        <v>1.0</v>
      </c>
      <c r="K18" s="10">
        <v>1.0</v>
      </c>
      <c r="L18" s="10">
        <v>1.0</v>
      </c>
      <c r="M18" s="10">
        <v>1.0</v>
      </c>
      <c r="N18" s="10">
        <v>1.0</v>
      </c>
      <c r="O18" s="10">
        <v>1.0</v>
      </c>
      <c r="P18" s="10">
        <v>1.0</v>
      </c>
      <c r="Q18" s="10">
        <v>1.0</v>
      </c>
      <c r="R18" s="10">
        <v>1.0</v>
      </c>
      <c r="S18" s="10">
        <v>1.0</v>
      </c>
      <c r="T18" s="10">
        <v>1.0</v>
      </c>
      <c r="U18" s="10">
        <v>1.0</v>
      </c>
      <c r="V18" s="10">
        <v>1.0</v>
      </c>
      <c r="W18" s="10">
        <v>1.0</v>
      </c>
      <c r="X18" s="10">
        <v>1.0</v>
      </c>
      <c r="Y18" s="10">
        <v>1.0</v>
      </c>
      <c r="Z18" s="10">
        <v>1.0</v>
      </c>
      <c r="AA18" s="10">
        <v>1.0</v>
      </c>
    </row>
    <row r="19">
      <c r="C19" s="7" t="s">
        <v>52</v>
      </c>
      <c r="D19" s="7" t="s">
        <v>53</v>
      </c>
      <c r="E19" s="7" t="s">
        <v>49</v>
      </c>
      <c r="F19" s="8" t="s">
        <v>11</v>
      </c>
      <c r="G19" s="7" t="s">
        <v>12</v>
      </c>
      <c r="H19" s="9">
        <v>4.0</v>
      </c>
      <c r="I19" s="10">
        <v>1.0</v>
      </c>
      <c r="J19" s="10">
        <v>0.5</v>
      </c>
      <c r="K19" s="10">
        <v>1.0</v>
      </c>
      <c r="L19" s="10">
        <v>1.0</v>
      </c>
      <c r="M19" s="10">
        <v>1.0</v>
      </c>
      <c r="N19" s="10">
        <v>1.0</v>
      </c>
      <c r="O19" s="10">
        <v>1.0</v>
      </c>
      <c r="P19" s="10">
        <v>0.5</v>
      </c>
      <c r="Q19" s="10">
        <v>1.0</v>
      </c>
      <c r="R19" s="10">
        <v>1.0</v>
      </c>
      <c r="S19" s="10">
        <v>1.0</v>
      </c>
      <c r="T19" s="10">
        <v>1.0</v>
      </c>
      <c r="U19" s="10">
        <v>1.0</v>
      </c>
      <c r="V19" s="10">
        <v>1.0</v>
      </c>
      <c r="W19" s="10">
        <v>1.0</v>
      </c>
      <c r="X19" s="10">
        <v>1.0</v>
      </c>
      <c r="Y19" s="10">
        <v>1.0</v>
      </c>
      <c r="Z19" s="10">
        <v>1.0</v>
      </c>
    </row>
    <row r="20">
      <c r="C20" s="7" t="s">
        <v>54</v>
      </c>
      <c r="D20" s="7" t="s">
        <v>55</v>
      </c>
      <c r="E20" s="7" t="s">
        <v>49</v>
      </c>
      <c r="F20" s="8" t="s">
        <v>28</v>
      </c>
      <c r="G20" s="7" t="s">
        <v>29</v>
      </c>
      <c r="H20" s="9">
        <v>4.0</v>
      </c>
      <c r="I20" s="10">
        <v>1.0</v>
      </c>
      <c r="J20" s="10">
        <v>1.0</v>
      </c>
      <c r="K20" s="10">
        <v>1.0</v>
      </c>
      <c r="L20" s="10">
        <v>0.5</v>
      </c>
      <c r="M20" s="10">
        <v>1.0</v>
      </c>
      <c r="N20" s="10">
        <v>1.0</v>
      </c>
      <c r="O20" s="10">
        <v>1.0</v>
      </c>
      <c r="P20" s="10">
        <v>1.0</v>
      </c>
      <c r="Q20" s="10">
        <v>1.0</v>
      </c>
      <c r="R20" s="10">
        <v>1.0</v>
      </c>
      <c r="S20" s="10">
        <v>1.0</v>
      </c>
      <c r="T20" s="10">
        <v>1.0</v>
      </c>
      <c r="U20" s="10">
        <v>1.0</v>
      </c>
      <c r="V20" s="10">
        <v>1.0</v>
      </c>
      <c r="W20" s="10">
        <v>1.0</v>
      </c>
      <c r="X20" s="10">
        <v>1.0</v>
      </c>
      <c r="Y20" s="10">
        <v>1.0</v>
      </c>
      <c r="Z20" s="10">
        <v>1.0</v>
      </c>
    </row>
    <row r="21">
      <c r="C21" s="7" t="s">
        <v>56</v>
      </c>
      <c r="D21" s="7" t="s">
        <v>57</v>
      </c>
      <c r="E21" s="7" t="s">
        <v>49</v>
      </c>
      <c r="F21" s="8" t="s">
        <v>11</v>
      </c>
      <c r="G21" s="7" t="s">
        <v>12</v>
      </c>
      <c r="H21" s="9">
        <v>4.0</v>
      </c>
      <c r="I21" s="10">
        <v>1.0</v>
      </c>
      <c r="J21" s="10">
        <v>1.0</v>
      </c>
      <c r="K21" s="10">
        <v>1.0</v>
      </c>
      <c r="L21" s="10">
        <v>1.0</v>
      </c>
      <c r="M21" s="10">
        <v>0.5</v>
      </c>
      <c r="N21" s="10">
        <v>1.0</v>
      </c>
      <c r="O21" s="10">
        <v>1.0</v>
      </c>
      <c r="P21" s="10">
        <v>1.0</v>
      </c>
      <c r="Q21" s="10">
        <v>1.0</v>
      </c>
      <c r="R21" s="10">
        <v>1.0</v>
      </c>
      <c r="S21" s="10">
        <v>1.0</v>
      </c>
      <c r="T21" s="10">
        <v>1.0</v>
      </c>
      <c r="U21" s="10">
        <v>1.0</v>
      </c>
      <c r="V21" s="10">
        <v>1.0</v>
      </c>
      <c r="W21" s="10">
        <v>1.0</v>
      </c>
      <c r="X21" s="10">
        <v>1.0</v>
      </c>
      <c r="Y21" s="10">
        <v>1.0</v>
      </c>
      <c r="Z21" s="10">
        <v>1.0</v>
      </c>
    </row>
    <row r="22">
      <c r="A22" s="15"/>
      <c r="B22" s="15"/>
      <c r="C22" s="16" t="s">
        <v>58</v>
      </c>
      <c r="D22" s="16" t="s">
        <v>59</v>
      </c>
      <c r="E22" s="16" t="s">
        <v>49</v>
      </c>
      <c r="F22" s="17" t="s">
        <v>28</v>
      </c>
      <c r="G22" s="16" t="s">
        <v>29</v>
      </c>
      <c r="H22" s="34">
        <v>4.0</v>
      </c>
      <c r="I22" s="19">
        <v>1.0</v>
      </c>
      <c r="J22" s="19">
        <v>1.0</v>
      </c>
      <c r="K22" s="19">
        <v>1.0</v>
      </c>
      <c r="L22" s="19">
        <v>1.0</v>
      </c>
      <c r="M22" s="19">
        <v>0.0</v>
      </c>
      <c r="N22" s="19">
        <v>1.0</v>
      </c>
      <c r="O22" s="19">
        <v>1.0</v>
      </c>
      <c r="P22" s="19">
        <v>1.0</v>
      </c>
      <c r="Q22" s="19">
        <v>1.0</v>
      </c>
      <c r="R22" s="10">
        <v>1.0</v>
      </c>
      <c r="S22" s="19">
        <v>1.0</v>
      </c>
      <c r="T22" s="19">
        <v>1.0</v>
      </c>
      <c r="U22" s="19">
        <v>1.0</v>
      </c>
      <c r="V22" s="19">
        <v>1.0</v>
      </c>
      <c r="W22" s="19">
        <v>1.0</v>
      </c>
      <c r="X22" s="19">
        <v>1.0</v>
      </c>
      <c r="Y22" s="19">
        <v>1.0</v>
      </c>
      <c r="Z22" s="15"/>
      <c r="AA22" s="19">
        <v>1.0</v>
      </c>
      <c r="AB22" s="15"/>
    </row>
    <row r="23">
      <c r="C23" s="7" t="s">
        <v>60</v>
      </c>
      <c r="D23" s="7" t="s">
        <v>61</v>
      </c>
      <c r="E23" s="7" t="s">
        <v>62</v>
      </c>
      <c r="F23" s="8" t="s">
        <v>28</v>
      </c>
      <c r="G23" s="7" t="s">
        <v>29</v>
      </c>
      <c r="H23" s="35">
        <v>5.0</v>
      </c>
      <c r="I23" s="10">
        <v>1.0</v>
      </c>
      <c r="J23" s="10">
        <v>1.0</v>
      </c>
      <c r="K23" s="10">
        <v>1.0</v>
      </c>
      <c r="L23" s="10">
        <v>1.0</v>
      </c>
      <c r="M23" s="10">
        <v>1.0</v>
      </c>
      <c r="N23" s="10">
        <v>1.0</v>
      </c>
      <c r="O23" s="10">
        <v>1.0</v>
      </c>
      <c r="P23" s="10">
        <v>1.0</v>
      </c>
      <c r="Q23" s="10">
        <v>1.0</v>
      </c>
      <c r="R23" s="10">
        <v>1.0</v>
      </c>
      <c r="S23" s="10">
        <v>1.0</v>
      </c>
      <c r="T23" s="10">
        <v>1.0</v>
      </c>
      <c r="U23" s="10">
        <v>1.0</v>
      </c>
      <c r="V23" s="10">
        <v>1.0</v>
      </c>
      <c r="W23" s="10">
        <v>1.0</v>
      </c>
      <c r="X23" s="10">
        <v>1.0</v>
      </c>
      <c r="Y23" s="10">
        <v>1.0</v>
      </c>
      <c r="Z23" s="10">
        <v>1.0</v>
      </c>
    </row>
    <row r="24">
      <c r="C24" s="7" t="s">
        <v>63</v>
      </c>
      <c r="D24" s="7" t="s">
        <v>64</v>
      </c>
      <c r="E24" s="7" t="s">
        <v>62</v>
      </c>
      <c r="F24" s="8" t="s">
        <v>28</v>
      </c>
      <c r="G24" s="7" t="s">
        <v>29</v>
      </c>
      <c r="H24" s="35">
        <v>5.0</v>
      </c>
      <c r="I24" s="10">
        <v>0.5</v>
      </c>
      <c r="J24" s="10">
        <v>1.0</v>
      </c>
      <c r="K24" s="10">
        <v>1.0</v>
      </c>
      <c r="L24" s="10">
        <v>1.0</v>
      </c>
      <c r="M24" s="10">
        <v>1.0</v>
      </c>
      <c r="N24" s="10">
        <v>1.0</v>
      </c>
      <c r="O24" s="10">
        <v>1.0</v>
      </c>
      <c r="P24" s="10">
        <v>1.0</v>
      </c>
      <c r="Q24" s="10">
        <v>1.0</v>
      </c>
      <c r="R24" s="10">
        <v>1.0</v>
      </c>
      <c r="S24" s="10">
        <v>1.0</v>
      </c>
      <c r="T24" s="10">
        <v>1.0</v>
      </c>
      <c r="U24" s="10">
        <v>1.0</v>
      </c>
      <c r="V24" s="10">
        <v>1.0</v>
      </c>
      <c r="W24" s="10">
        <v>1.0</v>
      </c>
      <c r="X24" s="10">
        <v>1.0</v>
      </c>
      <c r="Y24" s="10">
        <v>0.0</v>
      </c>
      <c r="Z24" s="10">
        <v>1.0</v>
      </c>
    </row>
    <row r="25">
      <c r="C25" s="7" t="s">
        <v>65</v>
      </c>
      <c r="D25" s="7" t="s">
        <v>66</v>
      </c>
      <c r="E25" s="7" t="s">
        <v>62</v>
      </c>
      <c r="F25" s="8" t="s">
        <v>11</v>
      </c>
      <c r="G25" s="7" t="s">
        <v>12</v>
      </c>
      <c r="H25" s="35">
        <v>5.0</v>
      </c>
      <c r="I25" s="10">
        <v>1.0</v>
      </c>
      <c r="J25" s="10">
        <v>1.0</v>
      </c>
      <c r="K25" s="10">
        <v>1.0</v>
      </c>
      <c r="L25" s="10">
        <v>1.0</v>
      </c>
      <c r="M25" s="10">
        <v>1.0</v>
      </c>
      <c r="N25" s="10">
        <v>1.0</v>
      </c>
      <c r="O25" s="10">
        <v>1.0</v>
      </c>
      <c r="P25" s="10">
        <v>1.0</v>
      </c>
      <c r="Q25" s="10">
        <v>1.0</v>
      </c>
      <c r="R25" s="10">
        <v>1.0</v>
      </c>
      <c r="S25" s="10">
        <v>1.0</v>
      </c>
      <c r="T25" s="10">
        <v>1.0</v>
      </c>
      <c r="U25" s="10">
        <v>1.0</v>
      </c>
      <c r="V25" s="10">
        <v>1.0</v>
      </c>
      <c r="W25" s="10">
        <v>1.0</v>
      </c>
      <c r="X25" s="10">
        <v>1.0</v>
      </c>
      <c r="Y25" s="10">
        <v>0.0</v>
      </c>
      <c r="Z25" s="10">
        <v>1.0</v>
      </c>
      <c r="AA25" s="10">
        <v>1.0</v>
      </c>
    </row>
    <row r="26">
      <c r="A26" s="15"/>
      <c r="B26" s="15"/>
      <c r="C26" s="16" t="s">
        <v>67</v>
      </c>
      <c r="D26" s="16" t="s">
        <v>68</v>
      </c>
      <c r="E26" s="16" t="s">
        <v>62</v>
      </c>
      <c r="F26" s="17" t="s">
        <v>28</v>
      </c>
      <c r="G26" s="16" t="s">
        <v>29</v>
      </c>
      <c r="H26" s="36">
        <v>5.0</v>
      </c>
      <c r="I26" s="19">
        <v>1.0</v>
      </c>
      <c r="J26" s="19">
        <v>1.0</v>
      </c>
      <c r="K26" s="19">
        <v>1.0</v>
      </c>
      <c r="L26" s="19">
        <v>1.0</v>
      </c>
      <c r="M26" s="19">
        <v>1.0</v>
      </c>
      <c r="N26" s="19">
        <v>1.0</v>
      </c>
      <c r="O26" s="19">
        <v>1.0</v>
      </c>
      <c r="P26" s="19">
        <v>1.0</v>
      </c>
      <c r="Q26" s="19">
        <v>1.0</v>
      </c>
      <c r="R26" s="10">
        <v>1.0</v>
      </c>
      <c r="S26" s="10">
        <v>1.0</v>
      </c>
      <c r="T26" s="10">
        <v>1.0</v>
      </c>
      <c r="U26" s="19">
        <v>0.5</v>
      </c>
      <c r="V26" s="10">
        <v>1.0</v>
      </c>
      <c r="W26" s="19">
        <v>1.0</v>
      </c>
      <c r="X26" s="10">
        <v>1.0</v>
      </c>
      <c r="Y26" s="19">
        <v>1.0</v>
      </c>
      <c r="Z26" s="10">
        <v>1.0</v>
      </c>
      <c r="AA26" s="19">
        <v>1.0</v>
      </c>
      <c r="AB26" s="15"/>
    </row>
    <row r="27">
      <c r="C27" s="37" t="s">
        <v>69</v>
      </c>
      <c r="D27" s="7" t="s">
        <v>70</v>
      </c>
      <c r="E27" s="7" t="s">
        <v>71</v>
      </c>
      <c r="F27" s="11" t="s">
        <v>11</v>
      </c>
      <c r="G27" s="7" t="s">
        <v>12</v>
      </c>
      <c r="H27" s="38">
        <v>6.0</v>
      </c>
      <c r="I27" s="12">
        <v>1.0</v>
      </c>
      <c r="J27" s="12">
        <v>1.0</v>
      </c>
      <c r="K27" s="13">
        <v>1.0</v>
      </c>
      <c r="L27" s="13">
        <v>1.0</v>
      </c>
      <c r="M27" s="13">
        <v>1.0</v>
      </c>
      <c r="N27" s="13">
        <v>1.0</v>
      </c>
      <c r="O27" s="13">
        <v>1.0</v>
      </c>
      <c r="P27" s="13">
        <v>1.0</v>
      </c>
      <c r="Q27" s="13">
        <v>1.0</v>
      </c>
      <c r="R27" s="10">
        <v>1.0</v>
      </c>
      <c r="S27" s="13">
        <v>1.0</v>
      </c>
      <c r="T27" s="13">
        <v>1.0</v>
      </c>
      <c r="U27" s="13">
        <v>0.5</v>
      </c>
      <c r="V27" s="13">
        <v>1.0</v>
      </c>
      <c r="W27" s="13">
        <v>1.0</v>
      </c>
      <c r="X27" s="13">
        <v>1.0</v>
      </c>
      <c r="Y27" s="13">
        <v>1.0</v>
      </c>
      <c r="Z27" s="13">
        <v>1.0</v>
      </c>
      <c r="AA27" s="13">
        <v>1.0</v>
      </c>
      <c r="AB27" s="14"/>
    </row>
    <row r="28">
      <c r="C28" s="7" t="s">
        <v>72</v>
      </c>
      <c r="D28" s="7" t="s">
        <v>73</v>
      </c>
      <c r="E28" s="7" t="s">
        <v>71</v>
      </c>
      <c r="F28" s="32" t="s">
        <v>24</v>
      </c>
      <c r="G28" s="7" t="s">
        <v>25</v>
      </c>
      <c r="H28" s="38">
        <v>6.0</v>
      </c>
      <c r="I28" s="12">
        <v>1.0</v>
      </c>
      <c r="J28" s="39">
        <v>0.5</v>
      </c>
      <c r="K28" s="13">
        <v>1.0</v>
      </c>
      <c r="L28" s="13">
        <v>1.0</v>
      </c>
      <c r="M28" s="13">
        <v>1.0</v>
      </c>
      <c r="N28" s="13">
        <v>1.0</v>
      </c>
      <c r="O28" s="13">
        <v>1.0</v>
      </c>
      <c r="P28" s="13">
        <v>1.0</v>
      </c>
      <c r="Q28" s="13">
        <v>1.0</v>
      </c>
      <c r="R28" s="10">
        <v>1.0</v>
      </c>
      <c r="S28" s="13">
        <v>1.0</v>
      </c>
      <c r="T28" s="13">
        <v>1.0</v>
      </c>
      <c r="U28" s="13">
        <v>1.0</v>
      </c>
      <c r="V28" s="13">
        <v>1.0</v>
      </c>
      <c r="W28" s="13">
        <v>1.0</v>
      </c>
      <c r="X28" s="13">
        <v>1.0</v>
      </c>
      <c r="Y28" s="13">
        <v>1.0</v>
      </c>
      <c r="Z28" s="13">
        <v>1.0</v>
      </c>
      <c r="AA28" s="13">
        <v>1.0</v>
      </c>
      <c r="AB28" s="14"/>
    </row>
    <row r="29">
      <c r="C29" s="7" t="s">
        <v>74</v>
      </c>
      <c r="D29" s="7" t="s">
        <v>75</v>
      </c>
      <c r="E29" s="7" t="s">
        <v>71</v>
      </c>
      <c r="F29" s="8" t="s">
        <v>24</v>
      </c>
      <c r="G29" s="7" t="s">
        <v>25</v>
      </c>
      <c r="H29" s="38">
        <v>6.0</v>
      </c>
      <c r="I29" s="10">
        <v>1.0</v>
      </c>
      <c r="J29" s="10">
        <v>1.0</v>
      </c>
      <c r="K29" s="10">
        <v>1.0</v>
      </c>
      <c r="L29" s="10">
        <v>1.0</v>
      </c>
      <c r="M29" s="10">
        <v>1.0</v>
      </c>
      <c r="N29" s="10">
        <v>0.5</v>
      </c>
      <c r="O29" s="10">
        <v>1.0</v>
      </c>
      <c r="P29" s="10">
        <v>1.0</v>
      </c>
      <c r="Q29" s="10">
        <v>1.0</v>
      </c>
      <c r="R29" s="10">
        <v>1.0</v>
      </c>
      <c r="S29" s="10">
        <v>1.0</v>
      </c>
      <c r="T29" s="10">
        <v>1.0</v>
      </c>
      <c r="U29" s="10">
        <v>0.5</v>
      </c>
      <c r="V29" s="10">
        <v>1.0</v>
      </c>
      <c r="W29" s="10">
        <v>1.0</v>
      </c>
      <c r="X29" s="10">
        <v>1.0</v>
      </c>
      <c r="Y29" s="10">
        <v>1.0</v>
      </c>
      <c r="Z29" s="10">
        <v>1.0</v>
      </c>
      <c r="AA29" s="10">
        <v>0.0</v>
      </c>
    </row>
    <row r="30">
      <c r="A30" s="15"/>
      <c r="B30" s="15"/>
      <c r="C30" s="7" t="s">
        <v>76</v>
      </c>
      <c r="D30" s="7" t="s">
        <v>77</v>
      </c>
      <c r="E30" s="7" t="s">
        <v>71</v>
      </c>
      <c r="F30" s="8" t="s">
        <v>24</v>
      </c>
      <c r="G30" s="7" t="s">
        <v>25</v>
      </c>
      <c r="H30" s="38">
        <v>6.0</v>
      </c>
      <c r="I30" s="10">
        <v>1.0</v>
      </c>
      <c r="J30" s="10">
        <v>1.0</v>
      </c>
      <c r="K30" s="10">
        <v>1.0</v>
      </c>
      <c r="L30" s="10">
        <v>1.0</v>
      </c>
      <c r="M30" s="10">
        <v>1.0</v>
      </c>
      <c r="N30" s="10">
        <v>0.5</v>
      </c>
      <c r="O30" s="10">
        <v>1.0</v>
      </c>
      <c r="P30" s="10">
        <v>1.0</v>
      </c>
      <c r="Q30" s="10">
        <v>1.0</v>
      </c>
      <c r="R30" s="10">
        <v>1.0</v>
      </c>
      <c r="S30" s="10">
        <v>1.0</v>
      </c>
      <c r="T30" s="10">
        <v>1.0</v>
      </c>
      <c r="U30" s="10">
        <v>1.0</v>
      </c>
      <c r="V30" s="10">
        <v>1.0</v>
      </c>
      <c r="W30" s="10">
        <v>1.0</v>
      </c>
      <c r="X30" s="10">
        <v>1.0</v>
      </c>
      <c r="Y30" s="10">
        <v>1.0</v>
      </c>
      <c r="Z30" s="10">
        <v>1.0</v>
      </c>
      <c r="AA30" s="10">
        <v>0.0</v>
      </c>
    </row>
    <row r="31">
      <c r="C31" s="7" t="s">
        <v>78</v>
      </c>
      <c r="D31" s="7" t="s">
        <v>79</v>
      </c>
      <c r="E31" s="7" t="s">
        <v>71</v>
      </c>
      <c r="F31" s="8" t="s">
        <v>24</v>
      </c>
      <c r="G31" s="7" t="s">
        <v>29</v>
      </c>
      <c r="H31" s="38">
        <v>6.0</v>
      </c>
      <c r="I31" s="10">
        <v>1.0</v>
      </c>
      <c r="J31" s="10">
        <v>1.0</v>
      </c>
      <c r="K31" s="10">
        <v>1.0</v>
      </c>
      <c r="L31" s="10">
        <v>1.0</v>
      </c>
      <c r="M31" s="10">
        <v>1.0</v>
      </c>
      <c r="N31" s="10">
        <v>1.0</v>
      </c>
      <c r="O31" s="10">
        <v>1.0</v>
      </c>
      <c r="P31" s="10">
        <v>1.0</v>
      </c>
      <c r="Q31" s="10">
        <v>1.0</v>
      </c>
      <c r="R31" s="10">
        <v>1.0</v>
      </c>
      <c r="S31" s="10">
        <v>1.0</v>
      </c>
      <c r="T31" s="10">
        <v>1.0</v>
      </c>
      <c r="U31" s="10">
        <v>1.0</v>
      </c>
      <c r="V31" s="10">
        <v>1.0</v>
      </c>
      <c r="W31" s="10">
        <v>1.0</v>
      </c>
      <c r="X31" s="10">
        <v>1.0</v>
      </c>
      <c r="Y31" s="10">
        <v>1.0</v>
      </c>
      <c r="Z31" s="10">
        <v>1.0</v>
      </c>
      <c r="AA31" s="10">
        <v>1.0</v>
      </c>
    </row>
    <row r="32">
      <c r="A32" s="15"/>
      <c r="B32" s="15"/>
      <c r="C32" s="16" t="s">
        <v>80</v>
      </c>
      <c r="D32" s="16" t="s">
        <v>81</v>
      </c>
      <c r="E32" s="40" t="s">
        <v>71</v>
      </c>
      <c r="F32" s="41" t="s">
        <v>28</v>
      </c>
      <c r="G32" s="16" t="s">
        <v>29</v>
      </c>
      <c r="H32" s="42">
        <v>6.0</v>
      </c>
      <c r="I32" s="43">
        <v>1.0</v>
      </c>
      <c r="J32" s="44">
        <v>1.0</v>
      </c>
      <c r="K32" s="45">
        <v>1.0</v>
      </c>
      <c r="L32" s="45">
        <v>1.0</v>
      </c>
      <c r="M32" s="45">
        <v>1.0</v>
      </c>
      <c r="N32" s="45">
        <v>0.0</v>
      </c>
      <c r="O32" s="45">
        <v>0.0</v>
      </c>
      <c r="P32" s="45">
        <v>0.0</v>
      </c>
      <c r="Q32" s="45">
        <v>0.0</v>
      </c>
      <c r="R32" s="10">
        <v>0.0</v>
      </c>
      <c r="S32" s="45">
        <v>0.0</v>
      </c>
      <c r="T32" s="45">
        <v>0.0</v>
      </c>
      <c r="U32" s="19">
        <v>0.0</v>
      </c>
      <c r="V32" s="45">
        <v>0.0</v>
      </c>
      <c r="W32" s="45">
        <v>0.0</v>
      </c>
      <c r="X32" s="45">
        <v>0.0</v>
      </c>
      <c r="Y32" s="45">
        <v>0.0</v>
      </c>
      <c r="Z32" s="45">
        <v>0.0</v>
      </c>
      <c r="AA32" s="45">
        <v>0.0</v>
      </c>
      <c r="AB32" s="46"/>
    </row>
    <row r="33">
      <c r="C33" s="7" t="s">
        <v>82</v>
      </c>
      <c r="D33" s="7" t="s">
        <v>83</v>
      </c>
      <c r="E33" s="7" t="s">
        <v>84</v>
      </c>
      <c r="F33" s="8" t="s">
        <v>11</v>
      </c>
      <c r="G33" s="7" t="s">
        <v>12</v>
      </c>
      <c r="H33" s="47">
        <v>7.0</v>
      </c>
      <c r="I33" s="10">
        <v>1.0</v>
      </c>
      <c r="J33" s="10">
        <v>1.0</v>
      </c>
      <c r="K33" s="10">
        <v>1.0</v>
      </c>
      <c r="L33" s="10">
        <v>1.0</v>
      </c>
      <c r="M33" s="10">
        <v>1.0</v>
      </c>
      <c r="N33" s="10">
        <v>1.0</v>
      </c>
      <c r="O33" s="10">
        <v>1.0</v>
      </c>
      <c r="P33" s="10">
        <v>1.0</v>
      </c>
      <c r="Q33" s="10">
        <v>1.0</v>
      </c>
      <c r="R33" s="10">
        <v>1.0</v>
      </c>
      <c r="S33" s="10">
        <v>1.0</v>
      </c>
      <c r="T33" s="10">
        <v>1.0</v>
      </c>
      <c r="U33" s="10">
        <v>1.0</v>
      </c>
      <c r="V33" s="10">
        <v>1.0</v>
      </c>
      <c r="W33" s="10">
        <v>1.0</v>
      </c>
      <c r="X33" s="10">
        <v>1.0</v>
      </c>
      <c r="Y33" s="10">
        <v>1.0</v>
      </c>
      <c r="Z33" s="10">
        <v>1.0</v>
      </c>
      <c r="AA33" s="10">
        <v>1.0</v>
      </c>
    </row>
    <row r="34">
      <c r="C34" s="7" t="s">
        <v>85</v>
      </c>
      <c r="D34" s="7" t="s">
        <v>86</v>
      </c>
      <c r="E34" s="7" t="s">
        <v>84</v>
      </c>
      <c r="F34" s="8" t="s">
        <v>11</v>
      </c>
      <c r="G34" s="7" t="s">
        <v>12</v>
      </c>
      <c r="H34" s="47">
        <v>7.0</v>
      </c>
      <c r="I34" s="10">
        <v>1.0</v>
      </c>
      <c r="J34" s="10">
        <v>1.0</v>
      </c>
      <c r="K34" s="10">
        <v>1.0</v>
      </c>
      <c r="L34" s="10">
        <v>1.0</v>
      </c>
      <c r="M34" s="10">
        <v>1.0</v>
      </c>
      <c r="N34" s="10">
        <v>1.0</v>
      </c>
      <c r="O34" s="10">
        <v>1.0</v>
      </c>
      <c r="P34" s="10">
        <v>1.0</v>
      </c>
      <c r="Q34" s="10">
        <v>1.0</v>
      </c>
      <c r="R34" s="10">
        <v>1.0</v>
      </c>
      <c r="S34" s="10">
        <v>1.0</v>
      </c>
      <c r="T34" s="10">
        <v>1.0</v>
      </c>
      <c r="U34" s="10">
        <v>1.0</v>
      </c>
      <c r="V34" s="10">
        <v>1.0</v>
      </c>
      <c r="W34" s="10">
        <v>1.0</v>
      </c>
      <c r="X34" s="10">
        <v>1.0</v>
      </c>
      <c r="Y34" s="10">
        <v>0.5</v>
      </c>
      <c r="Z34" s="10">
        <v>1.0</v>
      </c>
      <c r="AA34" s="10">
        <v>1.0</v>
      </c>
    </row>
    <row r="35">
      <c r="C35" s="7" t="s">
        <v>87</v>
      </c>
      <c r="D35" s="7" t="s">
        <v>88</v>
      </c>
      <c r="E35" s="7" t="s">
        <v>84</v>
      </c>
      <c r="F35" s="8" t="s">
        <v>11</v>
      </c>
      <c r="G35" s="7" t="s">
        <v>12</v>
      </c>
      <c r="H35" s="47">
        <v>7.0</v>
      </c>
      <c r="I35" s="10">
        <v>1.0</v>
      </c>
      <c r="J35" s="10">
        <v>0.5</v>
      </c>
      <c r="K35" s="10">
        <v>1.0</v>
      </c>
      <c r="L35" s="10">
        <v>1.0</v>
      </c>
      <c r="M35" s="10">
        <v>1.0</v>
      </c>
      <c r="N35" s="10">
        <v>1.0</v>
      </c>
      <c r="O35" s="10">
        <v>1.0</v>
      </c>
      <c r="P35" s="10">
        <v>1.0</v>
      </c>
      <c r="Q35" s="10">
        <v>1.0</v>
      </c>
      <c r="R35" s="10">
        <v>1.0</v>
      </c>
      <c r="S35" s="10">
        <v>1.0</v>
      </c>
      <c r="T35" s="10">
        <v>1.0</v>
      </c>
      <c r="U35" s="10">
        <v>1.0</v>
      </c>
      <c r="V35" s="10">
        <v>1.0</v>
      </c>
      <c r="W35" s="10">
        <v>1.0</v>
      </c>
      <c r="X35" s="10">
        <v>1.0</v>
      </c>
      <c r="Y35" s="10">
        <v>1.0</v>
      </c>
      <c r="Z35" s="10">
        <v>0.5</v>
      </c>
      <c r="AA35" s="10">
        <v>1.0</v>
      </c>
    </row>
    <row r="36">
      <c r="C36" s="7" t="s">
        <v>89</v>
      </c>
      <c r="D36" s="7" t="s">
        <v>90</v>
      </c>
      <c r="E36" s="7" t="s">
        <v>84</v>
      </c>
      <c r="F36" s="8" t="s">
        <v>28</v>
      </c>
      <c r="G36" s="7" t="s">
        <v>29</v>
      </c>
      <c r="H36" s="47">
        <v>7.0</v>
      </c>
      <c r="I36" s="10">
        <v>1.0</v>
      </c>
      <c r="J36" s="10">
        <v>1.0</v>
      </c>
      <c r="K36" s="10">
        <v>1.0</v>
      </c>
      <c r="L36" s="10">
        <v>1.0</v>
      </c>
      <c r="M36" s="10">
        <v>1.0</v>
      </c>
      <c r="N36" s="10">
        <v>1.0</v>
      </c>
      <c r="O36" s="10">
        <v>1.0</v>
      </c>
      <c r="P36" s="10">
        <v>1.0</v>
      </c>
      <c r="Q36" s="10">
        <v>0.5</v>
      </c>
      <c r="R36" s="10">
        <v>1.0</v>
      </c>
      <c r="S36" s="10">
        <v>1.0</v>
      </c>
      <c r="T36" s="10">
        <v>1.0</v>
      </c>
      <c r="U36" s="10">
        <v>1.0</v>
      </c>
      <c r="V36" s="10">
        <v>1.0</v>
      </c>
      <c r="W36" s="10">
        <v>1.0</v>
      </c>
      <c r="X36" s="10">
        <v>1.0</v>
      </c>
      <c r="Y36" s="10">
        <v>1.0</v>
      </c>
      <c r="Z36" s="10">
        <v>1.0</v>
      </c>
      <c r="AA36" s="10">
        <v>1.0</v>
      </c>
    </row>
    <row r="37">
      <c r="A37" s="15"/>
      <c r="B37" s="15"/>
      <c r="C37" s="7" t="s">
        <v>91</v>
      </c>
      <c r="D37" s="7" t="s">
        <v>92</v>
      </c>
      <c r="E37" s="7" t="s">
        <v>84</v>
      </c>
      <c r="F37" s="8" t="s">
        <v>24</v>
      </c>
      <c r="G37" s="7" t="s">
        <v>93</v>
      </c>
      <c r="H37" s="47">
        <v>7.0</v>
      </c>
      <c r="I37" s="10">
        <v>0.0</v>
      </c>
      <c r="J37" s="10">
        <v>0.0</v>
      </c>
      <c r="K37" s="10">
        <v>1.0</v>
      </c>
      <c r="L37" s="10">
        <v>1.0</v>
      </c>
      <c r="M37" s="10">
        <v>1.0</v>
      </c>
      <c r="N37" s="10">
        <v>1.0</v>
      </c>
      <c r="O37" s="10">
        <v>1.0</v>
      </c>
      <c r="P37" s="10">
        <v>1.0</v>
      </c>
      <c r="Q37" s="10">
        <v>1.0</v>
      </c>
      <c r="R37" s="10">
        <v>1.0</v>
      </c>
      <c r="S37" s="10">
        <v>1.0</v>
      </c>
      <c r="T37" s="10">
        <v>1.0</v>
      </c>
      <c r="U37" s="10">
        <v>1.0</v>
      </c>
      <c r="V37" s="10">
        <v>0.0</v>
      </c>
      <c r="W37" s="10">
        <v>0.0</v>
      </c>
      <c r="X37" s="10">
        <v>0.0</v>
      </c>
      <c r="Y37" s="10">
        <v>0.0</v>
      </c>
      <c r="Z37" s="10">
        <v>0.0</v>
      </c>
      <c r="AA37" s="10">
        <v>0.0</v>
      </c>
    </row>
    <row r="38">
      <c r="A38" s="15"/>
      <c r="B38" s="15"/>
      <c r="C38" s="16" t="s">
        <v>94</v>
      </c>
      <c r="D38" s="16" t="s">
        <v>95</v>
      </c>
      <c r="E38" s="16" t="s">
        <v>84</v>
      </c>
      <c r="F38" s="17" t="s">
        <v>24</v>
      </c>
      <c r="G38" s="16" t="s">
        <v>93</v>
      </c>
      <c r="H38" s="48">
        <v>7.0</v>
      </c>
      <c r="I38" s="19">
        <v>1.0</v>
      </c>
      <c r="J38" s="19">
        <v>1.0</v>
      </c>
      <c r="K38" s="19">
        <v>1.0</v>
      </c>
      <c r="L38" s="19">
        <v>1.0</v>
      </c>
      <c r="M38" s="19">
        <v>1.0</v>
      </c>
      <c r="N38" s="19">
        <v>1.0</v>
      </c>
      <c r="O38" s="19">
        <v>1.0</v>
      </c>
      <c r="P38" s="19">
        <v>1.0</v>
      </c>
      <c r="Q38" s="19">
        <v>1.0</v>
      </c>
      <c r="R38" s="10">
        <v>1.0</v>
      </c>
      <c r="S38" s="19">
        <v>1.0</v>
      </c>
      <c r="T38" s="19">
        <v>1.0</v>
      </c>
      <c r="U38" s="10">
        <v>1.0</v>
      </c>
      <c r="V38" s="19">
        <v>1.0</v>
      </c>
      <c r="W38" s="19">
        <v>0.0</v>
      </c>
      <c r="X38" s="19">
        <v>0.0</v>
      </c>
      <c r="Y38" s="15"/>
      <c r="Z38" s="19">
        <v>0.0</v>
      </c>
      <c r="AA38" s="15"/>
      <c r="AB38" s="15"/>
    </row>
    <row r="39">
      <c r="C39" s="7" t="s">
        <v>96</v>
      </c>
      <c r="D39" s="7" t="s">
        <v>97</v>
      </c>
      <c r="E39" s="7" t="s">
        <v>98</v>
      </c>
      <c r="F39" s="8" t="s">
        <v>24</v>
      </c>
      <c r="G39" s="7" t="s">
        <v>29</v>
      </c>
      <c r="H39" s="49">
        <v>8.0</v>
      </c>
      <c r="I39" s="10">
        <v>1.0</v>
      </c>
      <c r="J39" s="10">
        <v>1.0</v>
      </c>
      <c r="K39" s="10">
        <v>1.0</v>
      </c>
      <c r="L39" s="10">
        <v>1.0</v>
      </c>
      <c r="M39" s="10">
        <v>1.0</v>
      </c>
      <c r="N39" s="10">
        <v>1.0</v>
      </c>
      <c r="O39" s="10">
        <v>1.0</v>
      </c>
      <c r="P39" s="10">
        <v>1.0</v>
      </c>
      <c r="Q39" s="10">
        <v>0.5</v>
      </c>
      <c r="R39" s="10">
        <v>1.0</v>
      </c>
      <c r="S39" s="10">
        <v>1.0</v>
      </c>
      <c r="T39" s="10">
        <v>1.0</v>
      </c>
      <c r="U39" s="10">
        <v>1.0</v>
      </c>
      <c r="V39" s="10">
        <v>1.0</v>
      </c>
      <c r="W39" s="10">
        <v>1.0</v>
      </c>
      <c r="X39" s="10">
        <v>1.0</v>
      </c>
      <c r="Y39" s="10">
        <v>0.0</v>
      </c>
      <c r="Z39" s="10">
        <v>1.0</v>
      </c>
      <c r="AA39" s="10">
        <v>1.0</v>
      </c>
    </row>
    <row r="40">
      <c r="C40" s="7" t="s">
        <v>99</v>
      </c>
      <c r="D40" s="7" t="s">
        <v>100</v>
      </c>
      <c r="E40" s="7" t="s">
        <v>98</v>
      </c>
      <c r="F40" s="8" t="s">
        <v>24</v>
      </c>
      <c r="G40" s="7" t="s">
        <v>29</v>
      </c>
      <c r="H40" s="49">
        <v>8.0</v>
      </c>
      <c r="I40" s="10">
        <v>1.0</v>
      </c>
      <c r="J40" s="10">
        <v>1.0</v>
      </c>
      <c r="K40" s="10">
        <v>1.0</v>
      </c>
      <c r="L40" s="10">
        <v>1.0</v>
      </c>
      <c r="M40" s="10">
        <v>1.0</v>
      </c>
      <c r="N40" s="10">
        <v>1.0</v>
      </c>
      <c r="O40" s="10">
        <v>1.0</v>
      </c>
      <c r="P40" s="10">
        <v>1.0</v>
      </c>
      <c r="Q40" s="10">
        <v>1.0</v>
      </c>
      <c r="R40" s="10">
        <v>1.0</v>
      </c>
      <c r="S40" s="10">
        <v>1.0</v>
      </c>
      <c r="T40" s="10">
        <v>1.0</v>
      </c>
      <c r="U40" s="10">
        <v>1.0</v>
      </c>
      <c r="V40" s="10">
        <v>1.0</v>
      </c>
      <c r="W40" s="10">
        <v>1.0</v>
      </c>
      <c r="X40" s="10">
        <v>1.0</v>
      </c>
      <c r="Y40" s="10">
        <v>1.0</v>
      </c>
      <c r="Z40" s="10">
        <v>1.0</v>
      </c>
      <c r="AA40" s="10">
        <v>1.0</v>
      </c>
    </row>
    <row r="41">
      <c r="C41" s="7" t="s">
        <v>101</v>
      </c>
      <c r="D41" s="7" t="s">
        <v>102</v>
      </c>
      <c r="E41" s="7" t="s">
        <v>98</v>
      </c>
      <c r="F41" s="8" t="s">
        <v>28</v>
      </c>
      <c r="G41" s="7" t="s">
        <v>29</v>
      </c>
      <c r="H41" s="49">
        <v>8.0</v>
      </c>
      <c r="I41" s="10">
        <v>1.0</v>
      </c>
      <c r="J41" s="10">
        <v>1.0</v>
      </c>
      <c r="K41" s="10">
        <v>1.0</v>
      </c>
      <c r="L41" s="10">
        <v>1.0</v>
      </c>
      <c r="M41" s="10">
        <v>1.0</v>
      </c>
      <c r="N41" s="10">
        <v>1.0</v>
      </c>
      <c r="O41" s="10">
        <v>1.0</v>
      </c>
      <c r="P41" s="10">
        <v>1.0</v>
      </c>
      <c r="Q41" s="10">
        <v>1.0</v>
      </c>
      <c r="R41" s="10">
        <v>1.0</v>
      </c>
      <c r="S41" s="10">
        <v>1.0</v>
      </c>
      <c r="T41" s="10">
        <v>1.0</v>
      </c>
      <c r="U41" s="10">
        <v>1.0</v>
      </c>
      <c r="V41" s="10">
        <v>1.0</v>
      </c>
      <c r="W41" s="10">
        <v>1.0</v>
      </c>
      <c r="X41" s="10">
        <v>1.0</v>
      </c>
      <c r="Y41" s="10">
        <v>1.0</v>
      </c>
      <c r="Z41" s="10">
        <v>1.0</v>
      </c>
      <c r="AA41" s="10">
        <v>1.0</v>
      </c>
    </row>
    <row r="42">
      <c r="C42" s="7" t="s">
        <v>103</v>
      </c>
      <c r="D42" s="7" t="s">
        <v>104</v>
      </c>
      <c r="E42" s="7" t="s">
        <v>98</v>
      </c>
      <c r="F42" s="8" t="s">
        <v>11</v>
      </c>
      <c r="G42" s="7" t="s">
        <v>12</v>
      </c>
      <c r="H42" s="49">
        <v>8.0</v>
      </c>
      <c r="I42" s="10">
        <v>1.0</v>
      </c>
      <c r="J42" s="10">
        <v>1.0</v>
      </c>
      <c r="K42" s="10">
        <v>1.0</v>
      </c>
      <c r="L42" s="10">
        <v>1.0</v>
      </c>
      <c r="M42" s="10">
        <v>0.0</v>
      </c>
      <c r="N42" s="10">
        <v>1.0</v>
      </c>
      <c r="O42" s="10">
        <v>1.0</v>
      </c>
      <c r="P42" s="10">
        <v>1.0</v>
      </c>
      <c r="Q42" s="10">
        <v>1.0</v>
      </c>
      <c r="R42" s="10">
        <v>1.0</v>
      </c>
      <c r="S42" s="10">
        <v>1.0</v>
      </c>
      <c r="T42" s="10">
        <v>1.0</v>
      </c>
      <c r="U42" s="10">
        <v>1.0</v>
      </c>
      <c r="V42" s="10">
        <v>0.0</v>
      </c>
      <c r="W42" s="10">
        <v>0.0</v>
      </c>
      <c r="X42" s="10">
        <v>0.0</v>
      </c>
      <c r="Y42" s="10">
        <v>0.0</v>
      </c>
      <c r="Z42" s="10">
        <v>0.0</v>
      </c>
      <c r="AA42" s="10">
        <v>0.0</v>
      </c>
    </row>
    <row r="43">
      <c r="A43" s="15"/>
      <c r="B43" s="15"/>
      <c r="C43" s="7" t="s">
        <v>105</v>
      </c>
      <c r="D43" s="7" t="s">
        <v>106</v>
      </c>
      <c r="E43" s="7" t="s">
        <v>98</v>
      </c>
      <c r="F43" s="8" t="s">
        <v>24</v>
      </c>
      <c r="G43" s="7" t="s">
        <v>25</v>
      </c>
      <c r="H43" s="49">
        <v>8.0</v>
      </c>
      <c r="I43" s="10">
        <v>1.0</v>
      </c>
      <c r="J43" s="10">
        <v>1.0</v>
      </c>
      <c r="K43" s="10">
        <v>1.0</v>
      </c>
      <c r="L43" s="10">
        <v>1.0</v>
      </c>
      <c r="M43" s="10">
        <v>1.0</v>
      </c>
      <c r="N43" s="10">
        <v>1.0</v>
      </c>
      <c r="O43" s="10">
        <v>1.0</v>
      </c>
      <c r="P43" s="10">
        <v>1.0</v>
      </c>
      <c r="Q43" s="10">
        <v>1.0</v>
      </c>
      <c r="R43" s="10">
        <v>1.0</v>
      </c>
      <c r="S43" s="10">
        <v>1.0</v>
      </c>
      <c r="T43" s="10">
        <v>1.0</v>
      </c>
      <c r="U43" s="10">
        <v>1.0</v>
      </c>
      <c r="V43" s="10">
        <v>1.0</v>
      </c>
      <c r="W43" s="10">
        <v>1.0</v>
      </c>
      <c r="X43" s="10">
        <v>1.0</v>
      </c>
      <c r="Y43" s="10">
        <v>1.0</v>
      </c>
      <c r="Z43" s="10">
        <v>1.0</v>
      </c>
      <c r="AA43" s="10">
        <v>1.0</v>
      </c>
    </row>
    <row r="44">
      <c r="A44" s="15"/>
      <c r="B44" s="15"/>
      <c r="C44" s="22" t="s">
        <v>107</v>
      </c>
      <c r="D44" s="22" t="s">
        <v>108</v>
      </c>
      <c r="E44" s="22" t="s">
        <v>98</v>
      </c>
      <c r="F44" s="8" t="s">
        <v>11</v>
      </c>
      <c r="G44" s="22" t="s">
        <v>12</v>
      </c>
      <c r="H44" s="49">
        <v>8.0</v>
      </c>
      <c r="I44" s="10">
        <v>1.0</v>
      </c>
      <c r="J44" s="10">
        <v>1.0</v>
      </c>
      <c r="K44" s="10">
        <v>1.0</v>
      </c>
      <c r="L44" s="10">
        <v>1.0</v>
      </c>
      <c r="M44" s="10">
        <v>1.0</v>
      </c>
      <c r="N44" s="10">
        <v>1.0</v>
      </c>
      <c r="O44" s="10">
        <v>1.0</v>
      </c>
      <c r="P44" s="10">
        <v>1.0</v>
      </c>
      <c r="Q44" s="10">
        <v>1.0</v>
      </c>
      <c r="R44" s="10">
        <v>1.0</v>
      </c>
      <c r="S44" s="10">
        <v>1.0</v>
      </c>
      <c r="T44" s="10">
        <v>1.0</v>
      </c>
      <c r="U44" s="10">
        <v>1.0</v>
      </c>
      <c r="V44" s="10">
        <v>1.0</v>
      </c>
      <c r="W44" s="10">
        <v>1.0</v>
      </c>
      <c r="X44" s="10">
        <v>1.0</v>
      </c>
      <c r="Y44" s="10">
        <v>1.0</v>
      </c>
      <c r="Z44" s="10">
        <v>1.0</v>
      </c>
      <c r="AA44" s="10">
        <v>1.0</v>
      </c>
    </row>
    <row r="45">
      <c r="A45" s="15"/>
      <c r="B45" s="15"/>
      <c r="C45" s="16" t="s">
        <v>109</v>
      </c>
      <c r="D45" s="16" t="s">
        <v>110</v>
      </c>
      <c r="E45" s="16" t="s">
        <v>98</v>
      </c>
      <c r="F45" s="17" t="s">
        <v>11</v>
      </c>
      <c r="G45" s="16" t="s">
        <v>12</v>
      </c>
      <c r="H45" s="50">
        <v>8.0</v>
      </c>
      <c r="I45" s="19">
        <v>1.0</v>
      </c>
      <c r="J45" s="19">
        <v>1.0</v>
      </c>
      <c r="K45" s="19">
        <v>1.0</v>
      </c>
      <c r="L45" s="19">
        <v>1.0</v>
      </c>
      <c r="M45" s="19">
        <v>1.0</v>
      </c>
      <c r="N45" s="19">
        <v>1.0</v>
      </c>
      <c r="O45" s="19">
        <v>0.0</v>
      </c>
      <c r="P45" s="19">
        <v>1.0</v>
      </c>
      <c r="Q45" s="19">
        <v>1.0</v>
      </c>
      <c r="R45" s="10">
        <v>1.0</v>
      </c>
      <c r="S45" s="19">
        <v>1.0</v>
      </c>
      <c r="T45" s="19">
        <v>1.0</v>
      </c>
      <c r="U45" s="10">
        <v>1.0</v>
      </c>
      <c r="V45" s="19">
        <v>1.0</v>
      </c>
      <c r="W45" s="19">
        <v>1.0</v>
      </c>
      <c r="X45" s="19">
        <v>1.0</v>
      </c>
      <c r="Y45" s="19">
        <v>1.0</v>
      </c>
      <c r="Z45" s="19">
        <v>1.0</v>
      </c>
      <c r="AA45" s="19">
        <v>0.0</v>
      </c>
      <c r="AB45" s="15"/>
    </row>
    <row r="46">
      <c r="C46" s="7" t="s">
        <v>111</v>
      </c>
      <c r="D46" s="7" t="s">
        <v>112</v>
      </c>
      <c r="E46" s="7" t="s">
        <v>113</v>
      </c>
      <c r="F46" s="8" t="s">
        <v>28</v>
      </c>
      <c r="G46" s="7" t="s">
        <v>29</v>
      </c>
      <c r="H46" s="51">
        <v>9.0</v>
      </c>
      <c r="I46" s="10">
        <v>1.0</v>
      </c>
      <c r="J46" s="10">
        <v>1.0</v>
      </c>
      <c r="K46" s="10">
        <v>1.0</v>
      </c>
      <c r="L46" s="10">
        <v>1.0</v>
      </c>
      <c r="M46" s="10">
        <v>1.0</v>
      </c>
      <c r="N46" s="10">
        <v>1.0</v>
      </c>
      <c r="O46" s="10">
        <v>1.0</v>
      </c>
      <c r="P46" s="10">
        <v>1.0</v>
      </c>
      <c r="Q46" s="10">
        <v>1.0</v>
      </c>
      <c r="R46" s="10">
        <v>1.0</v>
      </c>
      <c r="S46" s="10">
        <v>1.0</v>
      </c>
      <c r="T46" s="10">
        <v>1.0</v>
      </c>
      <c r="U46" s="10">
        <v>1.0</v>
      </c>
      <c r="V46" s="10">
        <v>1.0</v>
      </c>
      <c r="W46" s="10">
        <v>1.0</v>
      </c>
      <c r="X46" s="10">
        <v>1.0</v>
      </c>
      <c r="Y46" s="10">
        <v>1.0</v>
      </c>
      <c r="Z46" s="10">
        <v>1.0</v>
      </c>
      <c r="AA46" s="10">
        <v>0.0</v>
      </c>
    </row>
    <row r="47">
      <c r="C47" s="22" t="s">
        <v>114</v>
      </c>
      <c r="D47" s="7" t="s">
        <v>115</v>
      </c>
      <c r="E47" s="7" t="s">
        <v>113</v>
      </c>
      <c r="F47" s="8" t="s">
        <v>11</v>
      </c>
      <c r="G47" s="7" t="s">
        <v>29</v>
      </c>
      <c r="H47" s="51">
        <v>9.0</v>
      </c>
      <c r="I47" s="10">
        <v>1.0</v>
      </c>
      <c r="J47" s="10">
        <v>1.0</v>
      </c>
      <c r="K47" s="10">
        <v>1.0</v>
      </c>
      <c r="L47" s="10">
        <v>1.0</v>
      </c>
      <c r="M47" s="10">
        <v>1.0</v>
      </c>
      <c r="N47" s="10">
        <v>1.0</v>
      </c>
      <c r="O47" s="10">
        <v>1.0</v>
      </c>
      <c r="P47" s="10">
        <v>1.0</v>
      </c>
      <c r="Q47" s="10">
        <v>1.0</v>
      </c>
      <c r="R47" s="10">
        <v>1.0</v>
      </c>
      <c r="S47" s="10">
        <v>1.0</v>
      </c>
      <c r="T47" s="10">
        <v>1.0</v>
      </c>
      <c r="U47" s="10">
        <v>1.0</v>
      </c>
      <c r="V47" s="10">
        <v>1.0</v>
      </c>
      <c r="W47" s="10">
        <v>1.0</v>
      </c>
      <c r="X47" s="10">
        <v>1.0</v>
      </c>
      <c r="Y47" s="10">
        <v>1.0</v>
      </c>
      <c r="Z47" s="10">
        <v>1.0</v>
      </c>
      <c r="AA47" s="10">
        <v>1.0</v>
      </c>
    </row>
    <row r="48">
      <c r="C48" s="7" t="s">
        <v>116</v>
      </c>
      <c r="D48" s="7" t="s">
        <v>117</v>
      </c>
      <c r="E48" s="7" t="s">
        <v>113</v>
      </c>
      <c r="F48" s="8" t="s">
        <v>11</v>
      </c>
      <c r="G48" s="7" t="s">
        <v>12</v>
      </c>
      <c r="H48" s="51">
        <v>9.0</v>
      </c>
      <c r="I48" s="10">
        <v>1.0</v>
      </c>
      <c r="J48" s="10">
        <v>1.0</v>
      </c>
      <c r="K48" s="10">
        <v>1.0</v>
      </c>
      <c r="L48" s="10">
        <v>1.0</v>
      </c>
      <c r="M48" s="10">
        <v>1.0</v>
      </c>
      <c r="N48" s="10">
        <v>1.0</v>
      </c>
      <c r="O48" s="10">
        <v>1.0</v>
      </c>
      <c r="P48" s="10">
        <v>1.0</v>
      </c>
      <c r="Q48" s="10">
        <v>1.0</v>
      </c>
      <c r="R48" s="10">
        <v>1.0</v>
      </c>
      <c r="S48" s="10">
        <v>1.0</v>
      </c>
      <c r="T48" s="10">
        <v>1.0</v>
      </c>
      <c r="U48" s="10">
        <v>1.0</v>
      </c>
      <c r="V48" s="10">
        <v>1.0</v>
      </c>
      <c r="W48" s="10">
        <v>1.0</v>
      </c>
      <c r="X48" s="10">
        <v>1.0</v>
      </c>
      <c r="Y48" s="10">
        <v>1.0</v>
      </c>
      <c r="Z48" s="10">
        <v>1.0</v>
      </c>
      <c r="AA48" s="10">
        <v>1.0</v>
      </c>
    </row>
    <row r="49">
      <c r="C49" s="7" t="s">
        <v>118</v>
      </c>
      <c r="D49" s="7" t="s">
        <v>119</v>
      </c>
      <c r="E49" s="7" t="s">
        <v>113</v>
      </c>
      <c r="F49" s="8" t="s">
        <v>11</v>
      </c>
      <c r="G49" s="7" t="s">
        <v>12</v>
      </c>
      <c r="H49" s="51">
        <v>9.0</v>
      </c>
      <c r="I49" s="10">
        <v>1.0</v>
      </c>
      <c r="J49" s="10">
        <v>0.5</v>
      </c>
      <c r="K49" s="10">
        <v>1.0</v>
      </c>
      <c r="L49" s="10">
        <v>1.0</v>
      </c>
      <c r="M49" s="10">
        <v>1.0</v>
      </c>
      <c r="N49" s="10">
        <v>1.0</v>
      </c>
      <c r="O49" s="10">
        <v>1.0</v>
      </c>
      <c r="P49" s="10">
        <v>1.0</v>
      </c>
      <c r="Q49" s="10">
        <v>1.0</v>
      </c>
      <c r="R49" s="10">
        <v>1.0</v>
      </c>
      <c r="S49" s="10">
        <v>1.0</v>
      </c>
      <c r="T49" s="10">
        <v>1.0</v>
      </c>
      <c r="U49" s="10">
        <v>1.0</v>
      </c>
      <c r="V49" s="10">
        <v>1.0</v>
      </c>
      <c r="W49" s="10">
        <v>1.0</v>
      </c>
      <c r="X49" s="10">
        <v>1.0</v>
      </c>
      <c r="Y49" s="10">
        <v>1.0</v>
      </c>
      <c r="Z49" s="10">
        <v>1.0</v>
      </c>
      <c r="AA49" s="10">
        <v>1.0</v>
      </c>
    </row>
    <row r="50">
      <c r="A50" s="15"/>
      <c r="B50" s="15"/>
      <c r="C50" s="16" t="s">
        <v>120</v>
      </c>
      <c r="D50" s="16" t="s">
        <v>121</v>
      </c>
      <c r="E50" s="16" t="s">
        <v>113</v>
      </c>
      <c r="F50" s="17" t="s">
        <v>11</v>
      </c>
      <c r="G50" s="16" t="s">
        <v>12</v>
      </c>
      <c r="H50" s="52">
        <v>9.0</v>
      </c>
      <c r="I50" s="19">
        <v>1.0</v>
      </c>
      <c r="J50" s="19">
        <v>1.0</v>
      </c>
      <c r="K50" s="19">
        <v>1.0</v>
      </c>
      <c r="L50" s="19">
        <v>1.0</v>
      </c>
      <c r="M50" s="19">
        <v>1.0</v>
      </c>
      <c r="N50" s="19">
        <v>1.0</v>
      </c>
      <c r="O50" s="19">
        <v>1.0</v>
      </c>
      <c r="P50" s="19">
        <v>1.0</v>
      </c>
      <c r="Q50" s="19">
        <v>1.0</v>
      </c>
      <c r="R50" s="10">
        <v>1.0</v>
      </c>
      <c r="S50" s="19">
        <v>1.0</v>
      </c>
      <c r="T50" s="19">
        <v>1.0</v>
      </c>
      <c r="U50" s="10">
        <v>1.0</v>
      </c>
      <c r="V50" s="19">
        <v>1.0</v>
      </c>
      <c r="W50" s="19">
        <v>1.0</v>
      </c>
      <c r="X50" s="19">
        <v>1.0</v>
      </c>
      <c r="Y50" s="19">
        <v>1.0</v>
      </c>
      <c r="Z50" s="19">
        <v>0.0</v>
      </c>
      <c r="AA50" s="19">
        <v>1.0</v>
      </c>
      <c r="AB50" s="15"/>
    </row>
    <row r="51">
      <c r="C51" s="7" t="s">
        <v>122</v>
      </c>
      <c r="D51" s="7" t="s">
        <v>123</v>
      </c>
      <c r="E51" s="7" t="s">
        <v>124</v>
      </c>
      <c r="F51" s="8" t="s">
        <v>11</v>
      </c>
      <c r="G51" s="7" t="s">
        <v>12</v>
      </c>
      <c r="H51" s="31">
        <v>10.0</v>
      </c>
      <c r="I51" s="10">
        <v>1.0</v>
      </c>
      <c r="J51" s="10">
        <v>1.0</v>
      </c>
      <c r="K51" s="10">
        <v>1.0</v>
      </c>
      <c r="L51" s="10">
        <v>1.0</v>
      </c>
      <c r="M51" s="10">
        <v>1.0</v>
      </c>
      <c r="N51" s="10">
        <v>1.0</v>
      </c>
      <c r="O51" s="10">
        <v>1.0</v>
      </c>
      <c r="P51" s="10">
        <v>1.0</v>
      </c>
      <c r="Q51" s="10">
        <v>1.0</v>
      </c>
      <c r="R51" s="10">
        <v>1.0</v>
      </c>
      <c r="S51" s="10">
        <v>1.0</v>
      </c>
      <c r="T51" s="10">
        <v>1.0</v>
      </c>
      <c r="U51" s="10">
        <v>1.0</v>
      </c>
      <c r="V51" s="10">
        <v>1.0</v>
      </c>
      <c r="W51" s="10">
        <v>1.0</v>
      </c>
      <c r="X51" s="10">
        <v>1.0</v>
      </c>
      <c r="Y51" s="10">
        <v>1.0</v>
      </c>
      <c r="Z51" s="10">
        <v>1.0</v>
      </c>
      <c r="AA51" s="10">
        <v>0.0</v>
      </c>
    </row>
    <row r="52">
      <c r="C52" s="7" t="s">
        <v>125</v>
      </c>
      <c r="D52" s="7" t="s">
        <v>126</v>
      </c>
      <c r="E52" s="7" t="s">
        <v>124</v>
      </c>
      <c r="F52" s="8" t="s">
        <v>11</v>
      </c>
      <c r="G52" s="7" t="s">
        <v>12</v>
      </c>
      <c r="H52" s="31">
        <v>10.0</v>
      </c>
      <c r="I52" s="10">
        <v>0.5</v>
      </c>
      <c r="J52" s="10">
        <v>1.0</v>
      </c>
      <c r="K52" s="10">
        <v>1.0</v>
      </c>
      <c r="L52" s="10">
        <v>1.0</v>
      </c>
      <c r="M52" s="10">
        <v>1.0</v>
      </c>
      <c r="N52" s="10">
        <v>1.0</v>
      </c>
      <c r="O52" s="10">
        <v>0.5</v>
      </c>
      <c r="P52" s="10">
        <v>1.0</v>
      </c>
      <c r="Q52" s="10">
        <v>1.0</v>
      </c>
      <c r="R52" s="10">
        <v>1.0</v>
      </c>
      <c r="S52" s="10">
        <v>0.5</v>
      </c>
      <c r="T52" s="10">
        <v>1.0</v>
      </c>
      <c r="U52" s="10">
        <v>1.0</v>
      </c>
      <c r="V52" s="10">
        <v>0.0</v>
      </c>
      <c r="W52" s="10">
        <v>1.0</v>
      </c>
      <c r="X52" s="10">
        <v>1.0</v>
      </c>
      <c r="Y52" s="10">
        <v>1.0</v>
      </c>
      <c r="Z52" s="10">
        <v>1.0</v>
      </c>
      <c r="AA52" s="10">
        <v>1.0</v>
      </c>
    </row>
    <row r="53">
      <c r="C53" s="7" t="s">
        <v>127</v>
      </c>
      <c r="D53" s="7" t="s">
        <v>128</v>
      </c>
      <c r="E53" s="7" t="s">
        <v>124</v>
      </c>
      <c r="F53" s="8" t="s">
        <v>11</v>
      </c>
      <c r="G53" s="7" t="s">
        <v>12</v>
      </c>
      <c r="H53" s="31">
        <v>10.0</v>
      </c>
      <c r="I53" s="10">
        <v>1.0</v>
      </c>
      <c r="J53" s="10">
        <v>1.0</v>
      </c>
      <c r="K53" s="10">
        <v>1.0</v>
      </c>
      <c r="L53" s="10">
        <v>1.0</v>
      </c>
      <c r="M53" s="10">
        <v>1.0</v>
      </c>
      <c r="N53" s="10">
        <v>1.0</v>
      </c>
      <c r="O53" s="10">
        <v>1.0</v>
      </c>
      <c r="P53" s="10">
        <v>1.0</v>
      </c>
      <c r="Q53" s="10">
        <v>1.0</v>
      </c>
      <c r="R53" s="10">
        <v>1.0</v>
      </c>
      <c r="S53" s="10">
        <v>1.0</v>
      </c>
      <c r="T53" s="10">
        <v>1.0</v>
      </c>
      <c r="U53" s="10">
        <v>1.0</v>
      </c>
      <c r="V53" s="10">
        <v>1.0</v>
      </c>
      <c r="W53" s="10">
        <v>1.0</v>
      </c>
      <c r="X53" s="10">
        <v>1.0</v>
      </c>
      <c r="Y53" s="10">
        <v>1.0</v>
      </c>
      <c r="Z53" s="10">
        <v>1.0</v>
      </c>
      <c r="AA53" s="10">
        <v>1.0</v>
      </c>
    </row>
    <row r="54">
      <c r="C54" s="7" t="s">
        <v>129</v>
      </c>
      <c r="D54" s="7" t="s">
        <v>130</v>
      </c>
      <c r="E54" s="7" t="s">
        <v>124</v>
      </c>
      <c r="F54" s="8" t="s">
        <v>11</v>
      </c>
      <c r="G54" s="7" t="s">
        <v>12</v>
      </c>
      <c r="H54" s="31">
        <v>10.0</v>
      </c>
      <c r="I54" s="10">
        <v>1.0</v>
      </c>
      <c r="J54" s="10">
        <v>1.0</v>
      </c>
      <c r="K54" s="10">
        <v>1.0</v>
      </c>
      <c r="L54" s="10">
        <v>1.0</v>
      </c>
      <c r="M54" s="10">
        <v>1.0</v>
      </c>
      <c r="N54" s="10">
        <v>1.0</v>
      </c>
      <c r="O54" s="10">
        <v>1.0</v>
      </c>
      <c r="P54" s="10">
        <v>1.0</v>
      </c>
      <c r="Q54" s="10">
        <v>1.0</v>
      </c>
      <c r="R54" s="10">
        <v>1.0</v>
      </c>
      <c r="S54" s="10">
        <v>1.0</v>
      </c>
      <c r="T54" s="10">
        <v>1.0</v>
      </c>
      <c r="U54" s="10">
        <v>1.0</v>
      </c>
      <c r="V54" s="10">
        <v>1.0</v>
      </c>
      <c r="W54" s="10">
        <v>1.0</v>
      </c>
      <c r="X54" s="10">
        <v>1.0</v>
      </c>
      <c r="Y54" s="10">
        <v>1.0</v>
      </c>
      <c r="Z54" s="10">
        <v>1.0</v>
      </c>
      <c r="AA54" s="10">
        <v>1.0</v>
      </c>
    </row>
    <row r="55">
      <c r="C55" s="7" t="s">
        <v>131</v>
      </c>
      <c r="D55" s="7" t="s">
        <v>132</v>
      </c>
      <c r="E55" s="7" t="s">
        <v>124</v>
      </c>
      <c r="F55" s="8" t="s">
        <v>11</v>
      </c>
      <c r="G55" s="7" t="s">
        <v>12</v>
      </c>
      <c r="H55" s="31">
        <v>10.0</v>
      </c>
      <c r="I55" s="10">
        <v>1.0</v>
      </c>
      <c r="J55" s="10">
        <v>1.0</v>
      </c>
      <c r="K55" s="10">
        <v>1.0</v>
      </c>
      <c r="L55" s="10">
        <v>1.0</v>
      </c>
      <c r="M55" s="10">
        <v>1.0</v>
      </c>
      <c r="N55" s="10">
        <v>1.0</v>
      </c>
      <c r="O55" s="10">
        <v>1.0</v>
      </c>
      <c r="P55" s="10">
        <v>1.0</v>
      </c>
      <c r="Q55" s="10">
        <v>1.0</v>
      </c>
      <c r="R55" s="10">
        <v>1.0</v>
      </c>
      <c r="S55" s="10">
        <v>1.0</v>
      </c>
      <c r="T55" s="10">
        <v>1.0</v>
      </c>
      <c r="U55" s="10">
        <v>1.0</v>
      </c>
      <c r="V55" s="10">
        <v>1.0</v>
      </c>
      <c r="W55" s="10">
        <v>1.0</v>
      </c>
      <c r="X55" s="10">
        <v>1.0</v>
      </c>
      <c r="Y55" s="10">
        <v>1.0</v>
      </c>
      <c r="Z55" s="10">
        <v>1.0</v>
      </c>
      <c r="AA55" s="10">
        <v>1.0</v>
      </c>
    </row>
    <row r="56">
      <c r="A56" s="15"/>
      <c r="B56" s="15"/>
      <c r="C56" s="16" t="s">
        <v>133</v>
      </c>
      <c r="D56" s="16" t="s">
        <v>134</v>
      </c>
      <c r="E56" s="16" t="s">
        <v>124</v>
      </c>
      <c r="F56" s="17" t="s">
        <v>11</v>
      </c>
      <c r="G56" s="16" t="s">
        <v>12</v>
      </c>
      <c r="H56" s="33">
        <v>10.0</v>
      </c>
      <c r="I56" s="19">
        <v>1.0</v>
      </c>
      <c r="J56" s="19">
        <v>1.0</v>
      </c>
      <c r="K56" s="19">
        <v>1.0</v>
      </c>
      <c r="L56" s="19">
        <v>1.0</v>
      </c>
      <c r="M56" s="19">
        <v>1.0</v>
      </c>
      <c r="N56" s="19">
        <v>1.0</v>
      </c>
      <c r="O56" s="19">
        <v>1.0</v>
      </c>
      <c r="P56" s="19">
        <v>1.0</v>
      </c>
      <c r="Q56" s="19">
        <v>1.0</v>
      </c>
      <c r="R56" s="19">
        <v>1.0</v>
      </c>
      <c r="S56" s="10">
        <v>1.0</v>
      </c>
      <c r="T56" s="19">
        <v>1.0</v>
      </c>
      <c r="U56" s="10">
        <v>1.0</v>
      </c>
      <c r="V56" s="19">
        <v>1.0</v>
      </c>
      <c r="W56" s="19">
        <v>1.0</v>
      </c>
      <c r="X56" s="19">
        <v>1.0</v>
      </c>
      <c r="Y56" s="10">
        <v>1.0</v>
      </c>
      <c r="Z56" s="19">
        <v>1.0</v>
      </c>
      <c r="AA56" s="19">
        <v>1.0</v>
      </c>
      <c r="AB56" s="15"/>
    </row>
    <row r="57">
      <c r="C57" s="7" t="s">
        <v>135</v>
      </c>
      <c r="D57" s="7" t="s">
        <v>136</v>
      </c>
      <c r="E57" s="7" t="s">
        <v>137</v>
      </c>
      <c r="F57" s="8" t="s">
        <v>11</v>
      </c>
      <c r="G57" s="7" t="s">
        <v>12</v>
      </c>
      <c r="H57" s="9">
        <v>11.0</v>
      </c>
      <c r="I57" s="10">
        <v>1.0</v>
      </c>
      <c r="J57" s="10">
        <v>1.0</v>
      </c>
      <c r="K57" s="10">
        <v>1.0</v>
      </c>
      <c r="L57" s="10">
        <v>1.0</v>
      </c>
      <c r="M57" s="10">
        <v>1.0</v>
      </c>
      <c r="N57" s="10">
        <v>1.0</v>
      </c>
      <c r="O57" s="10">
        <v>1.0</v>
      </c>
      <c r="P57" s="10">
        <v>1.0</v>
      </c>
      <c r="Q57" s="10">
        <v>1.0</v>
      </c>
      <c r="R57" s="10">
        <v>1.0</v>
      </c>
      <c r="S57" s="10">
        <v>0.0</v>
      </c>
      <c r="T57" s="10">
        <v>0.0</v>
      </c>
      <c r="U57" s="10">
        <v>1.0</v>
      </c>
      <c r="W57" s="10">
        <v>1.0</v>
      </c>
    </row>
    <row r="58">
      <c r="C58" s="7" t="s">
        <v>138</v>
      </c>
      <c r="D58" s="7" t="s">
        <v>139</v>
      </c>
      <c r="E58" s="7" t="s">
        <v>137</v>
      </c>
      <c r="F58" s="8" t="s">
        <v>24</v>
      </c>
      <c r="G58" s="7" t="s">
        <v>29</v>
      </c>
      <c r="H58" s="9">
        <v>11.0</v>
      </c>
      <c r="I58" s="10">
        <v>1.0</v>
      </c>
      <c r="J58" s="10">
        <v>1.0</v>
      </c>
      <c r="K58" s="10">
        <v>1.0</v>
      </c>
      <c r="L58" s="10">
        <v>1.0</v>
      </c>
      <c r="M58" s="10">
        <v>1.0</v>
      </c>
      <c r="N58" s="10">
        <v>1.0</v>
      </c>
      <c r="O58" s="10">
        <v>1.0</v>
      </c>
      <c r="P58" s="10">
        <v>1.0</v>
      </c>
      <c r="Q58" s="10">
        <v>1.0</v>
      </c>
      <c r="R58" s="10">
        <v>1.0</v>
      </c>
      <c r="S58" s="10">
        <v>1.0</v>
      </c>
      <c r="T58" s="10">
        <v>1.0</v>
      </c>
      <c r="U58" s="10">
        <v>1.0</v>
      </c>
      <c r="V58" s="10">
        <v>1.0</v>
      </c>
      <c r="W58" s="10">
        <v>1.0</v>
      </c>
      <c r="X58" s="10">
        <v>1.0</v>
      </c>
      <c r="Y58" s="10">
        <v>1.0</v>
      </c>
      <c r="Z58" s="10">
        <v>1.0</v>
      </c>
      <c r="AA58" s="10">
        <v>1.0</v>
      </c>
    </row>
    <row r="59">
      <c r="C59" s="7" t="s">
        <v>140</v>
      </c>
      <c r="D59" s="7" t="s">
        <v>141</v>
      </c>
      <c r="E59" s="7" t="s">
        <v>137</v>
      </c>
      <c r="F59" s="11" t="s">
        <v>28</v>
      </c>
      <c r="G59" s="7" t="s">
        <v>12</v>
      </c>
      <c r="H59" s="9">
        <v>11.0</v>
      </c>
      <c r="I59" s="12">
        <v>1.0</v>
      </c>
      <c r="J59" s="53">
        <v>1.0</v>
      </c>
      <c r="K59" s="13">
        <v>1.0</v>
      </c>
      <c r="L59" s="13">
        <v>1.0</v>
      </c>
      <c r="M59" s="13">
        <v>1.0</v>
      </c>
      <c r="N59" s="13">
        <v>1.0</v>
      </c>
      <c r="O59" s="13">
        <v>1.0</v>
      </c>
      <c r="P59" s="13">
        <v>1.0</v>
      </c>
      <c r="Q59" s="13">
        <v>1.0</v>
      </c>
      <c r="R59" s="13">
        <v>1.0</v>
      </c>
      <c r="S59" s="13">
        <v>0.5</v>
      </c>
      <c r="T59" s="13">
        <v>1.0</v>
      </c>
      <c r="U59" s="10">
        <v>1.0</v>
      </c>
      <c r="V59" s="13">
        <v>1.0</v>
      </c>
      <c r="W59" s="13">
        <v>1.0</v>
      </c>
      <c r="X59" s="13">
        <v>1.0</v>
      </c>
      <c r="Y59" s="13">
        <v>1.0</v>
      </c>
      <c r="Z59" s="13">
        <v>1.0</v>
      </c>
      <c r="AA59" s="13">
        <v>1.0</v>
      </c>
      <c r="AB59" s="14"/>
    </row>
    <row r="60">
      <c r="C60" s="54" t="s">
        <v>142</v>
      </c>
      <c r="D60" s="54" t="s">
        <v>143</v>
      </c>
      <c r="E60" s="7" t="s">
        <v>137</v>
      </c>
      <c r="F60" s="55" t="s">
        <v>24</v>
      </c>
      <c r="G60" s="56" t="s">
        <v>25</v>
      </c>
      <c r="H60" s="9">
        <v>11.0</v>
      </c>
      <c r="I60" s="57">
        <v>1.0</v>
      </c>
      <c r="J60" s="58">
        <v>1.0</v>
      </c>
      <c r="K60" s="58">
        <v>1.0</v>
      </c>
      <c r="L60" s="10">
        <v>1.0</v>
      </c>
      <c r="M60" s="10">
        <v>1.0</v>
      </c>
      <c r="N60" s="10">
        <v>1.0</v>
      </c>
      <c r="O60" s="10">
        <v>1.0</v>
      </c>
      <c r="P60" s="10">
        <v>1.0</v>
      </c>
      <c r="Q60" s="10">
        <v>1.0</v>
      </c>
      <c r="R60" s="10">
        <v>1.0</v>
      </c>
      <c r="S60" s="10">
        <v>1.0</v>
      </c>
      <c r="T60" s="10">
        <v>1.0</v>
      </c>
      <c r="U60" s="10">
        <v>1.0</v>
      </c>
      <c r="V60" s="10">
        <v>1.0</v>
      </c>
      <c r="W60" s="10">
        <v>1.0</v>
      </c>
      <c r="X60" s="10">
        <v>1.0</v>
      </c>
      <c r="Y60" s="10">
        <v>1.0</v>
      </c>
      <c r="Z60" s="10">
        <v>1.0</v>
      </c>
      <c r="AA60" s="10">
        <v>1.0</v>
      </c>
    </row>
    <row r="61">
      <c r="A61" s="15"/>
      <c r="B61" s="15"/>
      <c r="C61" s="59" t="s">
        <v>144</v>
      </c>
      <c r="D61" s="16" t="s">
        <v>145</v>
      </c>
      <c r="E61" s="16" t="s">
        <v>137</v>
      </c>
      <c r="F61" s="17" t="s">
        <v>28</v>
      </c>
      <c r="G61" s="16" t="s">
        <v>29</v>
      </c>
      <c r="H61" s="34">
        <v>11.0</v>
      </c>
      <c r="I61" s="19">
        <v>1.0</v>
      </c>
      <c r="J61" s="19">
        <v>1.0</v>
      </c>
      <c r="K61" s="19">
        <v>1.0</v>
      </c>
      <c r="L61" s="19">
        <v>1.0</v>
      </c>
      <c r="M61" s="19">
        <v>1.0</v>
      </c>
      <c r="N61" s="19">
        <v>1.0</v>
      </c>
      <c r="O61" s="19">
        <v>1.0</v>
      </c>
      <c r="P61" s="19">
        <v>1.0</v>
      </c>
      <c r="Q61" s="19">
        <v>1.0</v>
      </c>
      <c r="R61" s="10">
        <v>1.0</v>
      </c>
      <c r="S61" s="19">
        <v>1.0</v>
      </c>
      <c r="T61" s="19">
        <v>1.0</v>
      </c>
      <c r="U61" s="10">
        <v>1.0</v>
      </c>
      <c r="V61" s="19">
        <v>1.0</v>
      </c>
      <c r="W61" s="19">
        <v>1.0</v>
      </c>
      <c r="X61" s="19">
        <v>1.0</v>
      </c>
      <c r="Y61" s="19">
        <v>1.0</v>
      </c>
      <c r="Z61" s="19">
        <v>1.0</v>
      </c>
      <c r="AA61" s="19">
        <v>1.0</v>
      </c>
      <c r="AB61" s="15"/>
    </row>
    <row r="62">
      <c r="C62" s="7" t="s">
        <v>146</v>
      </c>
      <c r="D62" s="7" t="s">
        <v>147</v>
      </c>
      <c r="E62" s="7" t="s">
        <v>148</v>
      </c>
      <c r="F62" s="8" t="s">
        <v>11</v>
      </c>
      <c r="G62" s="7" t="s">
        <v>12</v>
      </c>
      <c r="H62" s="49">
        <v>12.0</v>
      </c>
      <c r="I62" s="10">
        <v>1.0</v>
      </c>
      <c r="J62" s="10">
        <v>1.0</v>
      </c>
      <c r="K62" s="10">
        <v>1.0</v>
      </c>
      <c r="L62" s="10">
        <v>1.0</v>
      </c>
      <c r="M62" s="10">
        <v>1.0</v>
      </c>
      <c r="N62" s="10">
        <v>1.0</v>
      </c>
      <c r="O62" s="10">
        <v>1.0</v>
      </c>
      <c r="P62" s="10">
        <v>1.0</v>
      </c>
      <c r="Q62" s="10">
        <v>1.0</v>
      </c>
      <c r="R62" s="10">
        <v>1.0</v>
      </c>
      <c r="S62" s="10">
        <v>1.0</v>
      </c>
      <c r="T62" s="10">
        <v>0.0</v>
      </c>
      <c r="U62" s="10">
        <v>1.0</v>
      </c>
      <c r="V62" s="10">
        <v>1.0</v>
      </c>
      <c r="W62" s="10">
        <v>1.0</v>
      </c>
      <c r="X62" s="10">
        <v>1.0</v>
      </c>
      <c r="Y62" s="10">
        <v>1.0</v>
      </c>
      <c r="Z62" s="10">
        <v>1.0</v>
      </c>
      <c r="AA62" s="10">
        <v>1.0</v>
      </c>
    </row>
    <row r="63">
      <c r="C63" s="7" t="s">
        <v>149</v>
      </c>
      <c r="D63" s="7" t="s">
        <v>150</v>
      </c>
      <c r="E63" s="7" t="s">
        <v>148</v>
      </c>
      <c r="F63" s="8" t="s">
        <v>11</v>
      </c>
      <c r="G63" s="7" t="s">
        <v>12</v>
      </c>
      <c r="H63" s="49">
        <v>12.0</v>
      </c>
      <c r="I63" s="10">
        <v>1.0</v>
      </c>
      <c r="J63" s="10">
        <v>1.0</v>
      </c>
      <c r="K63" s="10">
        <v>1.0</v>
      </c>
      <c r="L63" s="10">
        <v>1.0</v>
      </c>
      <c r="M63" s="10">
        <v>1.0</v>
      </c>
      <c r="N63" s="10">
        <v>1.0</v>
      </c>
      <c r="O63" s="10">
        <v>0.5</v>
      </c>
      <c r="P63" s="10">
        <v>1.0</v>
      </c>
      <c r="Q63" s="10">
        <v>1.0</v>
      </c>
      <c r="R63" s="10">
        <v>1.0</v>
      </c>
      <c r="S63" s="10">
        <v>1.0</v>
      </c>
      <c r="T63" s="10">
        <v>1.0</v>
      </c>
      <c r="U63" s="10">
        <v>1.0</v>
      </c>
      <c r="V63" s="10">
        <v>1.0</v>
      </c>
      <c r="W63" s="10">
        <v>1.0</v>
      </c>
      <c r="X63" s="10">
        <v>1.0</v>
      </c>
      <c r="Y63" s="10">
        <v>1.0</v>
      </c>
      <c r="Z63" s="10">
        <v>1.0</v>
      </c>
    </row>
    <row r="64">
      <c r="C64" s="7" t="s">
        <v>151</v>
      </c>
      <c r="D64" s="7" t="s">
        <v>152</v>
      </c>
      <c r="E64" s="7" t="s">
        <v>148</v>
      </c>
      <c r="F64" s="8" t="s">
        <v>11</v>
      </c>
      <c r="G64" s="7" t="s">
        <v>12</v>
      </c>
      <c r="H64" s="49">
        <v>12.0</v>
      </c>
      <c r="I64" s="10">
        <v>1.0</v>
      </c>
      <c r="J64" s="10">
        <v>1.0</v>
      </c>
      <c r="K64" s="10">
        <v>1.0</v>
      </c>
      <c r="L64" s="10">
        <v>1.0</v>
      </c>
      <c r="M64" s="10">
        <v>1.0</v>
      </c>
      <c r="N64" s="10">
        <v>1.0</v>
      </c>
      <c r="O64" s="10">
        <v>1.0</v>
      </c>
      <c r="P64" s="10">
        <v>1.0</v>
      </c>
      <c r="Q64" s="10">
        <v>1.0</v>
      </c>
      <c r="R64" s="10">
        <v>1.0</v>
      </c>
      <c r="S64" s="10">
        <v>1.0</v>
      </c>
      <c r="T64" s="10">
        <v>1.0</v>
      </c>
      <c r="U64" s="10">
        <v>1.0</v>
      </c>
      <c r="V64" s="10">
        <v>1.0</v>
      </c>
      <c r="W64" s="10">
        <v>1.0</v>
      </c>
      <c r="X64" s="10">
        <v>1.0</v>
      </c>
      <c r="Y64" s="10">
        <v>1.0</v>
      </c>
      <c r="Z64" s="10">
        <v>1.0</v>
      </c>
    </row>
    <row r="65">
      <c r="C65" s="7" t="s">
        <v>153</v>
      </c>
      <c r="D65" s="7" t="s">
        <v>154</v>
      </c>
      <c r="E65" s="7" t="s">
        <v>148</v>
      </c>
      <c r="F65" s="8" t="s">
        <v>11</v>
      </c>
      <c r="G65" s="7" t="s">
        <v>12</v>
      </c>
      <c r="H65" s="49">
        <v>12.0</v>
      </c>
      <c r="I65" s="10">
        <v>1.0</v>
      </c>
      <c r="J65" s="10">
        <v>1.0</v>
      </c>
      <c r="K65" s="10">
        <v>1.0</v>
      </c>
      <c r="L65" s="10">
        <v>1.0</v>
      </c>
      <c r="M65" s="10">
        <v>0.5</v>
      </c>
      <c r="N65" s="10">
        <v>1.0</v>
      </c>
      <c r="O65" s="10">
        <v>1.0</v>
      </c>
      <c r="P65" s="10">
        <v>1.0</v>
      </c>
      <c r="Q65" s="10">
        <v>1.0</v>
      </c>
      <c r="R65" s="10">
        <v>1.0</v>
      </c>
      <c r="S65" s="10">
        <v>1.0</v>
      </c>
      <c r="T65" s="10">
        <v>1.0</v>
      </c>
      <c r="U65" s="10">
        <v>1.0</v>
      </c>
      <c r="V65" s="10">
        <v>1.0</v>
      </c>
      <c r="W65" s="10">
        <v>1.0</v>
      </c>
      <c r="X65" s="10">
        <v>0.5</v>
      </c>
      <c r="Y65" s="10">
        <v>1.0</v>
      </c>
      <c r="Z65" s="10">
        <v>1.0</v>
      </c>
      <c r="AA65" s="10">
        <v>1.0</v>
      </c>
    </row>
    <row r="66">
      <c r="C66" s="7" t="s">
        <v>155</v>
      </c>
      <c r="D66" s="7" t="s">
        <v>156</v>
      </c>
      <c r="E66" s="7" t="s">
        <v>148</v>
      </c>
      <c r="F66" s="8" t="s">
        <v>11</v>
      </c>
      <c r="G66" s="7" t="s">
        <v>12</v>
      </c>
      <c r="H66" s="49">
        <v>12.0</v>
      </c>
      <c r="I66" s="10">
        <v>1.0</v>
      </c>
      <c r="J66" s="10">
        <v>1.0</v>
      </c>
      <c r="K66" s="10">
        <v>1.0</v>
      </c>
      <c r="L66" s="10">
        <v>1.0</v>
      </c>
      <c r="M66" s="10">
        <v>1.0</v>
      </c>
      <c r="N66" s="10">
        <v>1.0</v>
      </c>
      <c r="O66" s="10">
        <v>0.0</v>
      </c>
      <c r="P66" s="10">
        <v>1.0</v>
      </c>
      <c r="Q66" s="10">
        <v>1.0</v>
      </c>
      <c r="R66" s="10">
        <v>1.0</v>
      </c>
      <c r="S66" s="10">
        <v>1.0</v>
      </c>
      <c r="T66" s="10">
        <v>1.0</v>
      </c>
      <c r="U66" s="10">
        <v>1.0</v>
      </c>
      <c r="V66" s="10">
        <v>1.0</v>
      </c>
      <c r="W66" s="10">
        <v>1.0</v>
      </c>
      <c r="X66" s="10">
        <v>1.0</v>
      </c>
      <c r="Y66" s="10">
        <v>0.0</v>
      </c>
      <c r="Z66" s="10">
        <v>1.0</v>
      </c>
    </row>
    <row r="67">
      <c r="A67" s="15"/>
      <c r="B67" s="15"/>
      <c r="C67" s="16" t="s">
        <v>157</v>
      </c>
      <c r="D67" s="16" t="s">
        <v>158</v>
      </c>
      <c r="E67" s="16" t="s">
        <v>148</v>
      </c>
      <c r="F67" s="17" t="s">
        <v>11</v>
      </c>
      <c r="G67" s="16" t="s">
        <v>12</v>
      </c>
      <c r="H67" s="50">
        <v>12.0</v>
      </c>
      <c r="I67" s="19">
        <v>1.0</v>
      </c>
      <c r="J67" s="19">
        <v>1.0</v>
      </c>
      <c r="K67" s="19">
        <v>1.0</v>
      </c>
      <c r="L67" s="19">
        <v>1.0</v>
      </c>
      <c r="M67" s="19">
        <v>1.0</v>
      </c>
      <c r="N67" s="19">
        <v>1.0</v>
      </c>
      <c r="O67" s="19">
        <v>1.0</v>
      </c>
      <c r="P67" s="19">
        <v>1.0</v>
      </c>
      <c r="Q67" s="19">
        <v>1.0</v>
      </c>
      <c r="R67" s="10">
        <v>1.0</v>
      </c>
      <c r="S67" s="19">
        <v>1.0</v>
      </c>
      <c r="T67" s="19">
        <v>1.0</v>
      </c>
      <c r="U67" s="10">
        <v>1.0</v>
      </c>
      <c r="V67" s="19">
        <v>1.0</v>
      </c>
      <c r="W67" s="19">
        <v>1.0</v>
      </c>
      <c r="X67" s="19">
        <v>1.0</v>
      </c>
      <c r="Y67" s="19">
        <v>1.0</v>
      </c>
      <c r="Z67" s="19">
        <v>1.0</v>
      </c>
      <c r="AA67" s="15"/>
      <c r="AB67" s="15"/>
    </row>
    <row r="68">
      <c r="A68" s="15"/>
      <c r="B68" s="15"/>
      <c r="C68" s="7" t="s">
        <v>159</v>
      </c>
      <c r="D68" s="7" t="s">
        <v>160</v>
      </c>
      <c r="E68" s="7" t="s">
        <v>161</v>
      </c>
      <c r="F68" s="8" t="s">
        <v>24</v>
      </c>
      <c r="G68" s="7" t="s">
        <v>93</v>
      </c>
      <c r="H68" s="31">
        <v>13.0</v>
      </c>
      <c r="I68" s="10">
        <v>1.0</v>
      </c>
      <c r="J68" s="10">
        <v>1.0</v>
      </c>
      <c r="K68" s="10">
        <v>1.0</v>
      </c>
      <c r="L68" s="10">
        <v>0.0</v>
      </c>
      <c r="M68" s="10">
        <v>1.0</v>
      </c>
      <c r="N68" s="10">
        <v>0.5</v>
      </c>
      <c r="O68" s="10">
        <v>1.0</v>
      </c>
      <c r="P68" s="10">
        <v>1.0</v>
      </c>
      <c r="Q68" s="10">
        <v>1.0</v>
      </c>
      <c r="R68" s="10">
        <v>1.0</v>
      </c>
      <c r="S68" s="10">
        <v>1.0</v>
      </c>
      <c r="T68" s="10">
        <v>1.0</v>
      </c>
      <c r="U68" s="10">
        <v>1.0</v>
      </c>
      <c r="V68" s="10">
        <v>1.0</v>
      </c>
      <c r="W68" s="10">
        <v>1.0</v>
      </c>
      <c r="X68" s="10">
        <v>1.0</v>
      </c>
      <c r="Y68" s="10">
        <v>1.0</v>
      </c>
      <c r="Z68" s="10">
        <v>1.0</v>
      </c>
      <c r="AA68" s="10">
        <v>1.0</v>
      </c>
    </row>
    <row r="69">
      <c r="C69" s="7" t="s">
        <v>162</v>
      </c>
      <c r="D69" s="7" t="s">
        <v>163</v>
      </c>
      <c r="E69" s="7" t="s">
        <v>161</v>
      </c>
      <c r="F69" s="8" t="s">
        <v>24</v>
      </c>
      <c r="G69" s="7" t="s">
        <v>29</v>
      </c>
      <c r="H69" s="31">
        <v>13.0</v>
      </c>
      <c r="I69" s="10">
        <v>1.0</v>
      </c>
      <c r="J69" s="10">
        <v>0.5</v>
      </c>
      <c r="K69" s="10">
        <v>1.0</v>
      </c>
      <c r="L69" s="10">
        <v>1.0</v>
      </c>
      <c r="M69" s="10">
        <v>1.0</v>
      </c>
      <c r="N69" s="10">
        <v>1.0</v>
      </c>
      <c r="O69" s="10">
        <v>1.0</v>
      </c>
      <c r="P69" s="10">
        <v>1.0</v>
      </c>
      <c r="Q69" s="10">
        <v>1.0</v>
      </c>
      <c r="R69" s="10">
        <v>1.0</v>
      </c>
      <c r="S69" s="10">
        <v>1.0</v>
      </c>
      <c r="T69" s="10">
        <v>1.0</v>
      </c>
      <c r="U69" s="10">
        <v>1.0</v>
      </c>
      <c r="V69" s="10">
        <v>1.0</v>
      </c>
      <c r="W69" s="10">
        <v>1.0</v>
      </c>
      <c r="X69" s="10">
        <v>1.0</v>
      </c>
      <c r="Y69" s="10">
        <v>1.0</v>
      </c>
      <c r="Z69" s="10">
        <v>1.0</v>
      </c>
      <c r="AA69" s="10">
        <v>1.0</v>
      </c>
    </row>
    <row r="70">
      <c r="C70" s="7" t="s">
        <v>164</v>
      </c>
      <c r="D70" s="7" t="s">
        <v>165</v>
      </c>
      <c r="E70" s="7" t="s">
        <v>161</v>
      </c>
      <c r="F70" s="8" t="s">
        <v>28</v>
      </c>
      <c r="G70" s="7" t="s">
        <v>29</v>
      </c>
      <c r="H70" s="31">
        <v>13.0</v>
      </c>
      <c r="I70" s="10">
        <v>1.0</v>
      </c>
      <c r="J70" s="10">
        <v>1.0</v>
      </c>
      <c r="K70" s="10">
        <v>1.0</v>
      </c>
      <c r="L70" s="10">
        <v>1.0</v>
      </c>
      <c r="M70" s="10">
        <v>1.0</v>
      </c>
      <c r="N70" s="10">
        <v>1.0</v>
      </c>
      <c r="O70" s="10">
        <v>1.0</v>
      </c>
      <c r="P70" s="10">
        <v>1.0</v>
      </c>
      <c r="Q70" s="10">
        <v>1.0</v>
      </c>
      <c r="R70" s="10">
        <v>1.0</v>
      </c>
      <c r="S70" s="10">
        <v>1.0</v>
      </c>
      <c r="T70" s="10">
        <v>1.0</v>
      </c>
      <c r="U70" s="10">
        <v>1.0</v>
      </c>
      <c r="V70" s="10">
        <v>1.0</v>
      </c>
      <c r="W70" s="10">
        <v>1.0</v>
      </c>
      <c r="X70" s="10">
        <v>1.0</v>
      </c>
      <c r="Y70" s="10">
        <v>1.0</v>
      </c>
      <c r="Z70" s="10">
        <v>1.0</v>
      </c>
      <c r="AA70" s="10">
        <v>1.0</v>
      </c>
    </row>
    <row r="71">
      <c r="C71" s="7" t="s">
        <v>166</v>
      </c>
      <c r="D71" s="7" t="s">
        <v>167</v>
      </c>
      <c r="E71" s="7" t="s">
        <v>161</v>
      </c>
      <c r="F71" s="8" t="s">
        <v>28</v>
      </c>
      <c r="G71" s="7" t="s">
        <v>29</v>
      </c>
      <c r="H71" s="31">
        <v>13.0</v>
      </c>
      <c r="I71" s="10">
        <v>1.0</v>
      </c>
      <c r="J71" s="10">
        <v>1.0</v>
      </c>
      <c r="K71" s="10">
        <v>1.0</v>
      </c>
      <c r="L71" s="10">
        <v>0.5</v>
      </c>
      <c r="M71" s="10">
        <v>1.0</v>
      </c>
      <c r="N71" s="10">
        <v>1.0</v>
      </c>
      <c r="O71" s="10">
        <v>1.0</v>
      </c>
      <c r="P71" s="10">
        <v>1.0</v>
      </c>
      <c r="Q71" s="10">
        <v>1.0</v>
      </c>
      <c r="R71" s="10">
        <v>1.0</v>
      </c>
      <c r="S71" s="10">
        <v>1.0</v>
      </c>
      <c r="T71" s="10">
        <v>1.0</v>
      </c>
      <c r="U71" s="10">
        <v>1.0</v>
      </c>
      <c r="V71" s="10">
        <v>1.0</v>
      </c>
      <c r="W71" s="10">
        <v>1.0</v>
      </c>
      <c r="X71" s="10">
        <v>1.0</v>
      </c>
      <c r="Y71" s="10">
        <v>1.0</v>
      </c>
      <c r="Z71" s="10">
        <v>1.0</v>
      </c>
      <c r="AA71" s="10">
        <v>1.0</v>
      </c>
    </row>
    <row r="72">
      <c r="A72" s="15"/>
      <c r="B72" s="15"/>
      <c r="C72" s="16" t="s">
        <v>168</v>
      </c>
      <c r="D72" s="16" t="s">
        <v>169</v>
      </c>
      <c r="E72" s="16" t="s">
        <v>161</v>
      </c>
      <c r="F72" s="17" t="s">
        <v>28</v>
      </c>
      <c r="G72" s="16" t="s">
        <v>29</v>
      </c>
      <c r="H72" s="33">
        <v>13.0</v>
      </c>
      <c r="I72" s="19">
        <v>1.0</v>
      </c>
      <c r="J72" s="19">
        <v>1.0</v>
      </c>
      <c r="K72" s="19">
        <v>1.0</v>
      </c>
      <c r="L72" s="19">
        <v>1.0</v>
      </c>
      <c r="M72" s="19">
        <v>1.0</v>
      </c>
      <c r="N72" s="19">
        <v>1.0</v>
      </c>
      <c r="O72" s="19">
        <v>1.0</v>
      </c>
      <c r="P72" s="19">
        <v>1.0</v>
      </c>
      <c r="Q72" s="19">
        <v>1.0</v>
      </c>
      <c r="R72" s="10">
        <v>1.0</v>
      </c>
      <c r="S72" s="19">
        <v>1.0</v>
      </c>
      <c r="T72" s="19">
        <v>1.0</v>
      </c>
      <c r="U72" s="10">
        <v>1.0</v>
      </c>
      <c r="V72" s="19">
        <v>1.0</v>
      </c>
      <c r="W72" s="19">
        <v>1.0</v>
      </c>
      <c r="X72" s="19">
        <v>1.0</v>
      </c>
      <c r="Y72" s="19">
        <v>1.0</v>
      </c>
      <c r="Z72" s="19">
        <v>1.0</v>
      </c>
      <c r="AA72" s="19">
        <v>1.0</v>
      </c>
      <c r="AB72" s="15"/>
    </row>
    <row r="73">
      <c r="A73" s="15"/>
      <c r="B73" s="15"/>
      <c r="C73" s="7" t="s">
        <v>170</v>
      </c>
      <c r="D73" s="7" t="s">
        <v>171</v>
      </c>
      <c r="E73" s="7" t="s">
        <v>172</v>
      </c>
      <c r="F73" s="8" t="s">
        <v>28</v>
      </c>
      <c r="G73" s="7" t="s">
        <v>29</v>
      </c>
      <c r="H73" s="21">
        <v>14.0</v>
      </c>
      <c r="I73" s="10">
        <v>1.0</v>
      </c>
      <c r="J73" s="10">
        <v>1.0</v>
      </c>
      <c r="K73" s="10">
        <v>1.0</v>
      </c>
      <c r="L73" s="10">
        <v>1.0</v>
      </c>
      <c r="M73" s="10">
        <v>1.0</v>
      </c>
      <c r="N73" s="10">
        <v>1.0</v>
      </c>
      <c r="O73" s="10">
        <v>1.0</v>
      </c>
      <c r="P73" s="10">
        <v>1.0</v>
      </c>
      <c r="Q73" s="10">
        <v>1.0</v>
      </c>
      <c r="R73" s="10">
        <v>1.0</v>
      </c>
      <c r="S73" s="10">
        <v>1.0</v>
      </c>
      <c r="T73" s="10">
        <v>1.0</v>
      </c>
      <c r="U73" s="10">
        <v>1.0</v>
      </c>
      <c r="V73" s="10">
        <v>1.0</v>
      </c>
      <c r="W73" s="10">
        <v>1.0</v>
      </c>
      <c r="X73" s="10">
        <v>1.0</v>
      </c>
      <c r="Y73" s="10">
        <v>1.0</v>
      </c>
      <c r="Z73" s="10">
        <v>1.0</v>
      </c>
      <c r="AA73" s="10">
        <v>1.0</v>
      </c>
    </row>
    <row r="74">
      <c r="C74" s="7" t="s">
        <v>173</v>
      </c>
      <c r="D74" s="7" t="s">
        <v>174</v>
      </c>
      <c r="E74" s="7" t="s">
        <v>172</v>
      </c>
      <c r="F74" s="8" t="s">
        <v>28</v>
      </c>
      <c r="G74" s="7" t="s">
        <v>29</v>
      </c>
      <c r="H74" s="21">
        <v>14.0</v>
      </c>
      <c r="I74" s="10">
        <v>1.0</v>
      </c>
      <c r="J74" s="10">
        <v>1.0</v>
      </c>
      <c r="K74" s="10">
        <v>1.0</v>
      </c>
      <c r="L74" s="10">
        <v>1.0</v>
      </c>
      <c r="M74" s="10">
        <v>1.0</v>
      </c>
      <c r="N74" s="10">
        <v>1.0</v>
      </c>
      <c r="O74" s="10">
        <v>1.0</v>
      </c>
      <c r="P74" s="10">
        <v>1.0</v>
      </c>
      <c r="Q74" s="10">
        <v>1.0</v>
      </c>
      <c r="R74" s="10">
        <v>1.0</v>
      </c>
      <c r="S74" s="10">
        <v>1.0</v>
      </c>
      <c r="T74" s="10">
        <v>1.0</v>
      </c>
      <c r="U74" s="10">
        <v>1.0</v>
      </c>
      <c r="V74" s="10">
        <v>1.0</v>
      </c>
      <c r="W74" s="10">
        <v>1.0</v>
      </c>
      <c r="X74" s="10">
        <v>1.0</v>
      </c>
      <c r="Y74" s="10">
        <v>1.0</v>
      </c>
      <c r="Z74" s="10">
        <v>1.0</v>
      </c>
      <c r="AA74" s="10">
        <v>1.0</v>
      </c>
    </row>
    <row r="75">
      <c r="C75" s="7" t="s">
        <v>175</v>
      </c>
      <c r="D75" s="7" t="s">
        <v>176</v>
      </c>
      <c r="E75" s="7" t="s">
        <v>172</v>
      </c>
      <c r="F75" s="8" t="s">
        <v>24</v>
      </c>
      <c r="G75" s="7" t="s">
        <v>93</v>
      </c>
      <c r="H75" s="21">
        <v>14.0</v>
      </c>
      <c r="I75" s="10">
        <v>1.0</v>
      </c>
      <c r="J75" s="10">
        <v>1.0</v>
      </c>
      <c r="K75" s="10">
        <v>1.0</v>
      </c>
      <c r="L75" s="10">
        <v>1.0</v>
      </c>
      <c r="M75" s="10">
        <v>1.0</v>
      </c>
      <c r="N75" s="10">
        <v>1.0</v>
      </c>
      <c r="O75" s="10">
        <v>1.0</v>
      </c>
      <c r="P75" s="10">
        <v>1.0</v>
      </c>
      <c r="Q75" s="10">
        <v>1.0</v>
      </c>
      <c r="R75" s="10">
        <v>1.0</v>
      </c>
      <c r="S75" s="10">
        <v>1.0</v>
      </c>
      <c r="T75" s="10">
        <v>1.0</v>
      </c>
      <c r="U75" s="10">
        <v>1.0</v>
      </c>
      <c r="V75" s="10">
        <v>1.0</v>
      </c>
      <c r="W75" s="10">
        <v>1.0</v>
      </c>
      <c r="X75" s="10">
        <v>1.0</v>
      </c>
      <c r="Y75" s="10">
        <v>1.0</v>
      </c>
      <c r="Z75" s="10">
        <v>1.0</v>
      </c>
      <c r="AA75" s="10">
        <v>1.0</v>
      </c>
    </row>
    <row r="76">
      <c r="C76" s="7" t="s">
        <v>177</v>
      </c>
      <c r="D76" s="7" t="s">
        <v>178</v>
      </c>
      <c r="E76" s="7" t="s">
        <v>172</v>
      </c>
      <c r="F76" s="8" t="s">
        <v>24</v>
      </c>
      <c r="G76" s="7" t="s">
        <v>29</v>
      </c>
      <c r="H76" s="21">
        <v>14.0</v>
      </c>
      <c r="I76" s="10">
        <v>1.0</v>
      </c>
      <c r="J76" s="10">
        <v>1.0</v>
      </c>
      <c r="K76" s="10">
        <v>1.0</v>
      </c>
      <c r="L76" s="10">
        <v>1.0</v>
      </c>
      <c r="M76" s="10">
        <v>1.0</v>
      </c>
      <c r="N76" s="10">
        <v>1.0</v>
      </c>
      <c r="O76" s="10">
        <v>1.0</v>
      </c>
      <c r="P76" s="10">
        <v>1.0</v>
      </c>
      <c r="Q76" s="10">
        <v>0.0</v>
      </c>
      <c r="R76" s="10">
        <v>1.0</v>
      </c>
      <c r="S76" s="10">
        <v>1.0</v>
      </c>
      <c r="T76" s="10">
        <v>1.0</v>
      </c>
      <c r="U76" s="10">
        <v>1.0</v>
      </c>
      <c r="V76" s="10">
        <v>1.0</v>
      </c>
      <c r="W76" s="10">
        <v>1.0</v>
      </c>
      <c r="X76" s="10">
        <v>1.0</v>
      </c>
      <c r="Y76" s="10">
        <v>0.0</v>
      </c>
      <c r="Z76" s="10">
        <v>1.0</v>
      </c>
      <c r="AA76" s="10">
        <v>1.0</v>
      </c>
    </row>
    <row r="77">
      <c r="C77" s="7" t="s">
        <v>179</v>
      </c>
      <c r="D77" s="7" t="s">
        <v>180</v>
      </c>
      <c r="E77" s="7" t="s">
        <v>172</v>
      </c>
      <c r="F77" s="8" t="s">
        <v>24</v>
      </c>
      <c r="G77" s="7" t="s">
        <v>25</v>
      </c>
      <c r="H77" s="21">
        <v>14.0</v>
      </c>
      <c r="I77" s="10">
        <v>1.0</v>
      </c>
      <c r="J77" s="10">
        <v>1.0</v>
      </c>
      <c r="K77" s="10">
        <v>1.0</v>
      </c>
      <c r="L77" s="10">
        <v>1.0</v>
      </c>
      <c r="M77" s="10">
        <v>1.0</v>
      </c>
      <c r="N77" s="10">
        <v>1.0</v>
      </c>
      <c r="O77" s="10">
        <v>1.0</v>
      </c>
      <c r="P77" s="10">
        <v>1.0</v>
      </c>
      <c r="Q77" s="10">
        <v>1.0</v>
      </c>
      <c r="R77" s="10">
        <v>1.0</v>
      </c>
      <c r="S77" s="10">
        <v>1.0</v>
      </c>
      <c r="T77" s="10">
        <v>1.0</v>
      </c>
      <c r="U77" s="10">
        <v>1.0</v>
      </c>
      <c r="V77" s="10">
        <v>1.0</v>
      </c>
      <c r="W77" s="10">
        <v>1.0</v>
      </c>
      <c r="X77" s="10">
        <v>1.0</v>
      </c>
      <c r="Y77" s="10">
        <v>1.0</v>
      </c>
      <c r="Z77" s="10">
        <v>1.0</v>
      </c>
      <c r="AA77" s="10">
        <v>1.0</v>
      </c>
    </row>
    <row r="78">
      <c r="A78" s="15"/>
      <c r="B78" s="15"/>
      <c r="C78" s="16" t="s">
        <v>181</v>
      </c>
      <c r="D78" s="16" t="s">
        <v>182</v>
      </c>
      <c r="E78" s="16" t="s">
        <v>172</v>
      </c>
      <c r="F78" s="17" t="s">
        <v>24</v>
      </c>
      <c r="G78" s="16" t="s">
        <v>25</v>
      </c>
      <c r="H78" s="24">
        <v>14.0</v>
      </c>
      <c r="I78" s="19">
        <v>1.0</v>
      </c>
      <c r="J78" s="19">
        <v>1.0</v>
      </c>
      <c r="K78" s="19">
        <v>1.0</v>
      </c>
      <c r="L78" s="19">
        <v>0.5</v>
      </c>
      <c r="M78" s="19">
        <v>0.5</v>
      </c>
      <c r="N78" s="19">
        <v>0.5</v>
      </c>
      <c r="O78" s="19">
        <v>1.0</v>
      </c>
      <c r="P78" s="19">
        <v>1.0</v>
      </c>
      <c r="Q78" s="19">
        <v>1.0</v>
      </c>
      <c r="R78" s="10">
        <v>1.0</v>
      </c>
      <c r="S78" s="19">
        <v>0.0</v>
      </c>
      <c r="T78" s="19">
        <v>1.0</v>
      </c>
      <c r="U78" s="10">
        <v>1.0</v>
      </c>
      <c r="V78" s="19">
        <v>1.0</v>
      </c>
      <c r="W78" s="19">
        <v>1.0</v>
      </c>
      <c r="X78" s="19">
        <v>1.0</v>
      </c>
      <c r="Y78" s="19">
        <v>0.0</v>
      </c>
      <c r="Z78" s="19">
        <v>1.0</v>
      </c>
      <c r="AA78" s="19">
        <v>1.0</v>
      </c>
      <c r="AB78" s="15"/>
    </row>
    <row r="79">
      <c r="C79" s="7" t="s">
        <v>183</v>
      </c>
      <c r="D79" s="7" t="s">
        <v>184</v>
      </c>
      <c r="E79" s="7" t="s">
        <v>185</v>
      </c>
      <c r="F79" s="8" t="s">
        <v>11</v>
      </c>
      <c r="G79" s="7" t="s">
        <v>12</v>
      </c>
      <c r="H79" s="60">
        <v>15.0</v>
      </c>
      <c r="I79" s="10">
        <v>1.0</v>
      </c>
      <c r="J79" s="10">
        <v>1.0</v>
      </c>
      <c r="K79" s="10">
        <v>1.0</v>
      </c>
      <c r="L79" s="10">
        <v>1.0</v>
      </c>
      <c r="M79" s="10">
        <v>1.0</v>
      </c>
      <c r="N79" s="10">
        <v>1.0</v>
      </c>
      <c r="O79" s="10">
        <v>1.0</v>
      </c>
      <c r="P79" s="10">
        <v>1.0</v>
      </c>
      <c r="Q79" s="10">
        <v>1.0</v>
      </c>
      <c r="R79" s="10">
        <v>0.5</v>
      </c>
      <c r="S79" s="10">
        <v>1.0</v>
      </c>
      <c r="T79" s="10">
        <v>1.0</v>
      </c>
      <c r="U79" s="10">
        <v>1.0</v>
      </c>
      <c r="V79" s="10">
        <v>1.0</v>
      </c>
      <c r="W79" s="10">
        <v>1.0</v>
      </c>
      <c r="X79" s="10">
        <v>1.0</v>
      </c>
      <c r="Y79" s="10">
        <v>1.0</v>
      </c>
      <c r="Z79" s="10">
        <v>1.0</v>
      </c>
    </row>
    <row r="80">
      <c r="C80" s="7" t="s">
        <v>186</v>
      </c>
      <c r="D80" s="7" t="s">
        <v>187</v>
      </c>
      <c r="E80" s="7" t="s">
        <v>185</v>
      </c>
      <c r="F80" s="61" t="s">
        <v>28</v>
      </c>
      <c r="G80" s="7"/>
      <c r="H80" s="60">
        <v>15.0</v>
      </c>
      <c r="I80" s="10">
        <v>1.0</v>
      </c>
      <c r="J80" s="10">
        <v>1.0</v>
      </c>
      <c r="K80" s="10">
        <v>0.0</v>
      </c>
      <c r="L80" s="10">
        <v>1.0</v>
      </c>
      <c r="M80" s="10">
        <v>1.0</v>
      </c>
      <c r="N80" s="10">
        <v>0.0</v>
      </c>
      <c r="O80" s="10">
        <v>1.0</v>
      </c>
      <c r="P80" s="10">
        <v>1.0</v>
      </c>
      <c r="Q80" s="10">
        <v>1.0</v>
      </c>
      <c r="R80" s="10">
        <v>1.0</v>
      </c>
      <c r="S80" s="10">
        <v>1.0</v>
      </c>
      <c r="T80" s="10">
        <v>1.0</v>
      </c>
      <c r="U80" s="10">
        <v>1.0</v>
      </c>
      <c r="V80" s="10">
        <v>1.0</v>
      </c>
      <c r="W80" s="10">
        <v>1.0</v>
      </c>
      <c r="X80" s="10">
        <v>1.0</v>
      </c>
      <c r="Y80" s="10">
        <v>1.0</v>
      </c>
      <c r="Z80" s="10">
        <v>1.0</v>
      </c>
    </row>
    <row r="81">
      <c r="A81" s="15"/>
      <c r="B81" s="15"/>
      <c r="C81" s="7" t="s">
        <v>188</v>
      </c>
      <c r="D81" s="7" t="s">
        <v>189</v>
      </c>
      <c r="E81" s="7" t="s">
        <v>185</v>
      </c>
      <c r="F81" s="8" t="s">
        <v>24</v>
      </c>
      <c r="G81" s="7" t="s">
        <v>25</v>
      </c>
      <c r="H81" s="60">
        <v>15.0</v>
      </c>
      <c r="I81" s="10">
        <v>1.0</v>
      </c>
      <c r="J81" s="10">
        <v>1.0</v>
      </c>
      <c r="K81" s="10">
        <v>0.0</v>
      </c>
      <c r="L81" s="10">
        <v>1.0</v>
      </c>
      <c r="M81" s="10">
        <v>1.0</v>
      </c>
      <c r="N81" s="10">
        <v>1.0</v>
      </c>
      <c r="O81" s="10">
        <v>1.0</v>
      </c>
      <c r="P81" s="10">
        <v>1.0</v>
      </c>
      <c r="Q81" s="10">
        <v>1.0</v>
      </c>
      <c r="R81" s="10">
        <v>1.0</v>
      </c>
      <c r="S81" s="10">
        <v>1.0</v>
      </c>
      <c r="T81" s="10">
        <v>1.0</v>
      </c>
      <c r="U81" s="10">
        <v>1.0</v>
      </c>
      <c r="V81" s="10">
        <v>1.0</v>
      </c>
      <c r="W81" s="10">
        <v>1.0</v>
      </c>
      <c r="X81" s="10">
        <v>0.0</v>
      </c>
      <c r="Y81" s="10">
        <v>1.0</v>
      </c>
      <c r="Z81" s="10">
        <v>1.0</v>
      </c>
    </row>
    <row r="82">
      <c r="C82" s="7" t="s">
        <v>190</v>
      </c>
      <c r="D82" s="7" t="s">
        <v>191</v>
      </c>
      <c r="E82" s="7" t="s">
        <v>185</v>
      </c>
      <c r="F82" s="8" t="s">
        <v>11</v>
      </c>
      <c r="G82" s="7" t="s">
        <v>12</v>
      </c>
      <c r="H82" s="60">
        <v>15.0</v>
      </c>
      <c r="I82" s="10">
        <v>1.0</v>
      </c>
      <c r="J82" s="10">
        <v>1.0</v>
      </c>
      <c r="K82" s="10">
        <v>1.0</v>
      </c>
      <c r="L82" s="10">
        <v>1.0</v>
      </c>
      <c r="M82" s="10">
        <v>1.0</v>
      </c>
      <c r="N82" s="10">
        <v>1.0</v>
      </c>
      <c r="O82" s="10">
        <v>1.0</v>
      </c>
      <c r="P82" s="10">
        <v>1.0</v>
      </c>
      <c r="Q82" s="10">
        <v>1.0</v>
      </c>
      <c r="R82" s="10">
        <v>1.0</v>
      </c>
      <c r="S82" s="10">
        <v>1.0</v>
      </c>
      <c r="T82" s="10">
        <v>1.0</v>
      </c>
      <c r="U82" s="10">
        <v>1.0</v>
      </c>
      <c r="V82" s="10">
        <v>1.0</v>
      </c>
      <c r="W82" s="10">
        <v>1.0</v>
      </c>
      <c r="X82" s="10">
        <v>1.0</v>
      </c>
      <c r="Y82" s="10">
        <v>1.0</v>
      </c>
      <c r="Z82" s="10">
        <v>1.0</v>
      </c>
    </row>
    <row r="83">
      <c r="C83" s="7" t="s">
        <v>192</v>
      </c>
      <c r="D83" s="7" t="s">
        <v>193</v>
      </c>
      <c r="E83" s="7" t="s">
        <v>185</v>
      </c>
      <c r="F83" s="8" t="s">
        <v>28</v>
      </c>
      <c r="G83" s="7" t="s">
        <v>29</v>
      </c>
      <c r="H83" s="60">
        <v>15.0</v>
      </c>
      <c r="I83" s="10">
        <v>0.5</v>
      </c>
      <c r="J83" s="10">
        <v>1.0</v>
      </c>
      <c r="K83" s="10">
        <v>1.0</v>
      </c>
      <c r="L83" s="10">
        <v>1.0</v>
      </c>
      <c r="M83" s="10">
        <v>1.0</v>
      </c>
      <c r="N83" s="10">
        <v>0.5</v>
      </c>
      <c r="O83" s="10">
        <v>1.0</v>
      </c>
      <c r="P83" s="10">
        <v>1.0</v>
      </c>
      <c r="Q83" s="10">
        <v>1.0</v>
      </c>
      <c r="R83" s="10">
        <v>1.0</v>
      </c>
      <c r="S83" s="10">
        <v>1.0</v>
      </c>
      <c r="T83" s="10">
        <v>1.0</v>
      </c>
      <c r="U83" s="10">
        <v>1.0</v>
      </c>
      <c r="V83" s="10">
        <v>1.0</v>
      </c>
      <c r="W83" s="10">
        <v>1.0</v>
      </c>
      <c r="X83" s="10">
        <v>1.0</v>
      </c>
      <c r="Y83" s="10">
        <v>1.0</v>
      </c>
      <c r="Z83" s="10">
        <v>1.0</v>
      </c>
    </row>
    <row r="84">
      <c r="A84" s="15"/>
      <c r="B84" s="15"/>
      <c r="C84" s="16" t="s">
        <v>194</v>
      </c>
      <c r="D84" s="16" t="s">
        <v>195</v>
      </c>
      <c r="E84" s="16" t="s">
        <v>185</v>
      </c>
      <c r="F84" s="17" t="s">
        <v>28</v>
      </c>
      <c r="G84" s="16" t="s">
        <v>29</v>
      </c>
      <c r="H84" s="62">
        <v>15.0</v>
      </c>
      <c r="I84" s="19">
        <v>1.0</v>
      </c>
      <c r="J84" s="19">
        <v>1.0</v>
      </c>
      <c r="K84" s="19">
        <v>1.0</v>
      </c>
      <c r="L84" s="19">
        <v>1.0</v>
      </c>
      <c r="M84" s="19">
        <v>1.0</v>
      </c>
      <c r="N84" s="19">
        <v>0.5</v>
      </c>
      <c r="O84" s="19">
        <v>0.5</v>
      </c>
      <c r="P84" s="19">
        <v>1.0</v>
      </c>
      <c r="Q84" s="19">
        <v>1.0</v>
      </c>
      <c r="R84" s="19">
        <v>0.5</v>
      </c>
      <c r="S84" s="19">
        <v>1.0</v>
      </c>
      <c r="T84" s="19">
        <v>1.0</v>
      </c>
      <c r="U84" s="10">
        <v>1.0</v>
      </c>
      <c r="V84" s="19">
        <v>1.0</v>
      </c>
      <c r="W84" s="19">
        <v>1.0</v>
      </c>
      <c r="X84" s="19">
        <v>1.0</v>
      </c>
      <c r="Y84" s="19">
        <v>1.0</v>
      </c>
      <c r="Z84" s="19">
        <v>1.0</v>
      </c>
      <c r="AA84" s="15"/>
      <c r="AB84" s="15"/>
    </row>
    <row r="85">
      <c r="C85" s="7" t="s">
        <v>196</v>
      </c>
      <c r="D85" s="7" t="s">
        <v>197</v>
      </c>
      <c r="E85" s="7" t="s">
        <v>198</v>
      </c>
      <c r="F85" s="8" t="s">
        <v>11</v>
      </c>
      <c r="G85" s="7" t="s">
        <v>12</v>
      </c>
      <c r="H85" s="35">
        <v>16.0</v>
      </c>
      <c r="I85" s="10">
        <v>1.0</v>
      </c>
      <c r="J85" s="10">
        <v>1.0</v>
      </c>
      <c r="K85" s="10">
        <v>1.0</v>
      </c>
      <c r="L85" s="10">
        <v>1.0</v>
      </c>
      <c r="M85" s="10">
        <v>1.0</v>
      </c>
      <c r="N85" s="10">
        <v>1.0</v>
      </c>
      <c r="O85" s="10">
        <v>0.5</v>
      </c>
      <c r="P85" s="10">
        <v>1.0</v>
      </c>
      <c r="Q85" s="10">
        <v>1.0</v>
      </c>
      <c r="R85" s="10">
        <v>1.0</v>
      </c>
      <c r="S85" s="10">
        <v>1.0</v>
      </c>
      <c r="T85" s="10">
        <v>1.0</v>
      </c>
      <c r="U85" s="10">
        <v>1.0</v>
      </c>
      <c r="V85" s="10">
        <v>1.0</v>
      </c>
      <c r="W85" s="10">
        <v>1.0</v>
      </c>
      <c r="X85" s="10">
        <v>1.0</v>
      </c>
      <c r="Y85" s="10">
        <v>1.0</v>
      </c>
      <c r="Z85" s="10">
        <v>1.0</v>
      </c>
      <c r="AA85" s="10">
        <v>0.5</v>
      </c>
    </row>
    <row r="86">
      <c r="A86" s="15"/>
      <c r="B86" s="15"/>
      <c r="C86" s="7" t="s">
        <v>199</v>
      </c>
      <c r="D86" s="7" t="s">
        <v>200</v>
      </c>
      <c r="E86" s="7" t="s">
        <v>198</v>
      </c>
      <c r="F86" s="8" t="s">
        <v>11</v>
      </c>
      <c r="G86" s="7" t="s">
        <v>12</v>
      </c>
      <c r="H86" s="35">
        <v>16.0</v>
      </c>
      <c r="I86" s="10">
        <v>1.0</v>
      </c>
      <c r="J86" s="10">
        <v>1.0</v>
      </c>
      <c r="K86" s="10">
        <v>1.0</v>
      </c>
      <c r="L86" s="10">
        <v>1.0</v>
      </c>
      <c r="M86" s="10">
        <v>1.0</v>
      </c>
      <c r="N86" s="10">
        <v>1.0</v>
      </c>
      <c r="O86" s="10">
        <v>1.0</v>
      </c>
      <c r="P86" s="10">
        <v>1.0</v>
      </c>
      <c r="Q86" s="10">
        <v>1.0</v>
      </c>
      <c r="R86" s="10">
        <v>1.0</v>
      </c>
      <c r="S86" s="10">
        <v>1.0</v>
      </c>
      <c r="T86" s="10">
        <v>1.0</v>
      </c>
      <c r="U86" s="10">
        <v>1.0</v>
      </c>
      <c r="V86" s="10">
        <v>1.0</v>
      </c>
      <c r="W86" s="10">
        <v>1.0</v>
      </c>
      <c r="X86" s="10">
        <v>1.0</v>
      </c>
      <c r="Y86" s="10">
        <v>1.0</v>
      </c>
      <c r="Z86" s="10">
        <v>1.0</v>
      </c>
      <c r="AA86" s="10">
        <v>1.0</v>
      </c>
    </row>
    <row r="87">
      <c r="C87" s="7" t="s">
        <v>201</v>
      </c>
      <c r="D87" s="7" t="s">
        <v>202</v>
      </c>
      <c r="E87" s="7" t="s">
        <v>198</v>
      </c>
      <c r="F87" s="8" t="s">
        <v>11</v>
      </c>
      <c r="G87" s="7" t="s">
        <v>12</v>
      </c>
      <c r="H87" s="35">
        <v>16.0</v>
      </c>
      <c r="I87" s="10">
        <v>1.0</v>
      </c>
      <c r="J87" s="10">
        <v>1.0</v>
      </c>
      <c r="K87" s="10">
        <v>1.0</v>
      </c>
      <c r="L87" s="10">
        <v>1.0</v>
      </c>
      <c r="M87" s="10">
        <v>1.0</v>
      </c>
      <c r="N87" s="10">
        <v>1.0</v>
      </c>
      <c r="O87" s="10">
        <v>0.5</v>
      </c>
      <c r="P87" s="10">
        <v>0.0</v>
      </c>
      <c r="Q87" s="10">
        <v>0.0</v>
      </c>
      <c r="R87" s="10">
        <v>1.0</v>
      </c>
      <c r="S87" s="10">
        <v>0.0</v>
      </c>
      <c r="T87" s="10">
        <v>0.0</v>
      </c>
      <c r="U87" s="10">
        <v>1.0</v>
      </c>
      <c r="V87" s="10">
        <v>0.0</v>
      </c>
      <c r="W87" s="10">
        <v>0.0</v>
      </c>
      <c r="X87" s="10">
        <v>0.0</v>
      </c>
      <c r="Y87" s="10">
        <v>0.0</v>
      </c>
      <c r="Z87" s="10">
        <v>0.0</v>
      </c>
      <c r="AA87" s="10">
        <v>0.0</v>
      </c>
    </row>
    <row r="88">
      <c r="C88" s="7" t="s">
        <v>203</v>
      </c>
      <c r="D88" s="7" t="s">
        <v>204</v>
      </c>
      <c r="E88" s="7" t="s">
        <v>198</v>
      </c>
      <c r="F88" s="8" t="s">
        <v>11</v>
      </c>
      <c r="G88" s="7" t="s">
        <v>12</v>
      </c>
      <c r="H88" s="35">
        <v>16.0</v>
      </c>
      <c r="I88" s="10">
        <v>1.0</v>
      </c>
      <c r="J88" s="10">
        <v>1.0</v>
      </c>
      <c r="K88" s="10">
        <v>1.0</v>
      </c>
      <c r="L88" s="10">
        <v>1.0</v>
      </c>
      <c r="M88" s="10">
        <v>1.0</v>
      </c>
      <c r="N88" s="10">
        <v>1.0</v>
      </c>
      <c r="O88" s="10">
        <v>1.0</v>
      </c>
      <c r="P88" s="10">
        <v>1.0</v>
      </c>
      <c r="Q88" s="10">
        <v>1.0</v>
      </c>
      <c r="R88" s="10">
        <v>1.0</v>
      </c>
      <c r="S88" s="10">
        <v>1.0</v>
      </c>
      <c r="T88" s="10">
        <v>1.0</v>
      </c>
      <c r="U88" s="10">
        <v>1.0</v>
      </c>
      <c r="V88" s="10">
        <v>1.0</v>
      </c>
      <c r="W88" s="10">
        <v>0.5</v>
      </c>
      <c r="X88" s="10">
        <v>1.0</v>
      </c>
      <c r="Y88" s="10">
        <v>1.0</v>
      </c>
      <c r="Z88" s="10">
        <v>1.0</v>
      </c>
      <c r="AA88" s="10">
        <v>1.0</v>
      </c>
    </row>
    <row r="89">
      <c r="C89" s="7" t="s">
        <v>205</v>
      </c>
      <c r="D89" s="7" t="s">
        <v>206</v>
      </c>
      <c r="E89" s="22" t="s">
        <v>198</v>
      </c>
      <c r="F89" s="8" t="s">
        <v>24</v>
      </c>
      <c r="G89" s="7" t="s">
        <v>25</v>
      </c>
      <c r="H89" s="21">
        <v>25.0</v>
      </c>
      <c r="I89" s="10">
        <v>1.0</v>
      </c>
      <c r="J89" s="10">
        <v>1.0</v>
      </c>
      <c r="K89" s="10">
        <v>0.5</v>
      </c>
      <c r="L89" s="10">
        <v>1.0</v>
      </c>
      <c r="M89" s="10">
        <v>1.0</v>
      </c>
      <c r="N89" s="10">
        <v>1.0</v>
      </c>
      <c r="O89" s="10">
        <v>1.0</v>
      </c>
      <c r="P89" s="10">
        <v>1.0</v>
      </c>
      <c r="Q89" s="10">
        <v>1.0</v>
      </c>
      <c r="R89" s="10">
        <v>1.0</v>
      </c>
      <c r="S89" s="10">
        <v>1.0</v>
      </c>
      <c r="T89" s="10">
        <v>1.0</v>
      </c>
      <c r="U89" s="10">
        <v>1.0</v>
      </c>
      <c r="V89" s="10">
        <v>0.0</v>
      </c>
      <c r="W89" s="10">
        <v>0.0</v>
      </c>
      <c r="X89" s="10">
        <v>0.0</v>
      </c>
      <c r="Y89" s="10">
        <v>0.0</v>
      </c>
      <c r="Z89" s="10">
        <v>0.0</v>
      </c>
      <c r="AA89" s="10">
        <v>0.0</v>
      </c>
    </row>
    <row r="90">
      <c r="C90" s="16" t="s">
        <v>207</v>
      </c>
      <c r="D90" s="16" t="s">
        <v>208</v>
      </c>
      <c r="E90" s="40" t="s">
        <v>198</v>
      </c>
      <c r="F90" s="17" t="s">
        <v>28</v>
      </c>
      <c r="G90" s="16" t="s">
        <v>29</v>
      </c>
      <c r="H90" s="24">
        <v>25.0</v>
      </c>
      <c r="I90" s="19">
        <v>1.0</v>
      </c>
      <c r="J90" s="19">
        <v>1.0</v>
      </c>
      <c r="K90" s="19">
        <v>1.0</v>
      </c>
      <c r="L90" s="10">
        <v>1.0</v>
      </c>
      <c r="M90" s="10">
        <v>1.0</v>
      </c>
      <c r="N90" s="10">
        <v>0.5</v>
      </c>
      <c r="O90" s="10">
        <v>1.0</v>
      </c>
      <c r="P90" s="10">
        <v>1.0</v>
      </c>
      <c r="Q90" s="10">
        <v>1.0</v>
      </c>
      <c r="R90" s="10">
        <v>1.0</v>
      </c>
      <c r="S90" s="10">
        <v>1.0</v>
      </c>
      <c r="T90" s="10">
        <v>1.0</v>
      </c>
      <c r="U90" s="10">
        <v>1.0</v>
      </c>
      <c r="V90" s="10">
        <v>0.0</v>
      </c>
      <c r="W90" s="10">
        <v>0.0</v>
      </c>
      <c r="X90" s="10">
        <v>0.0</v>
      </c>
      <c r="Y90" s="10">
        <v>0.0</v>
      </c>
      <c r="Z90" s="10">
        <v>0.0</v>
      </c>
      <c r="AA90" s="10">
        <v>0.0</v>
      </c>
    </row>
    <row r="91">
      <c r="A91" s="15"/>
      <c r="B91" s="15"/>
      <c r="C91" s="7" t="s">
        <v>209</v>
      </c>
      <c r="D91" s="7" t="s">
        <v>210</v>
      </c>
      <c r="E91" s="7" t="s">
        <v>211</v>
      </c>
      <c r="F91" s="8" t="s">
        <v>11</v>
      </c>
      <c r="G91" s="7" t="s">
        <v>12</v>
      </c>
      <c r="H91" s="63">
        <v>17.0</v>
      </c>
      <c r="I91" s="10">
        <v>1.0</v>
      </c>
      <c r="J91" s="10">
        <v>1.0</v>
      </c>
      <c r="K91" s="10">
        <v>1.0</v>
      </c>
      <c r="L91" s="64">
        <v>1.0</v>
      </c>
      <c r="M91" s="64">
        <v>1.0</v>
      </c>
      <c r="N91" s="64">
        <v>1.0</v>
      </c>
      <c r="O91" s="64">
        <v>1.0</v>
      </c>
      <c r="P91" s="64">
        <v>1.0</v>
      </c>
      <c r="Q91" s="64">
        <v>1.0</v>
      </c>
      <c r="R91" s="65">
        <v>1.0</v>
      </c>
      <c r="S91" s="64">
        <v>0.0</v>
      </c>
      <c r="T91" s="64">
        <v>1.0</v>
      </c>
      <c r="U91" s="64">
        <v>1.0</v>
      </c>
      <c r="V91" s="64">
        <v>0.0</v>
      </c>
      <c r="W91" s="64">
        <v>0.0</v>
      </c>
      <c r="X91" s="64">
        <v>0.0</v>
      </c>
      <c r="Y91" s="64">
        <v>0.0</v>
      </c>
      <c r="Z91" s="64">
        <v>0.0</v>
      </c>
      <c r="AA91" s="64">
        <v>0.0</v>
      </c>
      <c r="AB91" s="66"/>
    </row>
    <row r="92">
      <c r="C92" s="7" t="s">
        <v>212</v>
      </c>
      <c r="D92" s="7" t="s">
        <v>213</v>
      </c>
      <c r="E92" s="7" t="s">
        <v>211</v>
      </c>
      <c r="F92" s="8" t="s">
        <v>11</v>
      </c>
      <c r="G92" s="7" t="s">
        <v>12</v>
      </c>
      <c r="H92" s="63">
        <v>17.0</v>
      </c>
      <c r="I92" s="10">
        <v>1.0</v>
      </c>
      <c r="J92" s="10">
        <v>1.0</v>
      </c>
      <c r="K92" s="10">
        <v>1.0</v>
      </c>
      <c r="L92" s="10">
        <v>1.0</v>
      </c>
      <c r="M92" s="10">
        <v>1.0</v>
      </c>
      <c r="N92" s="10">
        <v>1.0</v>
      </c>
      <c r="O92" s="10">
        <v>1.0</v>
      </c>
      <c r="P92" s="10">
        <v>1.0</v>
      </c>
      <c r="Q92" s="10">
        <v>1.0</v>
      </c>
      <c r="R92" s="10">
        <v>1.0</v>
      </c>
      <c r="S92" s="10">
        <v>1.0</v>
      </c>
      <c r="T92" s="10">
        <v>1.0</v>
      </c>
      <c r="U92" s="10">
        <v>1.0</v>
      </c>
      <c r="V92" s="10">
        <v>1.0</v>
      </c>
      <c r="W92" s="10">
        <v>1.0</v>
      </c>
      <c r="X92" s="10">
        <v>0.5</v>
      </c>
      <c r="Y92" s="10">
        <v>1.0</v>
      </c>
      <c r="Z92" s="10">
        <v>1.0</v>
      </c>
      <c r="AA92" s="10">
        <v>0.0</v>
      </c>
    </row>
    <row r="93">
      <c r="C93" s="7" t="s">
        <v>214</v>
      </c>
      <c r="D93" s="7" t="s">
        <v>215</v>
      </c>
      <c r="E93" s="7" t="s">
        <v>211</v>
      </c>
      <c r="F93" s="8" t="s">
        <v>11</v>
      </c>
      <c r="G93" s="7" t="s">
        <v>12</v>
      </c>
      <c r="H93" s="63">
        <v>17.0</v>
      </c>
      <c r="I93" s="10">
        <v>1.0</v>
      </c>
      <c r="J93" s="10">
        <v>1.0</v>
      </c>
      <c r="K93" s="10">
        <v>1.0</v>
      </c>
      <c r="L93" s="10">
        <v>1.0</v>
      </c>
      <c r="M93" s="10">
        <v>1.0</v>
      </c>
      <c r="N93" s="10">
        <v>1.0</v>
      </c>
      <c r="O93" s="10">
        <v>1.0</v>
      </c>
      <c r="P93" s="10">
        <v>1.0</v>
      </c>
      <c r="Q93" s="10">
        <v>1.0</v>
      </c>
      <c r="R93" s="10">
        <v>1.0</v>
      </c>
      <c r="S93" s="10">
        <v>1.0</v>
      </c>
      <c r="T93" s="10">
        <v>1.0</v>
      </c>
      <c r="U93" s="10">
        <v>1.0</v>
      </c>
      <c r="V93" s="10">
        <v>1.0</v>
      </c>
      <c r="W93" s="10">
        <v>1.0</v>
      </c>
      <c r="X93" s="10">
        <v>1.0</v>
      </c>
      <c r="Y93" s="10">
        <v>1.0</v>
      </c>
      <c r="Z93" s="10">
        <v>1.0</v>
      </c>
      <c r="AA93" s="10">
        <v>0.0</v>
      </c>
    </row>
    <row r="94">
      <c r="A94" s="15"/>
      <c r="B94" s="15"/>
      <c r="C94" s="7" t="s">
        <v>216</v>
      </c>
      <c r="D94" s="7" t="s">
        <v>217</v>
      </c>
      <c r="E94" s="7" t="s">
        <v>211</v>
      </c>
      <c r="F94" s="8" t="s">
        <v>11</v>
      </c>
      <c r="G94" s="7" t="s">
        <v>12</v>
      </c>
      <c r="H94" s="63">
        <v>17.0</v>
      </c>
      <c r="I94" s="10">
        <v>1.0</v>
      </c>
      <c r="J94" s="10">
        <v>1.0</v>
      </c>
      <c r="K94" s="10">
        <v>1.0</v>
      </c>
      <c r="L94" s="10">
        <v>1.0</v>
      </c>
      <c r="M94" s="10">
        <v>1.0</v>
      </c>
      <c r="N94" s="13">
        <v>1.0</v>
      </c>
      <c r="O94" s="10">
        <v>1.0</v>
      </c>
      <c r="P94" s="10">
        <v>1.0</v>
      </c>
      <c r="Q94" s="10">
        <v>1.0</v>
      </c>
      <c r="R94" s="10">
        <v>1.0</v>
      </c>
      <c r="S94" s="10">
        <v>1.0</v>
      </c>
      <c r="T94" s="10">
        <v>1.0</v>
      </c>
      <c r="U94" s="10">
        <v>1.0</v>
      </c>
      <c r="V94" s="10">
        <v>1.0</v>
      </c>
      <c r="W94" s="10">
        <v>1.0</v>
      </c>
      <c r="X94" s="10">
        <v>1.0</v>
      </c>
      <c r="Y94" s="10">
        <v>1.0</v>
      </c>
      <c r="Z94" s="10">
        <v>1.0</v>
      </c>
      <c r="AA94" s="10">
        <v>1.0</v>
      </c>
    </row>
    <row r="95">
      <c r="C95" s="7" t="s">
        <v>218</v>
      </c>
      <c r="D95" s="7" t="s">
        <v>219</v>
      </c>
      <c r="E95" s="7" t="s">
        <v>211</v>
      </c>
      <c r="F95" s="8" t="s">
        <v>11</v>
      </c>
      <c r="G95" s="7" t="s">
        <v>12</v>
      </c>
      <c r="H95" s="63">
        <v>17.0</v>
      </c>
      <c r="I95" s="10">
        <v>0.5</v>
      </c>
      <c r="J95" s="10">
        <v>1.0</v>
      </c>
      <c r="K95" s="10">
        <v>1.0</v>
      </c>
      <c r="L95" s="10">
        <v>1.0</v>
      </c>
      <c r="M95" s="10">
        <v>1.0</v>
      </c>
      <c r="N95" s="13">
        <v>1.0</v>
      </c>
      <c r="O95" s="10">
        <v>1.0</v>
      </c>
      <c r="P95" s="10">
        <v>0.0</v>
      </c>
      <c r="Q95" s="10">
        <v>0.0</v>
      </c>
      <c r="R95" s="10">
        <v>1.0</v>
      </c>
      <c r="S95" s="10">
        <v>0.0</v>
      </c>
      <c r="T95" s="10">
        <v>0.0</v>
      </c>
      <c r="U95" s="10">
        <v>0.0</v>
      </c>
      <c r="V95" s="10">
        <v>0.0</v>
      </c>
      <c r="W95" s="10">
        <v>0.0</v>
      </c>
      <c r="X95" s="10">
        <v>0.0</v>
      </c>
      <c r="Y95" s="10">
        <v>0.0</v>
      </c>
      <c r="Z95" s="10">
        <v>0.0</v>
      </c>
      <c r="AA95" s="10">
        <v>0.0</v>
      </c>
    </row>
    <row r="96">
      <c r="C96" s="16" t="s">
        <v>220</v>
      </c>
      <c r="D96" s="16" t="s">
        <v>221</v>
      </c>
      <c r="E96" s="16" t="s">
        <v>211</v>
      </c>
      <c r="F96" s="17" t="s">
        <v>28</v>
      </c>
      <c r="G96" s="16" t="s">
        <v>29</v>
      </c>
      <c r="H96" s="67">
        <v>17.0</v>
      </c>
      <c r="I96" s="19">
        <v>1.0</v>
      </c>
      <c r="J96" s="19">
        <v>1.0</v>
      </c>
      <c r="K96" s="19">
        <v>1.0</v>
      </c>
      <c r="L96" s="10">
        <v>1.0</v>
      </c>
      <c r="M96" s="10">
        <v>1.0</v>
      </c>
      <c r="N96" s="19">
        <v>1.0</v>
      </c>
      <c r="O96" s="10">
        <v>1.0</v>
      </c>
      <c r="P96" s="10">
        <v>1.0</v>
      </c>
      <c r="Q96" s="10">
        <v>1.0</v>
      </c>
      <c r="R96" s="10">
        <v>1.0</v>
      </c>
      <c r="S96" s="10">
        <v>1.0</v>
      </c>
      <c r="T96" s="10">
        <v>1.0</v>
      </c>
      <c r="U96" s="10">
        <v>1.0</v>
      </c>
      <c r="V96" s="10">
        <v>1.0</v>
      </c>
      <c r="W96" s="10">
        <v>1.0</v>
      </c>
      <c r="X96" s="10">
        <v>1.0</v>
      </c>
      <c r="Y96" s="10">
        <v>1.0</v>
      </c>
      <c r="Z96" s="10">
        <v>1.0</v>
      </c>
      <c r="AA96" s="10">
        <v>1.0</v>
      </c>
    </row>
    <row r="97">
      <c r="A97" s="15"/>
      <c r="B97" s="15"/>
      <c r="C97" s="7" t="s">
        <v>222</v>
      </c>
      <c r="D97" s="7" t="s">
        <v>223</v>
      </c>
      <c r="E97" s="7" t="s">
        <v>224</v>
      </c>
      <c r="F97" s="8" t="s">
        <v>11</v>
      </c>
      <c r="G97" s="7" t="s">
        <v>12</v>
      </c>
      <c r="H97" s="21">
        <v>18.0</v>
      </c>
      <c r="I97" s="10">
        <v>1.0</v>
      </c>
      <c r="J97" s="10">
        <v>1.0</v>
      </c>
      <c r="K97" s="10">
        <v>1.0</v>
      </c>
      <c r="L97" s="64">
        <v>1.0</v>
      </c>
      <c r="M97" s="64">
        <f>MIN(M92:N96)</f>
        <v>1</v>
      </c>
      <c r="N97" s="10">
        <v>1.0</v>
      </c>
      <c r="O97" s="64">
        <v>1.0</v>
      </c>
      <c r="P97" s="64">
        <v>1.0</v>
      </c>
      <c r="Q97" s="64">
        <v>1.0</v>
      </c>
      <c r="R97" s="10">
        <v>1.0</v>
      </c>
      <c r="S97" s="64">
        <v>1.0</v>
      </c>
      <c r="T97" s="64">
        <v>1.0</v>
      </c>
      <c r="U97" s="64">
        <v>1.0</v>
      </c>
      <c r="V97" s="64">
        <v>1.0</v>
      </c>
      <c r="W97" s="64">
        <v>0.0</v>
      </c>
      <c r="X97" s="64">
        <v>1.0</v>
      </c>
      <c r="Y97" s="64">
        <v>1.0</v>
      </c>
      <c r="Z97" s="64">
        <v>1.0</v>
      </c>
      <c r="AA97" s="66"/>
      <c r="AB97" s="66"/>
    </row>
    <row r="98">
      <c r="A98" s="15"/>
      <c r="B98" s="15"/>
      <c r="C98" s="7" t="s">
        <v>225</v>
      </c>
      <c r="D98" s="7" t="s">
        <v>226</v>
      </c>
      <c r="E98" s="7" t="s">
        <v>224</v>
      </c>
      <c r="F98" s="8" t="s">
        <v>11</v>
      </c>
      <c r="G98" s="7" t="s">
        <v>12</v>
      </c>
      <c r="H98" s="21">
        <v>18.0</v>
      </c>
      <c r="I98" s="10">
        <v>1.0</v>
      </c>
      <c r="J98" s="10">
        <v>1.0</v>
      </c>
      <c r="K98" s="10">
        <v>0.0</v>
      </c>
      <c r="L98" s="10">
        <v>1.0</v>
      </c>
      <c r="M98" s="10">
        <v>1.0</v>
      </c>
      <c r="N98" s="10">
        <v>1.0</v>
      </c>
      <c r="O98" s="10">
        <v>1.0</v>
      </c>
      <c r="P98" s="10">
        <v>1.0</v>
      </c>
      <c r="Q98" s="10">
        <v>1.0</v>
      </c>
      <c r="R98" s="10">
        <v>1.0</v>
      </c>
      <c r="S98" s="10">
        <v>0.5</v>
      </c>
      <c r="T98" s="10">
        <v>1.0</v>
      </c>
      <c r="U98" s="10">
        <v>1.0</v>
      </c>
      <c r="V98" s="10">
        <v>1.0</v>
      </c>
      <c r="W98" s="10">
        <v>1.0</v>
      </c>
      <c r="X98" s="10">
        <v>1.0</v>
      </c>
      <c r="Y98" s="10">
        <v>1.0</v>
      </c>
      <c r="Z98" s="10">
        <v>1.0</v>
      </c>
    </row>
    <row r="99">
      <c r="C99" s="7" t="s">
        <v>227</v>
      </c>
      <c r="D99" s="7" t="s">
        <v>228</v>
      </c>
      <c r="E99" s="7" t="s">
        <v>224</v>
      </c>
      <c r="F99" s="11" t="s">
        <v>28</v>
      </c>
      <c r="G99" s="37" t="s">
        <v>29</v>
      </c>
      <c r="H99" s="21">
        <v>18.0</v>
      </c>
      <c r="I99" s="12">
        <v>1.0</v>
      </c>
      <c r="J99" s="12">
        <v>1.0</v>
      </c>
      <c r="K99" s="13">
        <v>1.0</v>
      </c>
      <c r="L99" s="10">
        <v>1.0</v>
      </c>
      <c r="M99" s="10">
        <v>1.0</v>
      </c>
      <c r="N99" s="10">
        <v>1.0</v>
      </c>
      <c r="O99" s="10">
        <v>1.0</v>
      </c>
      <c r="P99" s="10">
        <v>1.0</v>
      </c>
      <c r="Q99" s="10">
        <v>1.0</v>
      </c>
      <c r="R99" s="10">
        <v>1.0</v>
      </c>
      <c r="S99" s="10">
        <v>1.0</v>
      </c>
      <c r="T99" s="10">
        <v>1.0</v>
      </c>
      <c r="U99" s="10">
        <v>1.0</v>
      </c>
      <c r="V99" s="10">
        <v>1.0</v>
      </c>
      <c r="W99" s="10">
        <v>0.0</v>
      </c>
      <c r="X99" s="10">
        <v>1.0</v>
      </c>
      <c r="Y99" s="10">
        <v>1.0</v>
      </c>
      <c r="Z99" s="10">
        <v>1.0</v>
      </c>
    </row>
    <row r="100">
      <c r="C100" s="7" t="s">
        <v>229</v>
      </c>
      <c r="D100" s="7" t="s">
        <v>230</v>
      </c>
      <c r="E100" s="7" t="s">
        <v>224</v>
      </c>
      <c r="F100" s="11" t="s">
        <v>28</v>
      </c>
      <c r="G100" s="37" t="s">
        <v>29</v>
      </c>
      <c r="H100" s="21">
        <v>18.0</v>
      </c>
      <c r="I100" s="12">
        <v>1.0</v>
      </c>
      <c r="J100" s="12">
        <v>1.0</v>
      </c>
      <c r="K100" s="13">
        <v>1.0</v>
      </c>
      <c r="L100" s="13">
        <v>1.0</v>
      </c>
      <c r="M100" s="13">
        <v>1.0</v>
      </c>
      <c r="N100" s="13">
        <v>1.0</v>
      </c>
      <c r="O100" s="13">
        <v>1.0</v>
      </c>
      <c r="P100" s="13">
        <v>1.0</v>
      </c>
      <c r="Q100" s="13">
        <v>1.0</v>
      </c>
      <c r="R100" s="10">
        <v>1.0</v>
      </c>
      <c r="S100" s="13">
        <v>1.0</v>
      </c>
      <c r="T100" s="13">
        <v>1.0</v>
      </c>
      <c r="U100" s="13">
        <v>1.0</v>
      </c>
      <c r="V100" s="13">
        <v>1.0</v>
      </c>
      <c r="W100" s="13">
        <v>1.0</v>
      </c>
      <c r="X100" s="13">
        <v>1.0</v>
      </c>
      <c r="Y100" s="13">
        <v>1.0</v>
      </c>
      <c r="Z100" s="13">
        <v>1.0</v>
      </c>
      <c r="AA100" s="14"/>
      <c r="AB100" s="14"/>
    </row>
    <row r="101">
      <c r="C101" s="7" t="s">
        <v>231</v>
      </c>
      <c r="D101" s="7" t="s">
        <v>232</v>
      </c>
      <c r="E101" s="7" t="s">
        <v>224</v>
      </c>
      <c r="F101" s="8" t="s">
        <v>24</v>
      </c>
      <c r="G101" s="22" t="s">
        <v>233</v>
      </c>
      <c r="H101" s="21">
        <v>18.0</v>
      </c>
      <c r="I101" s="10">
        <v>1.0</v>
      </c>
      <c r="J101" s="10">
        <v>1.0</v>
      </c>
      <c r="K101" s="10">
        <v>1.0</v>
      </c>
      <c r="L101" s="13">
        <v>1.0</v>
      </c>
      <c r="M101" s="13">
        <v>1.0</v>
      </c>
      <c r="N101" s="13">
        <v>1.0</v>
      </c>
      <c r="O101" s="13">
        <v>1.0</v>
      </c>
      <c r="P101" s="13">
        <v>1.0</v>
      </c>
      <c r="Q101" s="13">
        <v>1.0</v>
      </c>
      <c r="R101" s="10">
        <v>1.0</v>
      </c>
      <c r="S101" s="13">
        <v>1.0</v>
      </c>
      <c r="T101" s="13">
        <v>1.0</v>
      </c>
      <c r="U101" s="13">
        <v>1.0</v>
      </c>
      <c r="V101" s="13">
        <v>1.0</v>
      </c>
      <c r="W101" s="13">
        <v>1.0</v>
      </c>
      <c r="X101" s="13">
        <v>1.0</v>
      </c>
      <c r="Y101" s="13">
        <v>1.0</v>
      </c>
      <c r="Z101" s="13">
        <v>1.0</v>
      </c>
      <c r="AA101" s="14"/>
      <c r="AB101" s="14"/>
    </row>
    <row r="102">
      <c r="C102" s="7" t="s">
        <v>234</v>
      </c>
      <c r="D102" s="7" t="s">
        <v>235</v>
      </c>
      <c r="E102" s="7" t="s">
        <v>224</v>
      </c>
      <c r="F102" s="8" t="s">
        <v>28</v>
      </c>
      <c r="G102" s="7" t="s">
        <v>29</v>
      </c>
      <c r="H102" s="21">
        <v>18.0</v>
      </c>
      <c r="I102" s="10">
        <v>1.0</v>
      </c>
      <c r="J102" s="10">
        <v>1.0</v>
      </c>
      <c r="K102" s="10">
        <v>1.0</v>
      </c>
      <c r="L102" s="10">
        <v>1.0</v>
      </c>
      <c r="M102" s="10">
        <v>1.0</v>
      </c>
      <c r="N102" s="10">
        <v>1.0</v>
      </c>
      <c r="O102" s="10">
        <v>1.0</v>
      </c>
      <c r="P102" s="10">
        <v>1.0</v>
      </c>
      <c r="Q102" s="10">
        <v>1.0</v>
      </c>
      <c r="R102" s="10">
        <v>1.0</v>
      </c>
      <c r="S102" s="10">
        <v>1.0</v>
      </c>
      <c r="T102" s="10">
        <v>1.0</v>
      </c>
      <c r="U102" s="10">
        <v>1.0</v>
      </c>
      <c r="V102" s="10">
        <v>1.0</v>
      </c>
      <c r="W102" s="10">
        <v>1.0</v>
      </c>
      <c r="X102" s="10">
        <v>1.0</v>
      </c>
      <c r="Y102" s="10">
        <v>1.0</v>
      </c>
      <c r="Z102" s="10">
        <v>1.0</v>
      </c>
    </row>
    <row r="103">
      <c r="C103" s="16" t="s">
        <v>236</v>
      </c>
      <c r="D103" s="16" t="s">
        <v>237</v>
      </c>
      <c r="E103" s="16" t="s">
        <v>224</v>
      </c>
      <c r="F103" s="17" t="s">
        <v>28</v>
      </c>
      <c r="G103" s="16" t="s">
        <v>29</v>
      </c>
      <c r="H103" s="24">
        <v>18.0</v>
      </c>
      <c r="I103" s="19">
        <v>1.0</v>
      </c>
      <c r="J103" s="19">
        <v>1.0</v>
      </c>
      <c r="K103" s="19">
        <v>1.0</v>
      </c>
      <c r="L103" s="10">
        <v>1.0</v>
      </c>
      <c r="M103" s="10">
        <v>1.0</v>
      </c>
      <c r="N103" s="10">
        <v>1.0</v>
      </c>
      <c r="O103" s="10">
        <v>1.0</v>
      </c>
      <c r="P103" s="10">
        <v>1.0</v>
      </c>
      <c r="Q103" s="10">
        <v>1.0</v>
      </c>
      <c r="R103" s="10">
        <v>1.0</v>
      </c>
      <c r="S103" s="10">
        <v>1.0</v>
      </c>
      <c r="T103" s="10">
        <v>1.0</v>
      </c>
      <c r="U103" s="10">
        <v>1.0</v>
      </c>
      <c r="V103" s="10">
        <v>1.0</v>
      </c>
      <c r="W103" s="10">
        <v>1.0</v>
      </c>
      <c r="X103" s="10">
        <v>1.0</v>
      </c>
      <c r="Y103" s="10">
        <v>1.0</v>
      </c>
      <c r="Z103" s="10">
        <v>1.0</v>
      </c>
    </row>
    <row r="104">
      <c r="A104" s="15"/>
      <c r="B104" s="15"/>
      <c r="C104" s="7" t="s">
        <v>238</v>
      </c>
      <c r="D104" s="7" t="s">
        <v>239</v>
      </c>
      <c r="E104" s="7" t="s">
        <v>240</v>
      </c>
      <c r="F104" s="8" t="s">
        <v>24</v>
      </c>
      <c r="G104" s="7" t="s">
        <v>93</v>
      </c>
      <c r="H104" s="49">
        <v>19.0</v>
      </c>
      <c r="I104" s="10">
        <v>1.0</v>
      </c>
      <c r="J104" s="10">
        <v>1.0</v>
      </c>
      <c r="K104" s="10">
        <v>1.0</v>
      </c>
      <c r="L104" s="64">
        <v>1.0</v>
      </c>
      <c r="M104" s="64">
        <v>1.0</v>
      </c>
      <c r="N104" s="64">
        <v>1.0</v>
      </c>
      <c r="O104" s="64">
        <v>1.0</v>
      </c>
      <c r="P104" s="64">
        <v>1.0</v>
      </c>
      <c r="Q104" s="64">
        <v>1.0</v>
      </c>
      <c r="R104" s="10">
        <v>1.0</v>
      </c>
      <c r="S104" s="64">
        <v>1.0</v>
      </c>
      <c r="T104" s="64">
        <v>1.0</v>
      </c>
      <c r="U104" s="64">
        <v>1.0</v>
      </c>
      <c r="V104" s="64">
        <v>1.0</v>
      </c>
      <c r="W104" s="64">
        <v>1.0</v>
      </c>
      <c r="X104" s="64">
        <v>1.0</v>
      </c>
      <c r="Y104" s="64">
        <v>1.0</v>
      </c>
      <c r="Z104" s="64">
        <v>1.0</v>
      </c>
      <c r="AA104" s="66"/>
      <c r="AB104" s="66"/>
    </row>
    <row r="105">
      <c r="C105" s="7" t="s">
        <v>241</v>
      </c>
      <c r="D105" s="7" t="s">
        <v>242</v>
      </c>
      <c r="E105" s="7" t="s">
        <v>240</v>
      </c>
      <c r="F105" s="68" t="s">
        <v>28</v>
      </c>
      <c r="G105" s="7" t="s">
        <v>29</v>
      </c>
      <c r="H105" s="49">
        <v>19.0</v>
      </c>
      <c r="I105" s="13">
        <v>1.0</v>
      </c>
      <c r="J105" s="13">
        <v>1.0</v>
      </c>
      <c r="K105" s="13">
        <v>1.0</v>
      </c>
      <c r="L105" s="10">
        <v>1.0</v>
      </c>
      <c r="M105" s="10">
        <v>1.0</v>
      </c>
      <c r="N105" s="10">
        <v>1.0</v>
      </c>
      <c r="O105" s="10">
        <v>1.0</v>
      </c>
      <c r="P105" s="10">
        <v>1.0</v>
      </c>
      <c r="Q105" s="10">
        <v>1.0</v>
      </c>
      <c r="R105" s="10">
        <v>1.0</v>
      </c>
      <c r="S105" s="10">
        <v>1.0</v>
      </c>
      <c r="T105" s="10">
        <v>1.0</v>
      </c>
      <c r="U105" s="10">
        <v>1.0</v>
      </c>
      <c r="V105" s="10">
        <v>1.0</v>
      </c>
      <c r="W105" s="10">
        <v>1.0</v>
      </c>
      <c r="X105" s="10">
        <v>1.0</v>
      </c>
      <c r="Y105" s="10">
        <v>1.0</v>
      </c>
      <c r="Z105" s="10">
        <v>1.0</v>
      </c>
    </row>
    <row r="106">
      <c r="C106" s="7" t="s">
        <v>243</v>
      </c>
      <c r="D106" s="7" t="s">
        <v>244</v>
      </c>
      <c r="E106" s="7" t="s">
        <v>240</v>
      </c>
      <c r="F106" s="32" t="s">
        <v>24</v>
      </c>
      <c r="G106" s="7" t="s">
        <v>93</v>
      </c>
      <c r="H106" s="49">
        <v>19.0</v>
      </c>
      <c r="I106" s="12">
        <v>1.0</v>
      </c>
      <c r="J106" s="39">
        <v>1.0</v>
      </c>
      <c r="K106" s="13">
        <v>1.0</v>
      </c>
      <c r="L106" s="13">
        <v>1.0</v>
      </c>
      <c r="M106" s="13">
        <v>1.0</v>
      </c>
      <c r="N106" s="13">
        <v>1.0</v>
      </c>
      <c r="O106" s="13">
        <v>0.5</v>
      </c>
      <c r="P106" s="13">
        <v>1.0</v>
      </c>
      <c r="Q106" s="13">
        <v>1.0</v>
      </c>
      <c r="R106" s="13">
        <v>1.0</v>
      </c>
      <c r="S106" s="13">
        <v>1.0</v>
      </c>
      <c r="T106" s="13">
        <v>1.0</v>
      </c>
      <c r="U106" s="10">
        <v>1.0</v>
      </c>
      <c r="V106" s="13">
        <v>1.0</v>
      </c>
      <c r="W106" s="13">
        <v>1.0</v>
      </c>
      <c r="X106" s="13">
        <v>1.0</v>
      </c>
      <c r="Y106" s="13">
        <v>1.0</v>
      </c>
      <c r="Z106" s="13">
        <v>1.0</v>
      </c>
      <c r="AA106" s="14"/>
      <c r="AB106" s="14"/>
    </row>
    <row r="107">
      <c r="C107" s="7" t="s">
        <v>245</v>
      </c>
      <c r="D107" s="7" t="s">
        <v>246</v>
      </c>
      <c r="E107" s="7" t="s">
        <v>240</v>
      </c>
      <c r="F107" s="69" t="s">
        <v>24</v>
      </c>
      <c r="G107" s="14"/>
      <c r="H107" s="49">
        <v>19.0</v>
      </c>
      <c r="I107" s="13">
        <v>1.0</v>
      </c>
      <c r="J107" s="13">
        <v>1.0</v>
      </c>
      <c r="K107" s="13">
        <v>1.0</v>
      </c>
      <c r="L107" s="13">
        <v>1.0</v>
      </c>
      <c r="M107" s="13">
        <v>1.0</v>
      </c>
      <c r="N107" s="13">
        <v>1.0</v>
      </c>
      <c r="O107" s="13">
        <v>1.0</v>
      </c>
      <c r="P107" s="13">
        <v>1.0</v>
      </c>
      <c r="Q107" s="13">
        <v>1.0</v>
      </c>
      <c r="R107" s="13">
        <v>1.0</v>
      </c>
      <c r="S107" s="13">
        <v>1.0</v>
      </c>
      <c r="T107" s="13">
        <v>1.0</v>
      </c>
      <c r="U107" s="10">
        <v>1.0</v>
      </c>
      <c r="V107" s="13">
        <v>1.0</v>
      </c>
      <c r="W107" s="13">
        <v>1.0</v>
      </c>
      <c r="X107" s="13">
        <v>1.0</v>
      </c>
      <c r="Y107" s="13">
        <v>1.0</v>
      </c>
      <c r="Z107" s="13">
        <v>1.0</v>
      </c>
      <c r="AA107" s="14"/>
      <c r="AB107" s="14"/>
    </row>
    <row r="108">
      <c r="C108" s="7" t="s">
        <v>247</v>
      </c>
      <c r="D108" s="7" t="s">
        <v>248</v>
      </c>
      <c r="E108" s="7" t="s">
        <v>240</v>
      </c>
      <c r="F108" s="8" t="s">
        <v>24</v>
      </c>
      <c r="G108" s="7" t="s">
        <v>93</v>
      </c>
      <c r="H108" s="49">
        <v>19.0</v>
      </c>
      <c r="I108" s="10">
        <v>1.0</v>
      </c>
      <c r="J108" s="10">
        <v>1.0</v>
      </c>
      <c r="K108" s="10">
        <v>1.0</v>
      </c>
      <c r="L108" s="13">
        <v>1.0</v>
      </c>
      <c r="M108" s="13">
        <v>1.0</v>
      </c>
      <c r="N108" s="13">
        <v>1.0</v>
      </c>
      <c r="O108" s="13">
        <v>0.5</v>
      </c>
      <c r="P108" s="13">
        <v>1.0</v>
      </c>
      <c r="Q108" s="13">
        <v>1.0</v>
      </c>
      <c r="R108" s="13">
        <v>1.0</v>
      </c>
      <c r="S108" s="13">
        <v>1.0</v>
      </c>
      <c r="T108" s="13">
        <v>1.0</v>
      </c>
      <c r="U108" s="10">
        <v>1.0</v>
      </c>
      <c r="V108" s="13">
        <v>1.0</v>
      </c>
      <c r="W108" s="13">
        <v>1.0</v>
      </c>
      <c r="X108" s="13">
        <v>1.0</v>
      </c>
      <c r="Y108" s="13">
        <v>1.0</v>
      </c>
      <c r="Z108" s="13">
        <v>1.0</v>
      </c>
      <c r="AA108" s="14"/>
      <c r="AB108" s="14"/>
    </row>
    <row r="109">
      <c r="C109" s="7" t="s">
        <v>249</v>
      </c>
      <c r="D109" s="7" t="s">
        <v>250</v>
      </c>
      <c r="E109" s="7" t="s">
        <v>240</v>
      </c>
      <c r="F109" s="8" t="s">
        <v>24</v>
      </c>
      <c r="G109" s="7" t="s">
        <v>93</v>
      </c>
      <c r="H109" s="49">
        <v>19.0</v>
      </c>
      <c r="I109" s="10">
        <v>1.0</v>
      </c>
      <c r="J109" s="10">
        <v>1.0</v>
      </c>
      <c r="K109" s="10">
        <v>1.0</v>
      </c>
      <c r="L109" s="10">
        <v>1.0</v>
      </c>
      <c r="M109" s="10">
        <v>1.0</v>
      </c>
      <c r="N109" s="10">
        <v>1.0</v>
      </c>
      <c r="O109" s="10">
        <v>1.0</v>
      </c>
      <c r="P109" s="10">
        <v>1.0</v>
      </c>
      <c r="Q109" s="10">
        <v>1.0</v>
      </c>
      <c r="R109" s="10">
        <v>1.0</v>
      </c>
      <c r="S109" s="10">
        <v>1.0</v>
      </c>
      <c r="T109" s="10">
        <v>1.0</v>
      </c>
      <c r="U109" s="10">
        <v>1.0</v>
      </c>
      <c r="V109" s="10">
        <v>1.0</v>
      </c>
      <c r="W109" s="10">
        <v>1.0</v>
      </c>
      <c r="X109" s="10">
        <v>1.0</v>
      </c>
      <c r="Y109" s="10">
        <v>1.0</v>
      </c>
      <c r="Z109" s="10">
        <v>1.0</v>
      </c>
    </row>
    <row r="110">
      <c r="C110" s="16" t="s">
        <v>251</v>
      </c>
      <c r="D110" s="16" t="s">
        <v>252</v>
      </c>
      <c r="E110" s="16" t="s">
        <v>240</v>
      </c>
      <c r="F110" s="17" t="s">
        <v>28</v>
      </c>
      <c r="G110" s="16" t="s">
        <v>29</v>
      </c>
      <c r="H110" s="50">
        <v>19.0</v>
      </c>
      <c r="I110" s="19">
        <v>1.0</v>
      </c>
      <c r="J110" s="19">
        <v>1.0</v>
      </c>
      <c r="K110" s="19">
        <v>1.0</v>
      </c>
      <c r="L110" s="10">
        <v>1.0</v>
      </c>
      <c r="M110" s="19">
        <v>1.0</v>
      </c>
      <c r="N110" s="19">
        <v>1.0</v>
      </c>
      <c r="O110" s="10">
        <v>1.0</v>
      </c>
      <c r="P110" s="10">
        <v>1.0</v>
      </c>
      <c r="Q110" s="10">
        <v>1.0</v>
      </c>
      <c r="R110" s="10">
        <v>1.0</v>
      </c>
      <c r="S110" s="10">
        <v>1.0</v>
      </c>
      <c r="T110" s="10">
        <v>1.0</v>
      </c>
      <c r="U110" s="10">
        <v>1.0</v>
      </c>
      <c r="V110" s="10">
        <v>1.0</v>
      </c>
      <c r="W110" s="10">
        <v>1.0</v>
      </c>
      <c r="X110" s="10">
        <v>1.0</v>
      </c>
      <c r="Y110" s="10">
        <v>1.0</v>
      </c>
      <c r="Z110" s="10">
        <v>1.0</v>
      </c>
    </row>
    <row r="111">
      <c r="A111" s="15"/>
      <c r="B111" s="15"/>
      <c r="C111" s="7" t="s">
        <v>253</v>
      </c>
      <c r="D111" s="7" t="s">
        <v>254</v>
      </c>
      <c r="E111" s="7" t="s">
        <v>255</v>
      </c>
      <c r="F111" s="11" t="s">
        <v>11</v>
      </c>
      <c r="G111" s="7" t="s">
        <v>12</v>
      </c>
      <c r="H111" s="47">
        <v>20.0</v>
      </c>
      <c r="I111" s="12">
        <v>1.0</v>
      </c>
      <c r="J111" s="12">
        <v>1.0</v>
      </c>
      <c r="K111" s="13">
        <v>1.0</v>
      </c>
      <c r="L111" s="64">
        <v>1.0</v>
      </c>
      <c r="M111" s="10">
        <v>1.0</v>
      </c>
      <c r="N111" s="10">
        <v>1.0</v>
      </c>
      <c r="O111" s="64">
        <v>1.0</v>
      </c>
      <c r="P111" s="64">
        <v>1.0</v>
      </c>
      <c r="Q111" s="64">
        <v>1.0</v>
      </c>
      <c r="R111" s="64">
        <v>1.0</v>
      </c>
      <c r="S111" s="10">
        <v>1.0</v>
      </c>
      <c r="T111" s="64">
        <v>1.0</v>
      </c>
      <c r="U111" s="64">
        <v>1.0</v>
      </c>
      <c r="V111" s="64">
        <v>1.0</v>
      </c>
      <c r="W111" s="64">
        <v>1.0</v>
      </c>
      <c r="X111" s="64">
        <v>1.0</v>
      </c>
      <c r="Y111" s="64">
        <v>1.0</v>
      </c>
      <c r="Z111" s="64">
        <v>1.0</v>
      </c>
      <c r="AA111" s="66"/>
      <c r="AB111" s="66"/>
    </row>
    <row r="112">
      <c r="C112" s="7" t="s">
        <v>256</v>
      </c>
      <c r="D112" s="7" t="s">
        <v>257</v>
      </c>
      <c r="E112" s="7" t="s">
        <v>255</v>
      </c>
      <c r="F112" s="32" t="s">
        <v>24</v>
      </c>
      <c r="G112" s="7" t="s">
        <v>25</v>
      </c>
      <c r="H112" s="47">
        <v>20.0</v>
      </c>
      <c r="I112" s="12">
        <v>1.0</v>
      </c>
      <c r="J112" s="12">
        <v>1.0</v>
      </c>
      <c r="K112" s="13">
        <v>1.0</v>
      </c>
      <c r="L112" s="13">
        <v>1.0</v>
      </c>
      <c r="M112" s="10">
        <v>1.0</v>
      </c>
      <c r="N112" s="10">
        <v>0.5</v>
      </c>
      <c r="O112" s="13">
        <v>1.0</v>
      </c>
      <c r="P112" s="13">
        <v>1.0</v>
      </c>
      <c r="Q112" s="13">
        <v>0.5</v>
      </c>
      <c r="R112" s="13">
        <v>0.5</v>
      </c>
      <c r="S112" s="10">
        <v>1.0</v>
      </c>
      <c r="T112" s="13">
        <v>0.0</v>
      </c>
      <c r="U112" s="13">
        <v>0.0</v>
      </c>
      <c r="V112" s="13">
        <v>0.0</v>
      </c>
      <c r="W112" s="13">
        <v>0.0</v>
      </c>
      <c r="X112" s="13">
        <v>0.0</v>
      </c>
      <c r="Y112" s="13">
        <v>0.0</v>
      </c>
      <c r="Z112" s="13">
        <v>0.0</v>
      </c>
      <c r="AA112" s="14"/>
      <c r="AB112" s="14"/>
    </row>
    <row r="113">
      <c r="C113" s="7" t="s">
        <v>258</v>
      </c>
      <c r="D113" s="7" t="s">
        <v>259</v>
      </c>
      <c r="E113" s="7" t="s">
        <v>255</v>
      </c>
      <c r="F113" s="32" t="s">
        <v>24</v>
      </c>
      <c r="G113" s="7" t="s">
        <v>93</v>
      </c>
      <c r="H113" s="47">
        <v>20.0</v>
      </c>
      <c r="I113" s="12">
        <v>1.0</v>
      </c>
      <c r="J113" s="12">
        <v>1.0</v>
      </c>
      <c r="K113" s="13">
        <v>1.0</v>
      </c>
      <c r="L113" s="13">
        <v>1.0</v>
      </c>
      <c r="M113" s="10">
        <v>1.0</v>
      </c>
      <c r="N113" s="10">
        <v>1.0</v>
      </c>
      <c r="O113" s="13">
        <v>1.0</v>
      </c>
      <c r="P113" s="13">
        <v>1.0</v>
      </c>
      <c r="Q113" s="13">
        <v>0.5</v>
      </c>
      <c r="R113" s="13">
        <v>0.0</v>
      </c>
      <c r="S113" s="10">
        <v>1.0</v>
      </c>
      <c r="T113" s="13">
        <v>1.0</v>
      </c>
      <c r="U113" s="13">
        <v>1.0</v>
      </c>
      <c r="V113" s="13">
        <v>0.0</v>
      </c>
      <c r="W113" s="13">
        <v>0.0</v>
      </c>
      <c r="X113" s="13">
        <v>0.0</v>
      </c>
      <c r="Y113" s="13">
        <v>0.0</v>
      </c>
      <c r="Z113" s="13">
        <v>0.0</v>
      </c>
      <c r="AA113" s="14"/>
      <c r="AB113" s="14"/>
    </row>
    <row r="114">
      <c r="C114" s="7" t="s">
        <v>260</v>
      </c>
      <c r="D114" s="7" t="s">
        <v>261</v>
      </c>
      <c r="E114" s="7" t="s">
        <v>255</v>
      </c>
      <c r="F114" s="32" t="s">
        <v>24</v>
      </c>
      <c r="G114" s="7" t="s">
        <v>25</v>
      </c>
      <c r="H114" s="47">
        <v>20.0</v>
      </c>
      <c r="I114" s="12">
        <v>1.0</v>
      </c>
      <c r="J114" s="39">
        <v>0.5</v>
      </c>
      <c r="K114" s="10">
        <v>1.0</v>
      </c>
      <c r="L114" s="10">
        <v>1.0</v>
      </c>
      <c r="M114" s="10">
        <v>1.0</v>
      </c>
      <c r="N114" s="10">
        <v>1.0</v>
      </c>
      <c r="O114" s="13">
        <v>0.5</v>
      </c>
      <c r="P114" s="13">
        <v>1.0</v>
      </c>
      <c r="Q114" s="13">
        <v>1.0</v>
      </c>
      <c r="R114" s="13">
        <v>1.0</v>
      </c>
      <c r="S114" s="10">
        <v>1.0</v>
      </c>
      <c r="T114" s="13">
        <v>1.0</v>
      </c>
      <c r="U114" s="13">
        <v>1.0</v>
      </c>
      <c r="V114" s="13">
        <v>0.0</v>
      </c>
      <c r="W114" s="13">
        <v>0.0</v>
      </c>
      <c r="X114" s="13">
        <v>0.0</v>
      </c>
      <c r="Y114" s="13">
        <v>0.0</v>
      </c>
      <c r="Z114" s="13">
        <v>0.0</v>
      </c>
      <c r="AA114" s="14"/>
      <c r="AB114" s="14"/>
    </row>
    <row r="115" ht="18.0" customHeight="1">
      <c r="A115" s="70"/>
      <c r="B115" s="70"/>
      <c r="C115" s="71" t="s">
        <v>262</v>
      </c>
      <c r="D115" s="71" t="s">
        <v>263</v>
      </c>
      <c r="E115" s="71" t="s">
        <v>255</v>
      </c>
      <c r="F115" s="72" t="s">
        <v>28</v>
      </c>
      <c r="G115" s="71" t="s">
        <v>29</v>
      </c>
      <c r="H115" s="73">
        <v>20.0</v>
      </c>
      <c r="I115" s="19">
        <v>1.0</v>
      </c>
      <c r="J115" s="19">
        <v>1.0</v>
      </c>
      <c r="K115" s="19">
        <v>1.0</v>
      </c>
      <c r="L115" s="19">
        <v>1.0</v>
      </c>
      <c r="M115" s="19">
        <v>1.0</v>
      </c>
      <c r="N115" s="19">
        <v>1.0</v>
      </c>
      <c r="O115" s="45">
        <v>1.0</v>
      </c>
      <c r="P115" s="45">
        <v>1.0</v>
      </c>
      <c r="Q115" s="45">
        <v>1.0</v>
      </c>
      <c r="R115" s="45">
        <v>1.0</v>
      </c>
      <c r="S115" s="10">
        <v>1.0</v>
      </c>
      <c r="T115" s="45">
        <v>1.0</v>
      </c>
      <c r="U115" s="45">
        <v>1.0</v>
      </c>
      <c r="V115" s="45">
        <v>1.0</v>
      </c>
      <c r="W115" s="45">
        <v>1.0</v>
      </c>
      <c r="X115" s="45">
        <v>1.0</v>
      </c>
      <c r="Y115" s="45">
        <v>1.0</v>
      </c>
      <c r="Z115" s="45">
        <v>1.0</v>
      </c>
      <c r="AA115" s="46"/>
      <c r="AB115" s="46"/>
    </row>
    <row r="116">
      <c r="A116" s="15"/>
      <c r="B116" s="15"/>
      <c r="C116" s="7" t="s">
        <v>264</v>
      </c>
      <c r="D116" s="7" t="s">
        <v>265</v>
      </c>
      <c r="E116" s="7" t="s">
        <v>266</v>
      </c>
      <c r="F116" s="8" t="s">
        <v>11</v>
      </c>
      <c r="G116" s="7" t="s">
        <v>12</v>
      </c>
      <c r="H116" s="31">
        <v>21.0</v>
      </c>
      <c r="I116" s="10">
        <v>1.0</v>
      </c>
      <c r="J116" s="10">
        <v>1.0</v>
      </c>
      <c r="K116" s="10">
        <v>1.0</v>
      </c>
      <c r="L116" s="10">
        <v>1.0</v>
      </c>
      <c r="M116" s="10">
        <v>1.0</v>
      </c>
      <c r="N116" s="10">
        <v>1.0</v>
      </c>
      <c r="O116" s="10">
        <v>1.0</v>
      </c>
      <c r="P116" s="10">
        <v>1.0</v>
      </c>
      <c r="Q116" s="10">
        <v>1.0</v>
      </c>
      <c r="R116" s="10">
        <v>1.0</v>
      </c>
      <c r="S116" s="10">
        <v>1.0</v>
      </c>
      <c r="T116" s="10">
        <v>1.0</v>
      </c>
      <c r="U116" s="10">
        <v>1.0</v>
      </c>
      <c r="V116" s="10">
        <v>1.0</v>
      </c>
      <c r="W116" s="10">
        <v>1.0</v>
      </c>
      <c r="X116" s="10">
        <v>1.0</v>
      </c>
      <c r="Y116" s="10">
        <v>1.0</v>
      </c>
      <c r="Z116" s="10">
        <v>1.0</v>
      </c>
      <c r="AA116" s="10">
        <v>0.0</v>
      </c>
    </row>
    <row r="117">
      <c r="C117" s="7" t="s">
        <v>267</v>
      </c>
      <c r="D117" s="7" t="s">
        <v>268</v>
      </c>
      <c r="E117" s="7" t="s">
        <v>266</v>
      </c>
      <c r="F117" s="8" t="s">
        <v>11</v>
      </c>
      <c r="G117" s="7" t="s">
        <v>12</v>
      </c>
      <c r="H117" s="31">
        <v>21.0</v>
      </c>
      <c r="I117" s="10">
        <v>1.0</v>
      </c>
      <c r="J117" s="10">
        <v>1.0</v>
      </c>
      <c r="K117" s="10">
        <v>1.0</v>
      </c>
      <c r="L117" s="10">
        <v>1.0</v>
      </c>
      <c r="M117" s="10">
        <v>1.0</v>
      </c>
      <c r="N117" s="10">
        <v>1.0</v>
      </c>
      <c r="O117" s="10">
        <v>1.0</v>
      </c>
      <c r="P117" s="10">
        <v>1.0</v>
      </c>
      <c r="Q117" s="10">
        <v>1.0</v>
      </c>
      <c r="R117" s="10">
        <v>1.0</v>
      </c>
      <c r="S117" s="10">
        <v>1.0</v>
      </c>
      <c r="T117" s="10">
        <v>1.0</v>
      </c>
      <c r="U117" s="10">
        <v>1.0</v>
      </c>
      <c r="V117" s="10">
        <v>1.0</v>
      </c>
      <c r="W117" s="10">
        <v>1.0</v>
      </c>
      <c r="X117" s="10">
        <v>0.0</v>
      </c>
      <c r="Y117" s="10">
        <v>0.0</v>
      </c>
      <c r="Z117" s="10">
        <v>0.0</v>
      </c>
      <c r="AA117" s="10">
        <v>0.0</v>
      </c>
    </row>
    <row r="118">
      <c r="C118" s="7" t="s">
        <v>269</v>
      </c>
      <c r="D118" s="7" t="s">
        <v>270</v>
      </c>
      <c r="E118" s="7" t="s">
        <v>266</v>
      </c>
      <c r="F118" s="8" t="s">
        <v>28</v>
      </c>
      <c r="G118" s="7" t="s">
        <v>29</v>
      </c>
      <c r="H118" s="31">
        <v>21.0</v>
      </c>
      <c r="I118" s="10">
        <v>1.0</v>
      </c>
      <c r="J118" s="10">
        <v>1.0</v>
      </c>
      <c r="K118" s="10">
        <v>1.0</v>
      </c>
      <c r="L118" s="10">
        <v>1.0</v>
      </c>
      <c r="M118" s="10">
        <v>1.0</v>
      </c>
      <c r="N118" s="10">
        <v>1.0</v>
      </c>
      <c r="O118" s="10">
        <v>1.0</v>
      </c>
      <c r="P118" s="10">
        <v>1.0</v>
      </c>
      <c r="Q118" s="10">
        <v>1.0</v>
      </c>
      <c r="R118" s="10">
        <v>1.0</v>
      </c>
      <c r="S118" s="10">
        <v>1.0</v>
      </c>
      <c r="T118" s="10">
        <v>1.0</v>
      </c>
      <c r="U118" s="10">
        <v>1.0</v>
      </c>
      <c r="V118" s="10">
        <v>1.0</v>
      </c>
      <c r="W118" s="10">
        <v>1.0</v>
      </c>
      <c r="X118" s="10">
        <v>1.0</v>
      </c>
      <c r="Y118" s="10">
        <v>1.0</v>
      </c>
      <c r="Z118" s="10">
        <v>1.0</v>
      </c>
      <c r="AA118" s="10">
        <v>1.0</v>
      </c>
    </row>
    <row r="119">
      <c r="C119" s="7" t="s">
        <v>271</v>
      </c>
      <c r="D119" s="7" t="s">
        <v>272</v>
      </c>
      <c r="E119" s="7" t="s">
        <v>266</v>
      </c>
      <c r="F119" s="8" t="s">
        <v>11</v>
      </c>
      <c r="G119" s="7" t="s">
        <v>12</v>
      </c>
      <c r="H119" s="31">
        <v>21.0</v>
      </c>
      <c r="I119" s="10">
        <v>1.0</v>
      </c>
      <c r="J119" s="10">
        <v>1.0</v>
      </c>
      <c r="K119" s="10">
        <v>1.0</v>
      </c>
      <c r="L119" s="10">
        <v>1.0</v>
      </c>
      <c r="M119" s="10">
        <v>0.5</v>
      </c>
      <c r="N119" s="10">
        <v>1.0</v>
      </c>
      <c r="O119" s="10">
        <v>1.0</v>
      </c>
      <c r="P119" s="10">
        <v>1.0</v>
      </c>
      <c r="Q119" s="10">
        <v>1.0</v>
      </c>
      <c r="R119" s="10">
        <v>1.0</v>
      </c>
      <c r="S119" s="10">
        <v>1.0</v>
      </c>
      <c r="T119" s="10">
        <v>1.0</v>
      </c>
      <c r="U119" s="10">
        <v>1.0</v>
      </c>
      <c r="V119" s="10">
        <v>1.0</v>
      </c>
      <c r="W119" s="10">
        <v>1.0</v>
      </c>
      <c r="X119" s="10">
        <v>0.5</v>
      </c>
      <c r="Y119" s="10">
        <v>0.5</v>
      </c>
      <c r="Z119" s="10">
        <v>1.0</v>
      </c>
      <c r="AA119" s="10">
        <v>0.0</v>
      </c>
    </row>
    <row r="120" ht="18.0" customHeight="1">
      <c r="C120" s="7" t="s">
        <v>273</v>
      </c>
      <c r="D120" s="7" t="s">
        <v>274</v>
      </c>
      <c r="E120" s="7" t="s">
        <v>266</v>
      </c>
      <c r="F120" s="8" t="s">
        <v>11</v>
      </c>
      <c r="G120" s="7" t="s">
        <v>12</v>
      </c>
      <c r="H120" s="31">
        <v>21.0</v>
      </c>
      <c r="I120" s="10">
        <v>1.0</v>
      </c>
      <c r="J120" s="10">
        <v>1.0</v>
      </c>
      <c r="K120" s="10">
        <v>1.0</v>
      </c>
      <c r="L120" s="10">
        <v>1.0</v>
      </c>
      <c r="M120" s="10">
        <v>1.0</v>
      </c>
      <c r="N120" s="10">
        <v>1.0</v>
      </c>
      <c r="O120" s="10">
        <v>1.0</v>
      </c>
      <c r="P120" s="10">
        <v>1.0</v>
      </c>
      <c r="Q120" s="10">
        <v>1.0</v>
      </c>
      <c r="R120" s="10">
        <v>1.0</v>
      </c>
      <c r="S120" s="10">
        <v>1.0</v>
      </c>
      <c r="T120" s="10">
        <v>1.0</v>
      </c>
      <c r="U120" s="10">
        <v>1.0</v>
      </c>
      <c r="V120" s="10">
        <v>1.0</v>
      </c>
      <c r="W120" s="10">
        <v>1.0</v>
      </c>
      <c r="X120" s="10">
        <v>1.0</v>
      </c>
      <c r="Y120" s="10">
        <v>1.0</v>
      </c>
      <c r="Z120" s="10">
        <v>1.0</v>
      </c>
      <c r="AA120" s="10">
        <v>0.5</v>
      </c>
    </row>
    <row r="121">
      <c r="C121" s="7" t="s">
        <v>275</v>
      </c>
      <c r="D121" s="7" t="s">
        <v>276</v>
      </c>
      <c r="E121" s="7" t="s">
        <v>266</v>
      </c>
      <c r="F121" s="8" t="s">
        <v>11</v>
      </c>
      <c r="G121" s="7" t="s">
        <v>29</v>
      </c>
      <c r="H121" s="31">
        <v>21.0</v>
      </c>
      <c r="I121" s="10">
        <v>1.0</v>
      </c>
      <c r="J121" s="10">
        <v>1.0</v>
      </c>
      <c r="K121" s="10">
        <v>1.0</v>
      </c>
      <c r="L121" s="10">
        <v>1.0</v>
      </c>
      <c r="M121" s="10">
        <v>1.0</v>
      </c>
      <c r="N121" s="10">
        <v>1.0</v>
      </c>
      <c r="O121" s="10">
        <v>0.5</v>
      </c>
      <c r="P121" s="10">
        <v>1.0</v>
      </c>
      <c r="Q121" s="10">
        <v>1.0</v>
      </c>
      <c r="R121" s="10">
        <v>1.0</v>
      </c>
      <c r="S121" s="10">
        <v>1.0</v>
      </c>
      <c r="T121" s="10">
        <v>1.0</v>
      </c>
      <c r="U121" s="10">
        <v>1.0</v>
      </c>
      <c r="V121" s="10">
        <v>1.0</v>
      </c>
      <c r="W121" s="10">
        <v>1.0</v>
      </c>
      <c r="X121" s="10">
        <v>1.0</v>
      </c>
      <c r="Y121" s="10">
        <v>1.0</v>
      </c>
      <c r="Z121" s="10">
        <v>1.0</v>
      </c>
      <c r="AA121" s="10">
        <v>0.0</v>
      </c>
    </row>
    <row r="122">
      <c r="C122" s="16" t="s">
        <v>277</v>
      </c>
      <c r="D122" s="16" t="s">
        <v>278</v>
      </c>
      <c r="E122" s="16" t="s">
        <v>266</v>
      </c>
      <c r="F122" s="17" t="s">
        <v>11</v>
      </c>
      <c r="G122" s="16" t="s">
        <v>12</v>
      </c>
      <c r="H122" s="33">
        <v>21.0</v>
      </c>
      <c r="I122" s="19">
        <v>1.0</v>
      </c>
      <c r="J122" s="19">
        <v>0.5</v>
      </c>
      <c r="K122" s="19">
        <v>1.0</v>
      </c>
      <c r="L122" s="10">
        <v>1.0</v>
      </c>
      <c r="M122" s="10">
        <v>1.0</v>
      </c>
      <c r="N122" s="10">
        <v>1.0</v>
      </c>
      <c r="O122" s="10">
        <v>1.0</v>
      </c>
      <c r="P122" s="10">
        <v>0.5</v>
      </c>
      <c r="Q122" s="10">
        <v>1.0</v>
      </c>
      <c r="R122" s="10">
        <v>1.0</v>
      </c>
      <c r="S122" s="10">
        <v>0.5</v>
      </c>
      <c r="T122" s="10">
        <v>1.0</v>
      </c>
      <c r="U122" s="10">
        <v>1.0</v>
      </c>
      <c r="V122" s="10">
        <v>1.0</v>
      </c>
      <c r="W122" s="10">
        <v>1.0</v>
      </c>
      <c r="X122" s="10">
        <v>1.0</v>
      </c>
      <c r="Y122" s="10">
        <v>1.0</v>
      </c>
      <c r="Z122" s="10">
        <v>1.0</v>
      </c>
      <c r="AA122" s="10">
        <v>0.5</v>
      </c>
    </row>
    <row r="123">
      <c r="A123" s="15"/>
      <c r="B123" s="15"/>
      <c r="C123" s="7" t="s">
        <v>279</v>
      </c>
      <c r="D123" s="7" t="s">
        <v>280</v>
      </c>
      <c r="E123" s="7" t="s">
        <v>281</v>
      </c>
      <c r="F123" s="8" t="s">
        <v>11</v>
      </c>
      <c r="G123" s="7" t="s">
        <v>12</v>
      </c>
      <c r="H123" s="51">
        <v>22.0</v>
      </c>
      <c r="I123" s="10">
        <v>1.0</v>
      </c>
      <c r="J123" s="10">
        <v>0.5</v>
      </c>
      <c r="K123" s="10">
        <v>1.0</v>
      </c>
      <c r="L123" s="64">
        <v>1.0</v>
      </c>
      <c r="M123" s="64">
        <v>1.0</v>
      </c>
      <c r="N123" s="64">
        <v>1.0</v>
      </c>
      <c r="O123" s="64">
        <v>1.0</v>
      </c>
      <c r="P123" s="64">
        <v>0.5</v>
      </c>
      <c r="Q123" s="64">
        <v>1.0</v>
      </c>
      <c r="R123" s="64">
        <v>1.0</v>
      </c>
      <c r="S123" s="64">
        <v>1.0</v>
      </c>
      <c r="T123" s="64">
        <v>1.0</v>
      </c>
      <c r="U123" s="64">
        <v>1.0</v>
      </c>
      <c r="V123" s="64">
        <v>1.0</v>
      </c>
      <c r="W123" s="64">
        <v>1.0</v>
      </c>
      <c r="X123" s="64">
        <v>1.0</v>
      </c>
      <c r="Y123" s="64">
        <v>1.0</v>
      </c>
      <c r="Z123" s="64">
        <v>1.0</v>
      </c>
      <c r="AA123" s="64">
        <v>0.0</v>
      </c>
      <c r="AB123" s="66"/>
    </row>
    <row r="124">
      <c r="C124" s="7" t="s">
        <v>282</v>
      </c>
      <c r="D124" s="7" t="s">
        <v>283</v>
      </c>
      <c r="E124" s="7" t="s">
        <v>281</v>
      </c>
      <c r="F124" s="8" t="s">
        <v>11</v>
      </c>
      <c r="G124" s="7" t="s">
        <v>12</v>
      </c>
      <c r="H124" s="51">
        <v>22.0</v>
      </c>
      <c r="I124" s="10">
        <v>1.0</v>
      </c>
      <c r="J124" s="10">
        <v>0.5</v>
      </c>
      <c r="K124" s="10">
        <v>1.0</v>
      </c>
      <c r="L124" s="10">
        <v>1.0</v>
      </c>
      <c r="M124" s="10">
        <v>1.0</v>
      </c>
      <c r="N124" s="10">
        <v>1.0</v>
      </c>
      <c r="O124" s="10">
        <v>1.0</v>
      </c>
      <c r="P124" s="10">
        <v>0.5</v>
      </c>
      <c r="Q124" s="10">
        <v>1.0</v>
      </c>
      <c r="R124" s="10">
        <v>1.0</v>
      </c>
      <c r="S124" s="10">
        <v>1.0</v>
      </c>
      <c r="T124" s="10">
        <v>1.0</v>
      </c>
      <c r="U124" s="10">
        <v>1.0</v>
      </c>
      <c r="V124" s="10">
        <v>1.0</v>
      </c>
      <c r="W124" s="10">
        <v>1.0</v>
      </c>
      <c r="X124" s="10">
        <v>1.0</v>
      </c>
      <c r="Y124" s="10">
        <v>1.0</v>
      </c>
      <c r="Z124" s="10">
        <v>1.0</v>
      </c>
      <c r="AA124" s="10">
        <v>0.0</v>
      </c>
    </row>
    <row r="125">
      <c r="C125" s="7" t="s">
        <v>284</v>
      </c>
      <c r="D125" s="7" t="s">
        <v>285</v>
      </c>
      <c r="E125" s="7" t="s">
        <v>281</v>
      </c>
      <c r="F125" s="8" t="s">
        <v>11</v>
      </c>
      <c r="G125" s="7" t="s">
        <v>12</v>
      </c>
      <c r="H125" s="51">
        <v>22.0</v>
      </c>
      <c r="I125" s="10">
        <v>1.0</v>
      </c>
      <c r="J125" s="10">
        <v>0.5</v>
      </c>
      <c r="K125" s="10">
        <v>1.0</v>
      </c>
      <c r="L125" s="10">
        <v>1.0</v>
      </c>
      <c r="M125" s="10">
        <v>1.0</v>
      </c>
      <c r="N125" s="10">
        <v>1.0</v>
      </c>
      <c r="O125" s="10">
        <v>1.0</v>
      </c>
      <c r="P125" s="10">
        <v>1.0</v>
      </c>
      <c r="Q125" s="10">
        <v>1.0</v>
      </c>
      <c r="R125" s="10">
        <v>1.0</v>
      </c>
      <c r="S125" s="10">
        <v>1.0</v>
      </c>
      <c r="T125" s="10">
        <v>1.0</v>
      </c>
      <c r="U125" s="10">
        <v>1.0</v>
      </c>
      <c r="V125" s="10">
        <v>1.0</v>
      </c>
      <c r="W125" s="10">
        <v>0.5</v>
      </c>
      <c r="X125" s="10">
        <v>1.0</v>
      </c>
      <c r="Y125" s="10">
        <v>1.0</v>
      </c>
      <c r="Z125" s="10">
        <v>1.0</v>
      </c>
      <c r="AA125" s="10">
        <v>1.0</v>
      </c>
    </row>
    <row r="126">
      <c r="C126" s="7" t="s">
        <v>286</v>
      </c>
      <c r="D126" s="7" t="s">
        <v>287</v>
      </c>
      <c r="E126" s="7" t="s">
        <v>281</v>
      </c>
      <c r="F126" s="8" t="s">
        <v>11</v>
      </c>
      <c r="G126" s="7" t="s">
        <v>12</v>
      </c>
      <c r="H126" s="51">
        <v>22.0</v>
      </c>
      <c r="I126" s="10">
        <v>1.0</v>
      </c>
      <c r="J126" s="10">
        <v>1.0</v>
      </c>
      <c r="K126" s="10">
        <v>1.0</v>
      </c>
      <c r="L126" s="10">
        <v>1.0</v>
      </c>
      <c r="M126" s="10">
        <v>1.0</v>
      </c>
      <c r="N126" s="10">
        <v>1.0</v>
      </c>
      <c r="O126" s="10">
        <v>1.0</v>
      </c>
      <c r="P126" s="10">
        <v>1.0</v>
      </c>
      <c r="Q126" s="10">
        <v>1.0</v>
      </c>
      <c r="R126" s="10">
        <v>1.0</v>
      </c>
      <c r="S126" s="10">
        <v>1.0</v>
      </c>
      <c r="T126" s="10">
        <v>1.0</v>
      </c>
      <c r="U126" s="10">
        <v>1.0</v>
      </c>
      <c r="V126" s="10">
        <v>1.0</v>
      </c>
      <c r="W126" s="10">
        <v>1.0</v>
      </c>
      <c r="X126" s="10">
        <v>1.0</v>
      </c>
      <c r="Y126" s="10">
        <v>0.5</v>
      </c>
      <c r="Z126" s="10">
        <v>1.0</v>
      </c>
      <c r="AA126" s="10">
        <v>1.0</v>
      </c>
    </row>
    <row r="127">
      <c r="C127" s="7" t="s">
        <v>288</v>
      </c>
      <c r="D127" s="7" t="s">
        <v>289</v>
      </c>
      <c r="E127" s="7" t="s">
        <v>281</v>
      </c>
      <c r="F127" s="8" t="s">
        <v>28</v>
      </c>
      <c r="G127" s="7" t="s">
        <v>29</v>
      </c>
      <c r="H127" s="51">
        <v>22.0</v>
      </c>
      <c r="I127" s="10">
        <v>1.0</v>
      </c>
      <c r="J127" s="10">
        <v>1.0</v>
      </c>
      <c r="K127" s="10">
        <v>1.0</v>
      </c>
      <c r="L127" s="10">
        <v>1.0</v>
      </c>
      <c r="M127" s="10">
        <v>1.0</v>
      </c>
      <c r="N127" s="10">
        <v>1.0</v>
      </c>
      <c r="O127" s="10">
        <v>1.0</v>
      </c>
      <c r="P127" s="10">
        <v>1.0</v>
      </c>
      <c r="Q127" s="10">
        <v>1.0</v>
      </c>
      <c r="R127" s="10">
        <v>1.0</v>
      </c>
      <c r="S127" s="10">
        <v>1.0</v>
      </c>
      <c r="T127" s="10">
        <v>1.0</v>
      </c>
      <c r="U127" s="10">
        <v>1.0</v>
      </c>
      <c r="V127" s="10">
        <v>1.0</v>
      </c>
      <c r="W127" s="10">
        <v>1.0</v>
      </c>
      <c r="X127" s="10">
        <v>1.0</v>
      </c>
      <c r="Y127" s="10">
        <v>1.0</v>
      </c>
      <c r="Z127" s="10">
        <v>1.0</v>
      </c>
      <c r="AA127" s="10">
        <v>1.0</v>
      </c>
    </row>
    <row r="128">
      <c r="C128" s="16" t="s">
        <v>290</v>
      </c>
      <c r="D128" s="16" t="s">
        <v>291</v>
      </c>
      <c r="E128" s="16" t="s">
        <v>281</v>
      </c>
      <c r="F128" s="17" t="s">
        <v>28</v>
      </c>
      <c r="G128" s="16" t="s">
        <v>29</v>
      </c>
      <c r="H128" s="52">
        <v>22.0</v>
      </c>
      <c r="I128" s="19">
        <v>1.0</v>
      </c>
      <c r="J128" s="19">
        <v>1.0</v>
      </c>
      <c r="K128" s="19">
        <v>1.0</v>
      </c>
      <c r="L128" s="10">
        <v>1.0</v>
      </c>
      <c r="M128" s="10">
        <v>1.0</v>
      </c>
      <c r="N128" s="10">
        <v>1.0</v>
      </c>
      <c r="O128" s="10">
        <v>1.0</v>
      </c>
      <c r="P128" s="10">
        <v>1.0</v>
      </c>
      <c r="Q128" s="10">
        <v>1.0</v>
      </c>
      <c r="R128" s="10">
        <v>1.0</v>
      </c>
      <c r="S128" s="10">
        <v>0.0</v>
      </c>
      <c r="T128" s="10">
        <v>1.0</v>
      </c>
      <c r="U128" s="10"/>
    </row>
    <row r="129">
      <c r="A129" s="15"/>
      <c r="B129" s="15"/>
      <c r="C129" s="7" t="s">
        <v>292</v>
      </c>
      <c r="D129" s="7" t="s">
        <v>293</v>
      </c>
      <c r="E129" s="7" t="s">
        <v>294</v>
      </c>
      <c r="F129" s="8" t="s">
        <v>28</v>
      </c>
      <c r="G129" s="7" t="s">
        <v>29</v>
      </c>
      <c r="H129" s="38">
        <v>23.0</v>
      </c>
      <c r="I129" s="10">
        <v>1.0</v>
      </c>
      <c r="J129" s="10">
        <v>1.0</v>
      </c>
      <c r="K129" s="10">
        <v>1.0</v>
      </c>
      <c r="L129" s="64">
        <v>1.0</v>
      </c>
      <c r="M129" s="64">
        <v>1.0</v>
      </c>
      <c r="N129" s="64">
        <v>1.0</v>
      </c>
      <c r="O129" s="64">
        <v>1.0</v>
      </c>
      <c r="P129" s="64">
        <v>1.0</v>
      </c>
      <c r="Q129" s="64">
        <v>1.0</v>
      </c>
      <c r="R129" s="64">
        <v>1.0</v>
      </c>
      <c r="S129" s="64">
        <v>1.0</v>
      </c>
      <c r="T129" s="64">
        <v>1.0</v>
      </c>
      <c r="U129" s="64">
        <v>1.0</v>
      </c>
      <c r="V129" s="64">
        <v>1.0</v>
      </c>
      <c r="W129" s="64">
        <v>1.0</v>
      </c>
      <c r="X129" s="64">
        <v>1.0</v>
      </c>
      <c r="Y129" s="64">
        <v>1.0</v>
      </c>
      <c r="Z129" s="64">
        <v>1.0</v>
      </c>
      <c r="AA129" s="64">
        <v>1.0</v>
      </c>
      <c r="AB129" s="66"/>
    </row>
    <row r="130">
      <c r="C130" s="7" t="s">
        <v>295</v>
      </c>
      <c r="D130" s="7" t="s">
        <v>296</v>
      </c>
      <c r="E130" s="7" t="s">
        <v>294</v>
      </c>
      <c r="F130" s="8" t="s">
        <v>28</v>
      </c>
      <c r="G130" s="7" t="s">
        <v>29</v>
      </c>
      <c r="H130" s="38">
        <v>23.0</v>
      </c>
      <c r="I130" s="10">
        <v>1.0</v>
      </c>
      <c r="J130" s="10">
        <v>1.0</v>
      </c>
      <c r="K130" s="10">
        <v>1.0</v>
      </c>
      <c r="L130" s="10">
        <v>1.0</v>
      </c>
      <c r="M130" s="10">
        <v>1.0</v>
      </c>
      <c r="N130" s="10">
        <v>1.0</v>
      </c>
      <c r="O130" s="10">
        <v>0.5</v>
      </c>
      <c r="P130" s="10">
        <v>1.0</v>
      </c>
      <c r="Q130" s="10">
        <v>1.0</v>
      </c>
      <c r="R130" s="10">
        <v>1.0</v>
      </c>
      <c r="S130" s="10">
        <v>1.0</v>
      </c>
      <c r="T130" s="10">
        <v>1.0</v>
      </c>
      <c r="U130" s="10">
        <v>0.5</v>
      </c>
      <c r="V130" s="10">
        <v>1.0</v>
      </c>
      <c r="W130" s="10">
        <v>1.0</v>
      </c>
      <c r="X130" s="10">
        <v>1.0</v>
      </c>
      <c r="Y130" s="10">
        <v>1.0</v>
      </c>
      <c r="Z130" s="10">
        <v>1.0</v>
      </c>
      <c r="AA130" s="10">
        <v>1.0</v>
      </c>
    </row>
    <row r="131">
      <c r="C131" s="7" t="s">
        <v>297</v>
      </c>
      <c r="D131" s="7" t="s">
        <v>298</v>
      </c>
      <c r="E131" s="7" t="s">
        <v>294</v>
      </c>
      <c r="F131" s="8" t="s">
        <v>28</v>
      </c>
      <c r="G131" s="7" t="s">
        <v>29</v>
      </c>
      <c r="H131" s="38">
        <v>23.0</v>
      </c>
      <c r="I131" s="10">
        <v>1.0</v>
      </c>
      <c r="J131" s="10">
        <v>1.0</v>
      </c>
      <c r="K131" s="10">
        <v>1.0</v>
      </c>
      <c r="L131" s="10">
        <v>1.0</v>
      </c>
      <c r="M131" s="10">
        <v>1.0</v>
      </c>
      <c r="N131" s="10">
        <v>1.0</v>
      </c>
      <c r="O131" s="10">
        <v>1.0</v>
      </c>
      <c r="P131" s="10">
        <v>1.0</v>
      </c>
      <c r="Q131" s="10">
        <v>1.0</v>
      </c>
      <c r="R131" s="10">
        <v>1.0</v>
      </c>
      <c r="S131" s="10">
        <v>1.0</v>
      </c>
      <c r="T131" s="10">
        <v>1.0</v>
      </c>
      <c r="U131" s="10">
        <v>1.0</v>
      </c>
      <c r="V131" s="10">
        <v>1.0</v>
      </c>
      <c r="W131" s="10">
        <v>0.5</v>
      </c>
      <c r="X131" s="10">
        <v>1.0</v>
      </c>
      <c r="Y131" s="10">
        <v>1.0</v>
      </c>
      <c r="Z131" s="10">
        <v>1.0</v>
      </c>
      <c r="AA131" s="10">
        <v>1.0</v>
      </c>
    </row>
    <row r="132">
      <c r="C132" s="37" t="s">
        <v>299</v>
      </c>
      <c r="D132" s="7" t="s">
        <v>300</v>
      </c>
      <c r="E132" s="7" t="s">
        <v>294</v>
      </c>
      <c r="F132" s="74" t="s">
        <v>24</v>
      </c>
      <c r="G132" s="13" t="s">
        <v>25</v>
      </c>
      <c r="H132" s="38">
        <v>23.0</v>
      </c>
      <c r="I132" s="12">
        <v>1.0</v>
      </c>
      <c r="J132" s="12">
        <v>1.0</v>
      </c>
      <c r="K132" s="13">
        <v>1.0</v>
      </c>
      <c r="L132" s="10">
        <v>1.0</v>
      </c>
      <c r="M132" s="10">
        <v>1.0</v>
      </c>
      <c r="N132" s="10">
        <v>1.0</v>
      </c>
      <c r="O132" s="10">
        <v>0.5</v>
      </c>
      <c r="P132" s="10">
        <v>1.0</v>
      </c>
      <c r="Q132" s="10">
        <v>1.0</v>
      </c>
      <c r="R132" s="10">
        <v>1.0</v>
      </c>
      <c r="S132" s="10">
        <v>1.0</v>
      </c>
      <c r="T132" s="10">
        <v>1.0</v>
      </c>
      <c r="U132" s="10">
        <v>1.0</v>
      </c>
      <c r="V132" s="10">
        <v>1.0</v>
      </c>
      <c r="W132" s="10">
        <v>1.0</v>
      </c>
      <c r="X132" s="10">
        <v>1.0</v>
      </c>
      <c r="Y132" s="10">
        <v>1.0</v>
      </c>
      <c r="Z132" s="10">
        <v>1.0</v>
      </c>
      <c r="AA132" s="10">
        <v>1.0</v>
      </c>
    </row>
    <row r="133">
      <c r="C133" s="7" t="s">
        <v>301</v>
      </c>
      <c r="D133" s="7" t="s">
        <v>302</v>
      </c>
      <c r="E133" s="7" t="s">
        <v>294</v>
      </c>
      <c r="F133" s="8" t="s">
        <v>28</v>
      </c>
      <c r="G133" s="7" t="s">
        <v>29</v>
      </c>
      <c r="H133" s="38">
        <v>23.0</v>
      </c>
      <c r="I133" s="10">
        <v>1.0</v>
      </c>
      <c r="J133" s="10">
        <v>1.0</v>
      </c>
      <c r="K133" s="10">
        <v>1.0</v>
      </c>
      <c r="L133" s="13">
        <v>1.0</v>
      </c>
      <c r="M133" s="13">
        <v>1.0</v>
      </c>
      <c r="N133" s="13">
        <v>1.0</v>
      </c>
      <c r="O133" s="13">
        <v>1.0</v>
      </c>
      <c r="P133" s="13">
        <v>1.0</v>
      </c>
      <c r="Q133" s="13">
        <v>1.0</v>
      </c>
      <c r="R133" s="13">
        <v>1.0</v>
      </c>
      <c r="S133" s="13">
        <v>1.0</v>
      </c>
      <c r="T133" s="13">
        <v>1.0</v>
      </c>
      <c r="U133" s="10">
        <v>1.0</v>
      </c>
      <c r="V133" s="13">
        <v>1.0</v>
      </c>
      <c r="W133" s="13">
        <v>1.0</v>
      </c>
      <c r="X133" s="13">
        <v>1.0</v>
      </c>
      <c r="Y133" s="13">
        <v>1.0</v>
      </c>
      <c r="Z133" s="13">
        <v>1.0</v>
      </c>
      <c r="AA133" s="13">
        <v>1.0</v>
      </c>
      <c r="AB133" s="14"/>
    </row>
    <row r="134">
      <c r="C134" s="7" t="s">
        <v>303</v>
      </c>
      <c r="D134" s="7" t="s">
        <v>304</v>
      </c>
      <c r="E134" s="7" t="s">
        <v>294</v>
      </c>
      <c r="F134" s="8" t="s">
        <v>24</v>
      </c>
      <c r="G134" s="7" t="s">
        <v>93</v>
      </c>
      <c r="H134" s="38">
        <v>23.0</v>
      </c>
      <c r="I134" s="10">
        <v>1.0</v>
      </c>
      <c r="J134" s="10">
        <v>1.0</v>
      </c>
      <c r="K134" s="10">
        <v>1.0</v>
      </c>
      <c r="L134" s="10">
        <v>1.0</v>
      </c>
      <c r="M134" s="10">
        <v>1.0</v>
      </c>
      <c r="N134" s="10">
        <v>0.5</v>
      </c>
      <c r="O134" s="10">
        <v>1.0</v>
      </c>
      <c r="P134" s="10">
        <v>1.0</v>
      </c>
      <c r="Q134" s="10">
        <v>1.0</v>
      </c>
      <c r="R134" s="10">
        <v>1.0</v>
      </c>
      <c r="S134" s="10">
        <v>1.0</v>
      </c>
      <c r="T134" s="10">
        <v>1.0</v>
      </c>
      <c r="U134" s="10">
        <v>1.0</v>
      </c>
      <c r="V134" s="10">
        <v>1.0</v>
      </c>
      <c r="W134" s="10">
        <v>1.0</v>
      </c>
      <c r="X134" s="10">
        <v>1.0</v>
      </c>
      <c r="Y134" s="10">
        <v>1.0</v>
      </c>
      <c r="Z134" s="10">
        <v>0.5</v>
      </c>
      <c r="AA134" s="75">
        <f>AA142</f>
        <v>1</v>
      </c>
    </row>
    <row r="135">
      <c r="C135" s="16" t="s">
        <v>305</v>
      </c>
      <c r="D135" s="16" t="s">
        <v>306</v>
      </c>
      <c r="E135" s="16" t="s">
        <v>294</v>
      </c>
      <c r="F135" s="17" t="s">
        <v>11</v>
      </c>
      <c r="G135" s="16" t="s">
        <v>12</v>
      </c>
      <c r="H135" s="42">
        <v>23.0</v>
      </c>
      <c r="I135" s="19">
        <v>0.0</v>
      </c>
      <c r="J135" s="19">
        <v>1.0</v>
      </c>
      <c r="K135" s="19">
        <v>1.0</v>
      </c>
      <c r="L135" s="10">
        <v>0.5</v>
      </c>
      <c r="M135" s="10">
        <v>1.0</v>
      </c>
      <c r="N135" s="10">
        <v>0.5</v>
      </c>
      <c r="O135" s="10">
        <v>1.0</v>
      </c>
      <c r="P135" s="10">
        <v>1.0</v>
      </c>
      <c r="Q135" s="10">
        <v>1.0</v>
      </c>
      <c r="R135" s="10">
        <v>1.0</v>
      </c>
      <c r="S135" s="10">
        <v>0.5</v>
      </c>
      <c r="T135" s="10">
        <v>1.0</v>
      </c>
      <c r="U135" s="10">
        <v>1.0</v>
      </c>
    </row>
    <row r="136">
      <c r="A136" s="15"/>
      <c r="B136" s="15"/>
      <c r="C136" s="7" t="s">
        <v>307</v>
      </c>
      <c r="D136" s="7" t="s">
        <v>308</v>
      </c>
      <c r="E136" s="7" t="s">
        <v>309</v>
      </c>
      <c r="F136" s="8" t="s">
        <v>24</v>
      </c>
      <c r="G136" s="7" t="s">
        <v>25</v>
      </c>
      <c r="H136" s="9">
        <v>24.0</v>
      </c>
      <c r="I136" s="10">
        <v>1.0</v>
      </c>
      <c r="J136" s="10">
        <v>1.0</v>
      </c>
      <c r="K136" s="10">
        <v>0.0</v>
      </c>
      <c r="L136" s="64">
        <v>1.0</v>
      </c>
      <c r="M136" s="64">
        <v>1.0</v>
      </c>
      <c r="N136" s="64">
        <v>1.0</v>
      </c>
      <c r="O136" s="64">
        <v>1.0</v>
      </c>
      <c r="P136" s="64">
        <v>1.0</v>
      </c>
      <c r="Q136" s="64">
        <v>1.0</v>
      </c>
      <c r="R136" s="64">
        <v>1.0</v>
      </c>
      <c r="S136" s="64">
        <v>1.0</v>
      </c>
      <c r="T136" s="64">
        <v>1.0</v>
      </c>
      <c r="U136" s="64">
        <v>1.0</v>
      </c>
      <c r="V136" s="64">
        <v>1.0</v>
      </c>
      <c r="W136" s="64">
        <v>0.0</v>
      </c>
      <c r="X136" s="64">
        <v>0.0</v>
      </c>
      <c r="Y136" s="64">
        <v>0.0</v>
      </c>
      <c r="Z136" s="64">
        <v>0.0</v>
      </c>
      <c r="AA136" s="64">
        <v>0.0</v>
      </c>
      <c r="AB136" s="66"/>
    </row>
    <row r="137">
      <c r="C137" s="7" t="s">
        <v>310</v>
      </c>
      <c r="D137" s="7" t="s">
        <v>311</v>
      </c>
      <c r="E137" s="7" t="s">
        <v>309</v>
      </c>
      <c r="F137" s="8" t="s">
        <v>28</v>
      </c>
      <c r="G137" s="7" t="s">
        <v>12</v>
      </c>
      <c r="H137" s="9">
        <v>24.0</v>
      </c>
      <c r="I137" s="10">
        <v>1.0</v>
      </c>
      <c r="J137" s="10">
        <v>1.0</v>
      </c>
      <c r="K137" s="10">
        <v>1.0</v>
      </c>
      <c r="L137" s="10">
        <v>1.0</v>
      </c>
      <c r="M137" s="10">
        <v>1.0</v>
      </c>
      <c r="N137" s="10">
        <v>1.0</v>
      </c>
      <c r="O137" s="10">
        <v>1.0</v>
      </c>
      <c r="P137" s="10">
        <v>1.0</v>
      </c>
      <c r="Q137" s="10">
        <v>1.0</v>
      </c>
      <c r="R137" s="10">
        <v>0.5</v>
      </c>
      <c r="S137" s="10">
        <v>1.0</v>
      </c>
      <c r="T137" s="10">
        <v>1.0</v>
      </c>
      <c r="U137" s="10">
        <v>1.0</v>
      </c>
      <c r="V137" s="10">
        <v>1.0</v>
      </c>
      <c r="W137" s="10">
        <v>1.0</v>
      </c>
      <c r="X137" s="10">
        <v>0.0</v>
      </c>
      <c r="Y137" s="10">
        <v>1.0</v>
      </c>
      <c r="Z137" s="10">
        <v>1.0</v>
      </c>
      <c r="AA137" s="10">
        <v>0.0</v>
      </c>
    </row>
    <row r="138">
      <c r="C138" s="7" t="s">
        <v>312</v>
      </c>
      <c r="D138" s="7" t="s">
        <v>313</v>
      </c>
      <c r="E138" s="7" t="s">
        <v>309</v>
      </c>
      <c r="F138" s="8" t="s">
        <v>24</v>
      </c>
      <c r="G138" s="7" t="s">
        <v>25</v>
      </c>
      <c r="H138" s="9">
        <v>24.0</v>
      </c>
      <c r="I138" s="10">
        <v>1.0</v>
      </c>
      <c r="J138" s="10">
        <v>0.5</v>
      </c>
      <c r="K138" s="10">
        <v>1.0</v>
      </c>
      <c r="L138" s="10">
        <v>1.0</v>
      </c>
      <c r="M138" s="10">
        <v>1.0</v>
      </c>
      <c r="N138" s="10">
        <v>1.0</v>
      </c>
      <c r="O138" s="10">
        <v>1.0</v>
      </c>
      <c r="P138" s="10">
        <v>0.0</v>
      </c>
      <c r="Q138" s="10">
        <v>1.0</v>
      </c>
      <c r="R138" s="10">
        <v>1.0</v>
      </c>
      <c r="S138" s="10">
        <v>1.0</v>
      </c>
      <c r="T138" s="10">
        <v>1.0</v>
      </c>
      <c r="U138" s="10">
        <v>1.0</v>
      </c>
      <c r="V138" s="10">
        <v>1.0</v>
      </c>
      <c r="W138" s="10">
        <v>1.0</v>
      </c>
      <c r="X138" s="10">
        <v>1.0</v>
      </c>
      <c r="Y138" s="10">
        <v>1.0</v>
      </c>
      <c r="Z138" s="10">
        <v>0.0</v>
      </c>
      <c r="AA138" s="10">
        <v>0.0</v>
      </c>
    </row>
    <row r="139">
      <c r="C139" s="7" t="s">
        <v>314</v>
      </c>
      <c r="D139" s="7" t="s">
        <v>315</v>
      </c>
      <c r="E139" s="7" t="s">
        <v>309</v>
      </c>
      <c r="F139" s="8" t="s">
        <v>24</v>
      </c>
      <c r="G139" s="7" t="s">
        <v>25</v>
      </c>
      <c r="H139" s="9">
        <v>24.0</v>
      </c>
      <c r="I139" s="10">
        <v>1.0</v>
      </c>
      <c r="J139" s="10">
        <v>0.5</v>
      </c>
      <c r="K139" s="10">
        <v>1.0</v>
      </c>
      <c r="L139" s="10">
        <v>1.0</v>
      </c>
      <c r="M139" s="10">
        <v>1.0</v>
      </c>
      <c r="N139" s="10">
        <v>1.0</v>
      </c>
      <c r="O139" s="10">
        <v>1.0</v>
      </c>
      <c r="P139" s="10">
        <v>1.0</v>
      </c>
      <c r="Q139" s="10">
        <v>1.0</v>
      </c>
      <c r="R139" s="10">
        <v>1.0</v>
      </c>
      <c r="S139" s="10">
        <v>1.0</v>
      </c>
      <c r="T139" s="10">
        <v>1.0</v>
      </c>
      <c r="U139" s="10">
        <v>1.0</v>
      </c>
      <c r="V139" s="10">
        <v>1.0</v>
      </c>
      <c r="W139" s="10">
        <v>1.0</v>
      </c>
      <c r="X139" s="10">
        <v>1.0</v>
      </c>
      <c r="Y139" s="10">
        <v>1.0</v>
      </c>
      <c r="Z139" s="10">
        <v>1.0</v>
      </c>
      <c r="AA139" s="10">
        <v>0.0</v>
      </c>
    </row>
    <row r="140">
      <c r="C140" s="16" t="s">
        <v>316</v>
      </c>
      <c r="D140" s="16" t="s">
        <v>317</v>
      </c>
      <c r="E140" s="16" t="s">
        <v>309</v>
      </c>
      <c r="F140" s="17" t="s">
        <v>24</v>
      </c>
      <c r="G140" s="16" t="s">
        <v>25</v>
      </c>
      <c r="H140" s="34">
        <v>24.0</v>
      </c>
      <c r="I140" s="19">
        <v>0.5</v>
      </c>
      <c r="J140" s="19">
        <v>0.5</v>
      </c>
      <c r="K140" s="19">
        <v>1.0</v>
      </c>
      <c r="L140" s="10">
        <v>1.0</v>
      </c>
      <c r="M140" s="10">
        <v>1.0</v>
      </c>
      <c r="N140" s="10">
        <v>1.0</v>
      </c>
      <c r="O140" s="10">
        <v>1.0</v>
      </c>
      <c r="P140" s="10">
        <v>0.0</v>
      </c>
      <c r="Q140" s="10">
        <v>1.0</v>
      </c>
      <c r="R140" s="10">
        <v>1.0</v>
      </c>
      <c r="S140" s="10">
        <v>1.0</v>
      </c>
      <c r="T140" s="10">
        <v>1.0</v>
      </c>
      <c r="U140" s="10">
        <v>1.0</v>
      </c>
      <c r="V140" s="10">
        <v>0.0</v>
      </c>
      <c r="W140" s="10">
        <v>0.0</v>
      </c>
      <c r="X140" s="10">
        <v>0.0</v>
      </c>
      <c r="Y140" s="10">
        <v>0.0</v>
      </c>
      <c r="Z140" s="10">
        <v>0.0</v>
      </c>
      <c r="AA140" s="10">
        <v>0.0</v>
      </c>
    </row>
    <row r="141">
      <c r="A141" s="15"/>
      <c r="B141" s="15"/>
      <c r="C141" s="7" t="s">
        <v>318</v>
      </c>
      <c r="D141" s="7" t="s">
        <v>319</v>
      </c>
      <c r="E141" s="7" t="s">
        <v>320</v>
      </c>
      <c r="F141" s="8" t="s">
        <v>28</v>
      </c>
      <c r="G141" s="7" t="s">
        <v>12</v>
      </c>
      <c r="H141" s="21">
        <v>25.0</v>
      </c>
      <c r="I141" s="10">
        <v>1.0</v>
      </c>
      <c r="J141" s="10">
        <v>1.0</v>
      </c>
      <c r="K141" s="10">
        <v>1.0</v>
      </c>
      <c r="L141" s="64">
        <v>1.0</v>
      </c>
      <c r="M141" s="64">
        <v>1.0</v>
      </c>
      <c r="N141" s="64">
        <v>1.0</v>
      </c>
      <c r="O141" s="64">
        <v>1.0</v>
      </c>
      <c r="P141" s="64">
        <v>1.0</v>
      </c>
      <c r="Q141" s="64">
        <v>1.0</v>
      </c>
      <c r="R141" s="64">
        <v>1.0</v>
      </c>
      <c r="S141" s="64">
        <v>1.0</v>
      </c>
      <c r="T141" s="64">
        <v>1.0</v>
      </c>
      <c r="U141" s="10">
        <v>1.0</v>
      </c>
      <c r="V141" s="64">
        <v>1.0</v>
      </c>
      <c r="W141" s="64">
        <v>1.0</v>
      </c>
      <c r="X141" s="64">
        <v>1.0</v>
      </c>
      <c r="Y141" s="64">
        <v>1.0</v>
      </c>
      <c r="Z141" s="64">
        <v>1.0</v>
      </c>
      <c r="AA141" s="64">
        <v>0.5</v>
      </c>
      <c r="AB141" s="66"/>
    </row>
    <row r="142">
      <c r="C142" s="7" t="s">
        <v>321</v>
      </c>
      <c r="D142" s="7" t="s">
        <v>322</v>
      </c>
      <c r="E142" s="22" t="s">
        <v>320</v>
      </c>
      <c r="F142" s="11" t="s">
        <v>11</v>
      </c>
      <c r="G142" s="7" t="s">
        <v>12</v>
      </c>
      <c r="H142" s="23">
        <v>25.0</v>
      </c>
      <c r="I142" s="12">
        <v>1.0</v>
      </c>
      <c r="J142" s="12">
        <v>1.0</v>
      </c>
      <c r="K142" s="12">
        <v>1.0</v>
      </c>
      <c r="L142" s="10">
        <v>1.0</v>
      </c>
      <c r="M142" s="10">
        <v>1.0</v>
      </c>
      <c r="N142" s="10">
        <v>1.0</v>
      </c>
      <c r="O142" s="10">
        <v>1.0</v>
      </c>
      <c r="P142" s="10">
        <v>1.0</v>
      </c>
      <c r="Q142" s="10">
        <v>1.0</v>
      </c>
      <c r="R142" s="10">
        <v>1.0</v>
      </c>
      <c r="S142" s="10">
        <v>1.0</v>
      </c>
      <c r="T142" s="10">
        <v>1.0</v>
      </c>
      <c r="U142" s="10">
        <v>1.0</v>
      </c>
      <c r="V142" s="10">
        <v>1.0</v>
      </c>
      <c r="W142" s="10">
        <v>1.0</v>
      </c>
      <c r="X142" s="10">
        <v>1.0</v>
      </c>
      <c r="Y142" s="10">
        <v>1.0</v>
      </c>
      <c r="Z142" s="10">
        <v>1.0</v>
      </c>
      <c r="AA142" s="10">
        <v>1.0</v>
      </c>
    </row>
    <row r="143">
      <c r="C143" s="7" t="s">
        <v>323</v>
      </c>
      <c r="D143" s="7" t="s">
        <v>324</v>
      </c>
      <c r="E143" s="7" t="s">
        <v>320</v>
      </c>
      <c r="F143" s="11" t="s">
        <v>11</v>
      </c>
      <c r="G143" s="7" t="s">
        <v>12</v>
      </c>
      <c r="H143" s="21">
        <v>25.0</v>
      </c>
      <c r="I143" s="12">
        <v>1.0</v>
      </c>
      <c r="J143" s="12">
        <v>1.0</v>
      </c>
      <c r="K143" s="13">
        <v>1.0</v>
      </c>
      <c r="L143" s="10">
        <v>1.0</v>
      </c>
      <c r="M143" s="10">
        <v>1.0</v>
      </c>
      <c r="N143" s="10">
        <v>1.0</v>
      </c>
      <c r="O143" s="10">
        <v>1.0</v>
      </c>
      <c r="P143" s="10">
        <v>1.0</v>
      </c>
      <c r="Q143" s="10">
        <v>1.0</v>
      </c>
      <c r="R143" s="10">
        <v>1.0</v>
      </c>
      <c r="S143" s="10">
        <v>1.0</v>
      </c>
      <c r="T143" s="10">
        <v>1.0</v>
      </c>
      <c r="U143" s="10">
        <v>1.0</v>
      </c>
      <c r="V143" s="10">
        <v>1.0</v>
      </c>
      <c r="W143" s="10">
        <v>1.0</v>
      </c>
      <c r="X143" s="10">
        <v>1.0</v>
      </c>
      <c r="Y143" s="10">
        <v>1.0</v>
      </c>
      <c r="Z143" s="10">
        <v>1.0</v>
      </c>
      <c r="AA143" s="10">
        <v>1.0</v>
      </c>
    </row>
    <row r="144">
      <c r="C144" s="7" t="s">
        <v>325</v>
      </c>
      <c r="D144" s="7" t="s">
        <v>326</v>
      </c>
      <c r="E144" s="7" t="s">
        <v>320</v>
      </c>
      <c r="F144" s="8" t="s">
        <v>28</v>
      </c>
      <c r="G144" s="7" t="s">
        <v>12</v>
      </c>
      <c r="H144" s="21">
        <v>25.0</v>
      </c>
      <c r="I144" s="10">
        <v>1.0</v>
      </c>
      <c r="J144" s="10">
        <v>1.0</v>
      </c>
      <c r="K144" s="10">
        <v>1.0</v>
      </c>
      <c r="L144" s="13">
        <v>1.0</v>
      </c>
      <c r="M144" s="13">
        <v>1.0</v>
      </c>
      <c r="N144" s="13">
        <v>1.0</v>
      </c>
      <c r="O144" s="13">
        <v>1.0</v>
      </c>
      <c r="P144" s="13">
        <v>1.0</v>
      </c>
      <c r="Q144" s="13">
        <v>1.0</v>
      </c>
      <c r="R144" s="13">
        <v>1.0</v>
      </c>
      <c r="S144" s="13">
        <v>1.0</v>
      </c>
      <c r="T144" s="13">
        <v>1.0</v>
      </c>
      <c r="U144" s="10">
        <v>1.0</v>
      </c>
      <c r="V144" s="13">
        <v>1.0</v>
      </c>
      <c r="W144" s="13">
        <v>1.0</v>
      </c>
      <c r="X144" s="13">
        <v>1.0</v>
      </c>
      <c r="Y144" s="13">
        <v>1.0</v>
      </c>
      <c r="Z144" s="13">
        <v>1.0</v>
      </c>
      <c r="AA144" s="13">
        <v>1.0</v>
      </c>
      <c r="AB144" s="14"/>
    </row>
    <row r="145">
      <c r="C145" s="7" t="s">
        <v>327</v>
      </c>
      <c r="D145" s="7" t="s">
        <v>328</v>
      </c>
      <c r="E145" s="7" t="s">
        <v>320</v>
      </c>
      <c r="F145" s="11" t="s">
        <v>11</v>
      </c>
      <c r="G145" s="7" t="s">
        <v>12</v>
      </c>
      <c r="H145" s="21">
        <v>25.0</v>
      </c>
      <c r="I145" s="12">
        <v>1.0</v>
      </c>
      <c r="J145" s="12">
        <v>1.0</v>
      </c>
      <c r="K145" s="13">
        <v>1.0</v>
      </c>
      <c r="L145" s="10">
        <v>1.0</v>
      </c>
      <c r="M145" s="10">
        <v>1.0</v>
      </c>
      <c r="N145" s="10">
        <v>1.0</v>
      </c>
      <c r="O145" s="10">
        <v>1.0</v>
      </c>
      <c r="P145" s="10">
        <v>1.0</v>
      </c>
      <c r="Q145" s="10">
        <v>1.0</v>
      </c>
      <c r="R145" s="10">
        <v>1.0</v>
      </c>
      <c r="S145" s="10">
        <v>1.0</v>
      </c>
      <c r="T145" s="10">
        <v>1.0</v>
      </c>
      <c r="U145" s="10">
        <v>1.0</v>
      </c>
      <c r="V145" s="10">
        <v>1.0</v>
      </c>
      <c r="W145" s="10">
        <v>1.0</v>
      </c>
      <c r="X145" s="10">
        <v>1.0</v>
      </c>
      <c r="Y145" s="10">
        <v>1.0</v>
      </c>
      <c r="Z145" s="10">
        <v>1.0</v>
      </c>
      <c r="AA145" s="10">
        <v>0.5</v>
      </c>
    </row>
    <row r="146">
      <c r="C146" s="7" t="s">
        <v>329</v>
      </c>
      <c r="D146" s="7" t="s">
        <v>330</v>
      </c>
      <c r="E146" s="7" t="s">
        <v>320</v>
      </c>
      <c r="F146" s="8" t="s">
        <v>28</v>
      </c>
      <c r="G146" s="7" t="s">
        <v>12</v>
      </c>
      <c r="H146" s="21">
        <v>25.0</v>
      </c>
      <c r="I146" s="10">
        <v>1.0</v>
      </c>
      <c r="J146" s="10">
        <v>1.0</v>
      </c>
      <c r="K146" s="10">
        <v>1.0</v>
      </c>
      <c r="L146" s="13">
        <v>1.0</v>
      </c>
      <c r="M146" s="13">
        <v>1.0</v>
      </c>
      <c r="N146" s="13">
        <v>1.0</v>
      </c>
      <c r="O146" s="13">
        <v>1.0</v>
      </c>
      <c r="P146" s="13">
        <v>1.0</v>
      </c>
      <c r="Q146" s="13">
        <v>1.0</v>
      </c>
      <c r="R146" s="13">
        <v>1.0</v>
      </c>
      <c r="S146" s="13">
        <v>1.0</v>
      </c>
      <c r="T146" s="13">
        <v>1.0</v>
      </c>
      <c r="U146" s="10">
        <v>1.0</v>
      </c>
      <c r="V146" s="13">
        <v>1.0</v>
      </c>
      <c r="W146" s="13">
        <v>1.0</v>
      </c>
      <c r="X146" s="13">
        <v>1.0</v>
      </c>
      <c r="Y146" s="13">
        <v>1.0</v>
      </c>
      <c r="Z146" s="13">
        <v>1.0</v>
      </c>
      <c r="AA146" s="13">
        <v>1.0</v>
      </c>
      <c r="AB146" s="14"/>
    </row>
    <row r="147">
      <c r="C147" s="76" t="s">
        <v>331</v>
      </c>
      <c r="D147" s="77" t="s">
        <v>332</v>
      </c>
      <c r="E147" s="78" t="s">
        <v>320</v>
      </c>
      <c r="F147" s="8" t="s">
        <v>24</v>
      </c>
      <c r="G147" s="76" t="s">
        <v>29</v>
      </c>
      <c r="H147" s="21">
        <v>25.0</v>
      </c>
      <c r="I147" s="79">
        <v>1.0</v>
      </c>
      <c r="J147" s="79">
        <v>1.0</v>
      </c>
      <c r="K147" s="79">
        <v>1.0</v>
      </c>
      <c r="L147" s="10">
        <v>1.0</v>
      </c>
      <c r="M147" s="10">
        <v>1.0</v>
      </c>
      <c r="N147" s="10">
        <v>1.0</v>
      </c>
      <c r="O147" s="10">
        <v>1.0</v>
      </c>
      <c r="P147" s="10">
        <v>1.0</v>
      </c>
      <c r="Q147" s="10">
        <v>1.0</v>
      </c>
      <c r="R147" s="10">
        <v>1.0</v>
      </c>
      <c r="S147" s="10">
        <v>1.0</v>
      </c>
      <c r="T147" s="10">
        <v>1.0</v>
      </c>
      <c r="U147" s="10">
        <v>1.0</v>
      </c>
      <c r="V147" s="10">
        <v>1.0</v>
      </c>
      <c r="W147" s="10">
        <v>1.0</v>
      </c>
      <c r="X147" s="10">
        <v>1.0</v>
      </c>
      <c r="Y147" s="10">
        <v>1.0</v>
      </c>
      <c r="Z147" s="10">
        <v>1.0</v>
      </c>
      <c r="AA147" s="10">
        <v>1.0</v>
      </c>
    </row>
    <row r="148">
      <c r="A148" s="15"/>
      <c r="B148" s="15"/>
      <c r="C148" s="80" t="s">
        <v>333</v>
      </c>
      <c r="D148" s="80" t="s">
        <v>334</v>
      </c>
      <c r="E148" s="80" t="s">
        <v>335</v>
      </c>
      <c r="F148" s="81" t="s">
        <v>24</v>
      </c>
      <c r="G148" s="80" t="s">
        <v>25</v>
      </c>
      <c r="H148" s="82">
        <v>26.0</v>
      </c>
      <c r="I148" s="64">
        <v>1.0</v>
      </c>
      <c r="J148" s="64">
        <v>1.0</v>
      </c>
      <c r="K148" s="64">
        <v>1.0</v>
      </c>
      <c r="L148" s="64">
        <v>0.5</v>
      </c>
      <c r="M148" s="64">
        <v>1.0</v>
      </c>
      <c r="N148" s="64">
        <v>1.0</v>
      </c>
      <c r="O148" s="64">
        <v>1.0</v>
      </c>
      <c r="P148" s="64">
        <v>1.0</v>
      </c>
      <c r="Q148" s="64">
        <v>1.0</v>
      </c>
      <c r="R148" s="64">
        <v>1.0</v>
      </c>
      <c r="S148" s="64">
        <v>1.0</v>
      </c>
      <c r="T148" s="64">
        <v>1.0</v>
      </c>
      <c r="U148" s="64">
        <v>1.0</v>
      </c>
      <c r="V148" s="64">
        <v>1.0</v>
      </c>
      <c r="W148" s="64">
        <v>1.0</v>
      </c>
      <c r="X148" s="64">
        <v>1.0</v>
      </c>
      <c r="Y148" s="64">
        <v>1.0</v>
      </c>
      <c r="Z148" s="64">
        <v>1.0</v>
      </c>
      <c r="AA148" s="66"/>
      <c r="AB148" s="66"/>
    </row>
    <row r="149">
      <c r="A149" s="66"/>
      <c r="B149" s="66"/>
      <c r="C149" s="7" t="s">
        <v>336</v>
      </c>
      <c r="D149" s="7" t="s">
        <v>337</v>
      </c>
      <c r="E149" s="7" t="s">
        <v>335</v>
      </c>
      <c r="F149" s="8" t="s">
        <v>24</v>
      </c>
      <c r="G149" s="22" t="s">
        <v>29</v>
      </c>
      <c r="H149" s="47">
        <v>26.0</v>
      </c>
      <c r="I149" s="10">
        <v>1.0</v>
      </c>
      <c r="J149" s="10">
        <v>1.0</v>
      </c>
      <c r="K149" s="10">
        <v>1.0</v>
      </c>
      <c r="L149" s="10">
        <v>1.0</v>
      </c>
      <c r="M149" s="10">
        <v>1.0</v>
      </c>
      <c r="N149" s="10">
        <v>1.0</v>
      </c>
      <c r="O149" s="10">
        <v>1.0</v>
      </c>
      <c r="P149" s="10">
        <v>1.0</v>
      </c>
      <c r="Q149" s="10">
        <v>1.0</v>
      </c>
      <c r="R149" s="10">
        <v>1.0</v>
      </c>
      <c r="S149" s="10">
        <v>1.0</v>
      </c>
      <c r="T149" s="10">
        <v>1.0</v>
      </c>
      <c r="U149" s="10">
        <v>1.0</v>
      </c>
      <c r="V149" s="10">
        <v>1.0</v>
      </c>
      <c r="W149" s="10">
        <v>1.0</v>
      </c>
      <c r="X149" s="10">
        <v>1.0</v>
      </c>
      <c r="Y149" s="10">
        <v>1.0</v>
      </c>
      <c r="Z149" s="10">
        <v>1.0</v>
      </c>
    </row>
    <row r="150">
      <c r="C150" s="7" t="s">
        <v>338</v>
      </c>
      <c r="D150" s="7" t="s">
        <v>339</v>
      </c>
      <c r="E150" s="7" t="s">
        <v>335</v>
      </c>
      <c r="F150" s="69" t="s">
        <v>24</v>
      </c>
      <c r="G150" s="7" t="s">
        <v>25</v>
      </c>
      <c r="H150" s="47">
        <v>26.0</v>
      </c>
      <c r="I150" s="10">
        <v>1.0</v>
      </c>
      <c r="J150" s="10">
        <v>0.5</v>
      </c>
      <c r="K150" s="10">
        <v>1.0</v>
      </c>
      <c r="L150" s="10">
        <v>1.0</v>
      </c>
      <c r="M150" s="10">
        <v>1.0</v>
      </c>
      <c r="N150" s="10">
        <v>1.0</v>
      </c>
      <c r="O150" s="10">
        <v>1.0</v>
      </c>
      <c r="P150" s="10">
        <v>1.0</v>
      </c>
      <c r="Q150" s="10">
        <v>1.0</v>
      </c>
      <c r="R150" s="10">
        <v>1.0</v>
      </c>
      <c r="S150" s="10">
        <v>1.0</v>
      </c>
      <c r="T150" s="10">
        <v>1.0</v>
      </c>
      <c r="U150" s="10">
        <v>1.0</v>
      </c>
      <c r="V150" s="10">
        <v>1.0</v>
      </c>
      <c r="W150" s="10">
        <v>1.0</v>
      </c>
      <c r="X150" s="10">
        <v>1.0</v>
      </c>
      <c r="Y150" s="10">
        <v>1.0</v>
      </c>
      <c r="Z150" s="10">
        <v>1.0</v>
      </c>
    </row>
    <row r="151">
      <c r="C151" s="7" t="s">
        <v>340</v>
      </c>
      <c r="D151" s="7" t="s">
        <v>341</v>
      </c>
      <c r="E151" s="7" t="s">
        <v>335</v>
      </c>
      <c r="F151" s="11" t="s">
        <v>28</v>
      </c>
      <c r="G151" s="7" t="s">
        <v>12</v>
      </c>
      <c r="H151" s="47">
        <v>26.0</v>
      </c>
      <c r="I151" s="39">
        <v>0.5</v>
      </c>
      <c r="J151" s="12">
        <v>1.0</v>
      </c>
      <c r="K151" s="13">
        <v>1.0</v>
      </c>
      <c r="L151" s="10">
        <v>0.5</v>
      </c>
      <c r="M151" s="10">
        <v>0.0</v>
      </c>
      <c r="N151" s="10">
        <v>1.0</v>
      </c>
      <c r="O151" s="10">
        <v>1.0</v>
      </c>
      <c r="P151" s="10">
        <v>1.0</v>
      </c>
      <c r="Q151" s="10">
        <v>1.0</v>
      </c>
      <c r="R151" s="10">
        <v>1.0</v>
      </c>
      <c r="S151" s="10">
        <v>1.0</v>
      </c>
      <c r="T151" s="10">
        <v>1.0</v>
      </c>
      <c r="U151" s="10">
        <v>1.0</v>
      </c>
      <c r="V151" s="10">
        <v>1.0</v>
      </c>
      <c r="W151" s="10">
        <v>1.0</v>
      </c>
      <c r="X151" s="10">
        <v>1.0</v>
      </c>
      <c r="Y151" s="10">
        <v>1.0</v>
      </c>
      <c r="Z151" s="10">
        <v>1.0</v>
      </c>
    </row>
    <row r="152">
      <c r="C152" s="16" t="s">
        <v>342</v>
      </c>
      <c r="D152" s="16" t="s">
        <v>343</v>
      </c>
      <c r="E152" s="16" t="s">
        <v>335</v>
      </c>
      <c r="F152" s="41" t="s">
        <v>28</v>
      </c>
      <c r="G152" s="16" t="s">
        <v>29</v>
      </c>
      <c r="H152" s="48">
        <v>26.0</v>
      </c>
      <c r="I152" s="44">
        <v>0.5</v>
      </c>
      <c r="J152" s="43">
        <v>1.0</v>
      </c>
      <c r="K152" s="45">
        <v>0.5</v>
      </c>
      <c r="L152" s="13">
        <v>1.0</v>
      </c>
      <c r="M152" s="13">
        <v>1.0</v>
      </c>
      <c r="N152" s="13">
        <v>1.0</v>
      </c>
      <c r="O152" s="13">
        <v>0.5</v>
      </c>
      <c r="P152" s="13">
        <v>1.0</v>
      </c>
      <c r="Q152" s="13">
        <v>1.0</v>
      </c>
      <c r="R152" s="13">
        <v>1.0</v>
      </c>
      <c r="S152" s="13">
        <v>1.0</v>
      </c>
      <c r="T152" s="13">
        <v>1.0</v>
      </c>
      <c r="U152" s="13">
        <v>0.5</v>
      </c>
      <c r="V152" s="13">
        <v>1.0</v>
      </c>
      <c r="W152" s="13">
        <v>1.0</v>
      </c>
      <c r="X152" s="13">
        <v>1.0</v>
      </c>
      <c r="Y152" s="13">
        <v>1.0</v>
      </c>
      <c r="Z152" s="13">
        <v>1.0</v>
      </c>
      <c r="AA152" s="14"/>
      <c r="AB152" s="14"/>
    </row>
    <row r="153">
      <c r="A153" s="15"/>
      <c r="B153" s="15"/>
      <c r="C153" s="7" t="s">
        <v>344</v>
      </c>
      <c r="D153" s="7" t="s">
        <v>345</v>
      </c>
      <c r="E153" s="22" t="s">
        <v>346</v>
      </c>
      <c r="F153" s="8" t="s">
        <v>24</v>
      </c>
      <c r="G153" s="7" t="s">
        <v>25</v>
      </c>
      <c r="H153" s="49">
        <v>27.0</v>
      </c>
      <c r="I153" s="10">
        <v>1.0</v>
      </c>
      <c r="J153" s="10">
        <v>1.0</v>
      </c>
      <c r="K153" s="10">
        <v>0.5</v>
      </c>
      <c r="L153" s="64">
        <v>1.0</v>
      </c>
      <c r="M153" s="64">
        <v>1.0</v>
      </c>
      <c r="N153" s="64">
        <v>1.0</v>
      </c>
      <c r="O153" s="64">
        <v>0.0</v>
      </c>
      <c r="P153" s="64">
        <v>1.0</v>
      </c>
      <c r="Q153" s="64">
        <v>1.0</v>
      </c>
      <c r="R153" s="64">
        <v>1.0</v>
      </c>
      <c r="S153" s="64">
        <v>1.0</v>
      </c>
      <c r="T153" s="64">
        <v>1.0</v>
      </c>
      <c r="U153" s="64">
        <v>0.5</v>
      </c>
      <c r="V153" s="64">
        <v>1.0</v>
      </c>
      <c r="W153" s="64">
        <v>1.0</v>
      </c>
      <c r="X153" s="10">
        <v>1.0</v>
      </c>
      <c r="Y153" s="64">
        <v>0.0</v>
      </c>
      <c r="Z153" s="64">
        <v>1.0</v>
      </c>
      <c r="AA153" s="64">
        <v>1.0</v>
      </c>
      <c r="AB153" s="66"/>
    </row>
    <row r="154">
      <c r="C154" s="7" t="s">
        <v>347</v>
      </c>
      <c r="D154" s="7" t="s">
        <v>348</v>
      </c>
      <c r="E154" s="7" t="s">
        <v>346</v>
      </c>
      <c r="F154" s="32" t="s">
        <v>24</v>
      </c>
      <c r="G154" s="7" t="s">
        <v>25</v>
      </c>
      <c r="H154" s="49">
        <v>27.0</v>
      </c>
      <c r="I154" s="39">
        <v>0.5</v>
      </c>
      <c r="J154" s="12">
        <v>1.0</v>
      </c>
      <c r="K154" s="13">
        <v>1.0</v>
      </c>
      <c r="L154" s="10">
        <v>0.5</v>
      </c>
      <c r="M154" s="10">
        <v>1.0</v>
      </c>
      <c r="N154" s="10">
        <v>1.0</v>
      </c>
      <c r="O154" s="10">
        <v>1.0</v>
      </c>
      <c r="P154" s="10">
        <v>0.0</v>
      </c>
      <c r="Q154" s="10">
        <v>1.0</v>
      </c>
      <c r="R154" s="10">
        <v>1.0</v>
      </c>
      <c r="S154" s="10">
        <v>1.0</v>
      </c>
      <c r="T154" s="10">
        <v>1.0</v>
      </c>
      <c r="U154" s="10">
        <v>1.0</v>
      </c>
      <c r="V154" s="10">
        <v>1.0</v>
      </c>
      <c r="W154" s="10">
        <v>1.0</v>
      </c>
      <c r="X154" s="10">
        <v>1.0</v>
      </c>
      <c r="Y154" s="10">
        <v>1.0</v>
      </c>
      <c r="Z154" s="10">
        <v>0.0</v>
      </c>
      <c r="AA154" s="10">
        <v>0.0</v>
      </c>
    </row>
    <row r="155">
      <c r="C155" s="7" t="s">
        <v>349</v>
      </c>
      <c r="D155" s="7" t="s">
        <v>350</v>
      </c>
      <c r="E155" s="7" t="s">
        <v>346</v>
      </c>
      <c r="F155" s="32" t="s">
        <v>24</v>
      </c>
      <c r="G155" s="7" t="s">
        <v>25</v>
      </c>
      <c r="H155" s="49">
        <v>27.0</v>
      </c>
      <c r="I155" s="12">
        <v>0.0</v>
      </c>
      <c r="J155" s="12">
        <v>1.0</v>
      </c>
      <c r="K155" s="13">
        <v>1.0</v>
      </c>
      <c r="L155" s="13">
        <v>1.0</v>
      </c>
      <c r="M155" s="13">
        <v>1.0</v>
      </c>
      <c r="N155" s="13">
        <v>1.0</v>
      </c>
      <c r="O155" s="13">
        <v>1.0</v>
      </c>
      <c r="P155" s="13">
        <v>1.0</v>
      </c>
      <c r="Q155" s="13">
        <v>0.0</v>
      </c>
      <c r="R155" s="13">
        <v>1.0</v>
      </c>
      <c r="S155" s="13">
        <v>1.0</v>
      </c>
      <c r="T155" s="13">
        <v>1.0</v>
      </c>
      <c r="U155" s="10">
        <v>1.0</v>
      </c>
      <c r="V155" s="13">
        <v>1.0</v>
      </c>
      <c r="W155" s="13">
        <v>0.0</v>
      </c>
      <c r="X155" s="10">
        <v>1.0</v>
      </c>
      <c r="Y155" s="13">
        <v>1.0</v>
      </c>
      <c r="Z155" s="13">
        <v>1.0</v>
      </c>
      <c r="AA155" s="13">
        <v>0.0</v>
      </c>
      <c r="AB155" s="14"/>
    </row>
    <row r="156">
      <c r="C156" s="7" t="s">
        <v>351</v>
      </c>
      <c r="D156" s="7" t="s">
        <v>352</v>
      </c>
      <c r="E156" s="7" t="s">
        <v>346</v>
      </c>
      <c r="F156" s="11" t="s">
        <v>28</v>
      </c>
      <c r="G156" s="7" t="s">
        <v>12</v>
      </c>
      <c r="H156" s="49">
        <v>27.0</v>
      </c>
      <c r="I156" s="12">
        <v>1.0</v>
      </c>
      <c r="J156" s="12">
        <v>1.0</v>
      </c>
      <c r="K156" s="13">
        <v>1.0</v>
      </c>
      <c r="L156" s="13">
        <v>1.0</v>
      </c>
      <c r="M156" s="13">
        <v>0.0</v>
      </c>
      <c r="N156" s="13">
        <v>1.0</v>
      </c>
      <c r="O156" s="13">
        <v>1.0</v>
      </c>
      <c r="P156" s="13">
        <v>0.0</v>
      </c>
      <c r="Q156" s="13">
        <v>0.0</v>
      </c>
      <c r="R156" s="13">
        <v>0.0</v>
      </c>
      <c r="S156" s="13">
        <v>0.0</v>
      </c>
      <c r="T156" s="13">
        <v>0.0</v>
      </c>
      <c r="U156" s="10">
        <v>0.0</v>
      </c>
      <c r="V156" s="13">
        <v>0.0</v>
      </c>
      <c r="W156" s="13">
        <v>0.0</v>
      </c>
      <c r="X156" s="10">
        <v>1.0</v>
      </c>
      <c r="Y156" s="13">
        <v>0.0</v>
      </c>
      <c r="Z156" s="13">
        <v>0.0</v>
      </c>
      <c r="AA156" s="13">
        <v>0.0</v>
      </c>
      <c r="AB156" s="14"/>
    </row>
    <row r="157">
      <c r="C157" s="7" t="s">
        <v>353</v>
      </c>
      <c r="D157" s="7" t="s">
        <v>354</v>
      </c>
      <c r="E157" s="7" t="s">
        <v>346</v>
      </c>
      <c r="F157" s="8" t="s">
        <v>28</v>
      </c>
      <c r="G157" s="7" t="s">
        <v>12</v>
      </c>
      <c r="H157" s="49">
        <v>27.0</v>
      </c>
      <c r="I157" s="10">
        <v>1.0</v>
      </c>
      <c r="J157" s="10">
        <v>1.0</v>
      </c>
      <c r="K157" s="10">
        <v>1.0</v>
      </c>
      <c r="L157" s="13">
        <v>1.0</v>
      </c>
      <c r="M157" s="13">
        <v>1.0</v>
      </c>
      <c r="N157" s="13">
        <v>1.0</v>
      </c>
      <c r="O157" s="13">
        <v>1.0</v>
      </c>
      <c r="P157" s="13">
        <v>1.0</v>
      </c>
      <c r="Q157" s="13">
        <v>1.0</v>
      </c>
      <c r="R157" s="13">
        <v>1.0</v>
      </c>
      <c r="S157" s="13">
        <v>1.0</v>
      </c>
      <c r="T157" s="13">
        <v>1.0</v>
      </c>
      <c r="U157" s="10">
        <v>1.0</v>
      </c>
      <c r="V157" s="13">
        <v>1.0</v>
      </c>
      <c r="W157" s="13">
        <v>1.0</v>
      </c>
      <c r="X157" s="10">
        <v>1.0</v>
      </c>
      <c r="Y157" s="13">
        <v>1.0</v>
      </c>
      <c r="Z157" s="13">
        <v>1.0</v>
      </c>
      <c r="AA157" s="13">
        <v>0.0</v>
      </c>
      <c r="AB157" s="14"/>
    </row>
    <row r="158">
      <c r="C158" s="16" t="s">
        <v>355</v>
      </c>
      <c r="D158" s="16" t="s">
        <v>356</v>
      </c>
      <c r="E158" s="16" t="s">
        <v>346</v>
      </c>
      <c r="F158" s="17" t="s">
        <v>28</v>
      </c>
      <c r="G158" s="16" t="s">
        <v>12</v>
      </c>
      <c r="H158" s="50">
        <v>27.0</v>
      </c>
      <c r="I158" s="19">
        <v>1.0</v>
      </c>
      <c r="J158" s="19">
        <v>0.5</v>
      </c>
      <c r="K158" s="19">
        <v>1.0</v>
      </c>
      <c r="L158" s="10">
        <v>1.0</v>
      </c>
      <c r="M158" s="10">
        <v>1.0</v>
      </c>
      <c r="N158" s="10">
        <v>1.0</v>
      </c>
      <c r="O158" s="10">
        <v>1.0</v>
      </c>
      <c r="P158" s="10">
        <v>0.0</v>
      </c>
      <c r="Q158" s="10">
        <v>1.0</v>
      </c>
      <c r="R158" s="10">
        <v>1.0</v>
      </c>
      <c r="S158" s="10">
        <v>1.0</v>
      </c>
      <c r="T158" s="10">
        <v>1.0</v>
      </c>
      <c r="U158" s="10">
        <v>1.0</v>
      </c>
      <c r="V158" s="10">
        <v>1.0</v>
      </c>
      <c r="W158" s="10">
        <v>1.0</v>
      </c>
      <c r="X158" s="10">
        <v>1.0</v>
      </c>
      <c r="Y158" s="10">
        <v>1.0</v>
      </c>
      <c r="Z158" s="10">
        <v>1.0</v>
      </c>
      <c r="AA158" s="10">
        <v>0.0</v>
      </c>
    </row>
    <row r="159">
      <c r="A159" s="15"/>
      <c r="B159" s="15"/>
      <c r="C159" s="7" t="s">
        <v>357</v>
      </c>
      <c r="D159" s="7" t="s">
        <v>358</v>
      </c>
      <c r="E159" s="7" t="s">
        <v>359</v>
      </c>
      <c r="F159" s="8" t="s">
        <v>28</v>
      </c>
      <c r="G159" s="7" t="s">
        <v>12</v>
      </c>
      <c r="H159" s="38">
        <v>28.0</v>
      </c>
      <c r="I159" s="10">
        <v>1.0</v>
      </c>
      <c r="J159" s="10">
        <v>1.0</v>
      </c>
      <c r="K159" s="10">
        <v>1.0</v>
      </c>
      <c r="L159" s="64">
        <v>1.0</v>
      </c>
      <c r="M159" s="64">
        <v>1.0</v>
      </c>
      <c r="N159" s="64">
        <v>1.0</v>
      </c>
      <c r="O159" s="64">
        <v>1.0</v>
      </c>
      <c r="P159" s="64">
        <v>1.0</v>
      </c>
      <c r="Q159" s="64">
        <v>1.0</v>
      </c>
      <c r="R159" s="10">
        <v>1.0</v>
      </c>
      <c r="S159" s="64">
        <v>1.0</v>
      </c>
      <c r="T159" s="64">
        <v>1.0</v>
      </c>
      <c r="U159" s="64">
        <v>1.0</v>
      </c>
      <c r="V159" s="64">
        <v>1.0</v>
      </c>
      <c r="W159" s="64">
        <v>1.0</v>
      </c>
      <c r="X159" s="10">
        <v>1.0</v>
      </c>
      <c r="Y159" s="64">
        <v>1.0</v>
      </c>
      <c r="Z159" s="64">
        <v>1.0</v>
      </c>
      <c r="AA159" s="66"/>
      <c r="AB159" s="66"/>
    </row>
    <row r="160">
      <c r="C160" s="7" t="s">
        <v>360</v>
      </c>
      <c r="D160" s="7" t="s">
        <v>361</v>
      </c>
      <c r="E160" s="7" t="s">
        <v>359</v>
      </c>
      <c r="F160" s="8" t="s">
        <v>28</v>
      </c>
      <c r="G160" s="7" t="s">
        <v>29</v>
      </c>
      <c r="H160" s="38">
        <v>28.0</v>
      </c>
      <c r="I160" s="10">
        <v>1.0</v>
      </c>
      <c r="J160" s="10">
        <v>1.0</v>
      </c>
      <c r="K160" s="10">
        <v>1.0</v>
      </c>
      <c r="L160" s="10">
        <v>1.0</v>
      </c>
      <c r="M160" s="10">
        <v>1.0</v>
      </c>
      <c r="N160" s="10">
        <v>1.0</v>
      </c>
      <c r="O160" s="10">
        <v>1.0</v>
      </c>
      <c r="P160" s="10">
        <v>1.0</v>
      </c>
      <c r="Q160" s="10">
        <v>1.0</v>
      </c>
      <c r="R160" s="10">
        <v>1.0</v>
      </c>
      <c r="S160" s="10">
        <v>1.0</v>
      </c>
      <c r="T160" s="10">
        <v>1.0</v>
      </c>
      <c r="U160" s="10">
        <v>1.0</v>
      </c>
      <c r="V160" s="10">
        <v>1.0</v>
      </c>
      <c r="W160" s="10">
        <v>1.0</v>
      </c>
      <c r="X160" s="10">
        <v>1.0</v>
      </c>
      <c r="Y160" s="10">
        <v>1.0</v>
      </c>
      <c r="Z160" s="10">
        <v>1.0</v>
      </c>
    </row>
    <row r="161">
      <c r="C161" s="7" t="s">
        <v>362</v>
      </c>
      <c r="D161" s="7" t="s">
        <v>363</v>
      </c>
      <c r="E161" s="7" t="s">
        <v>359</v>
      </c>
      <c r="F161" s="8" t="s">
        <v>24</v>
      </c>
      <c r="G161" s="7" t="s">
        <v>93</v>
      </c>
      <c r="H161" s="38">
        <v>28.0</v>
      </c>
      <c r="I161" s="10">
        <v>1.0</v>
      </c>
      <c r="J161" s="10">
        <v>1.0</v>
      </c>
      <c r="K161" s="10">
        <v>1.0</v>
      </c>
      <c r="L161" s="10">
        <v>1.0</v>
      </c>
      <c r="M161" s="10">
        <v>1.0</v>
      </c>
      <c r="N161" s="10">
        <v>1.0</v>
      </c>
      <c r="O161" s="10">
        <v>1.0</v>
      </c>
      <c r="P161" s="10">
        <v>0.0</v>
      </c>
      <c r="Q161" s="10">
        <v>1.0</v>
      </c>
      <c r="R161" s="10">
        <v>1.0</v>
      </c>
      <c r="S161" s="10">
        <v>1.0</v>
      </c>
      <c r="T161" s="10">
        <v>0.0</v>
      </c>
      <c r="U161" s="10">
        <v>1.0</v>
      </c>
      <c r="V161" s="10">
        <v>1.0</v>
      </c>
      <c r="W161" s="10">
        <v>1.0</v>
      </c>
      <c r="X161" s="10">
        <v>1.0</v>
      </c>
      <c r="Y161" s="10">
        <v>1.0</v>
      </c>
      <c r="Z161" s="10">
        <v>1.0</v>
      </c>
    </row>
    <row r="162">
      <c r="C162" s="7" t="s">
        <v>364</v>
      </c>
      <c r="D162" s="7" t="s">
        <v>365</v>
      </c>
      <c r="E162" s="7" t="s">
        <v>359</v>
      </c>
      <c r="F162" s="8" t="s">
        <v>28</v>
      </c>
      <c r="G162" s="7" t="s">
        <v>12</v>
      </c>
      <c r="H162" s="38">
        <v>28.0</v>
      </c>
      <c r="I162" s="10">
        <v>1.0</v>
      </c>
      <c r="J162" s="10">
        <v>1.0</v>
      </c>
      <c r="K162" s="10">
        <v>1.0</v>
      </c>
      <c r="L162" s="10">
        <v>1.0</v>
      </c>
      <c r="M162" s="10">
        <v>1.0</v>
      </c>
      <c r="N162" s="10">
        <v>1.0</v>
      </c>
      <c r="O162" s="10">
        <v>1.0</v>
      </c>
      <c r="P162" s="10">
        <v>1.0</v>
      </c>
      <c r="Q162" s="10">
        <v>1.0</v>
      </c>
      <c r="R162" s="10">
        <v>1.0</v>
      </c>
      <c r="S162" s="10">
        <v>1.0</v>
      </c>
      <c r="T162" s="10">
        <v>1.0</v>
      </c>
      <c r="U162" s="10">
        <v>0.5</v>
      </c>
      <c r="V162" s="10">
        <v>1.0</v>
      </c>
      <c r="W162" s="10">
        <v>1.0</v>
      </c>
      <c r="X162" s="10">
        <v>1.0</v>
      </c>
      <c r="Z162" s="10">
        <v>0.5</v>
      </c>
    </row>
    <row r="163">
      <c r="C163" s="16" t="s">
        <v>366</v>
      </c>
      <c r="D163" s="16" t="s">
        <v>367</v>
      </c>
      <c r="E163" s="16" t="s">
        <v>359</v>
      </c>
      <c r="F163" s="17" t="s">
        <v>28</v>
      </c>
      <c r="G163" s="16" t="s">
        <v>12</v>
      </c>
      <c r="H163" s="42">
        <v>28.0</v>
      </c>
      <c r="I163" s="19">
        <v>1.0</v>
      </c>
      <c r="J163" s="19">
        <v>1.0</v>
      </c>
      <c r="K163" s="19">
        <v>1.0</v>
      </c>
      <c r="L163" s="10">
        <v>1.0</v>
      </c>
      <c r="M163" s="10">
        <v>1.0</v>
      </c>
      <c r="N163" s="10">
        <v>1.0</v>
      </c>
      <c r="O163" s="10">
        <v>1.0</v>
      </c>
      <c r="P163" s="10">
        <v>1.0</v>
      </c>
      <c r="Q163" s="10">
        <v>1.0</v>
      </c>
      <c r="R163" s="10">
        <v>1.0</v>
      </c>
      <c r="S163" s="10">
        <v>1.0</v>
      </c>
      <c r="T163" s="10">
        <v>0.5</v>
      </c>
      <c r="U163" s="10">
        <v>1.0</v>
      </c>
      <c r="V163" s="10">
        <v>1.0</v>
      </c>
      <c r="W163" s="10">
        <v>1.0</v>
      </c>
      <c r="X163" s="10">
        <v>1.0</v>
      </c>
      <c r="Y163" s="10">
        <v>1.0</v>
      </c>
      <c r="Z163" s="10">
        <v>1.0</v>
      </c>
    </row>
    <row r="164">
      <c r="A164" s="15"/>
      <c r="B164" s="15"/>
      <c r="C164" s="7" t="s">
        <v>368</v>
      </c>
      <c r="D164" s="7" t="s">
        <v>369</v>
      </c>
      <c r="E164" s="7" t="s">
        <v>370</v>
      </c>
      <c r="F164" s="8" t="s">
        <v>24</v>
      </c>
      <c r="G164" s="7" t="s">
        <v>25</v>
      </c>
      <c r="H164" s="21">
        <v>29.0</v>
      </c>
      <c r="I164" s="10">
        <v>1.0</v>
      </c>
      <c r="J164" s="10">
        <v>1.0</v>
      </c>
      <c r="K164" s="10">
        <v>1.0</v>
      </c>
      <c r="L164" s="64">
        <v>1.0</v>
      </c>
      <c r="M164" s="64">
        <v>1.0</v>
      </c>
      <c r="N164" s="64">
        <v>1.0</v>
      </c>
      <c r="O164" s="64">
        <v>1.0</v>
      </c>
      <c r="P164" s="64">
        <v>1.0</v>
      </c>
      <c r="Q164" s="64">
        <v>1.0</v>
      </c>
      <c r="R164" s="10">
        <v>1.0</v>
      </c>
      <c r="S164" s="64">
        <v>1.0</v>
      </c>
      <c r="T164" s="64">
        <v>1.0</v>
      </c>
      <c r="U164" s="64">
        <v>1.0</v>
      </c>
      <c r="V164" s="64">
        <v>1.0</v>
      </c>
      <c r="W164" s="64">
        <v>1.0</v>
      </c>
      <c r="X164" s="64">
        <v>1.0</v>
      </c>
      <c r="Y164" s="64">
        <v>1.0</v>
      </c>
      <c r="Z164" s="64">
        <v>1.0</v>
      </c>
      <c r="AA164" s="66"/>
      <c r="AB164" s="66"/>
    </row>
    <row r="165">
      <c r="C165" s="7" t="s">
        <v>371</v>
      </c>
      <c r="D165" s="7" t="s">
        <v>372</v>
      </c>
      <c r="E165" s="7" t="s">
        <v>370</v>
      </c>
      <c r="F165" s="8" t="s">
        <v>24</v>
      </c>
      <c r="G165" s="7" t="s">
        <v>25</v>
      </c>
      <c r="H165" s="21">
        <v>29.0</v>
      </c>
      <c r="I165" s="10">
        <v>1.0</v>
      </c>
      <c r="J165" s="10">
        <v>0.5</v>
      </c>
      <c r="K165" s="10">
        <v>1.0</v>
      </c>
      <c r="L165" s="10">
        <v>1.0</v>
      </c>
      <c r="M165" s="10">
        <v>1.0</v>
      </c>
      <c r="N165" s="10">
        <v>1.0</v>
      </c>
      <c r="O165" s="10">
        <v>0.5</v>
      </c>
      <c r="P165" s="10">
        <v>1.0</v>
      </c>
      <c r="Q165" s="10">
        <v>1.0</v>
      </c>
      <c r="R165" s="10">
        <v>0.5</v>
      </c>
      <c r="S165" s="10">
        <v>1.0</v>
      </c>
      <c r="T165" s="10">
        <v>1.0</v>
      </c>
      <c r="U165" s="10">
        <v>1.0</v>
      </c>
      <c r="V165" s="10">
        <v>1.0</v>
      </c>
      <c r="W165" s="10">
        <v>1.0</v>
      </c>
      <c r="X165" s="10">
        <v>1.0</v>
      </c>
      <c r="Z165" s="10">
        <v>1.0</v>
      </c>
      <c r="AA165" s="10">
        <v>1.0</v>
      </c>
    </row>
    <row r="166">
      <c r="C166" s="7" t="s">
        <v>373</v>
      </c>
      <c r="D166" s="7" t="s">
        <v>374</v>
      </c>
      <c r="E166" s="7" t="s">
        <v>370</v>
      </c>
      <c r="F166" s="8" t="s">
        <v>24</v>
      </c>
      <c r="G166" s="7" t="s">
        <v>93</v>
      </c>
      <c r="H166" s="21">
        <v>29.0</v>
      </c>
      <c r="I166" s="10">
        <v>1.0</v>
      </c>
      <c r="J166" s="10">
        <v>1.0</v>
      </c>
      <c r="K166" s="10">
        <v>1.0</v>
      </c>
      <c r="L166" s="10">
        <v>1.0</v>
      </c>
      <c r="M166" s="10">
        <v>0.5</v>
      </c>
      <c r="N166" s="10">
        <v>1.0</v>
      </c>
      <c r="O166" s="10">
        <v>1.0</v>
      </c>
      <c r="P166" s="10">
        <v>1.0</v>
      </c>
      <c r="Q166" s="10">
        <v>1.0</v>
      </c>
      <c r="R166" s="10">
        <v>1.0</v>
      </c>
      <c r="S166" s="10">
        <v>1.0</v>
      </c>
      <c r="T166" s="10">
        <v>1.0</v>
      </c>
      <c r="U166" s="10">
        <v>1.0</v>
      </c>
      <c r="V166" s="10">
        <v>1.0</v>
      </c>
      <c r="W166" s="10">
        <v>1.0</v>
      </c>
      <c r="X166" s="10">
        <v>1.0</v>
      </c>
      <c r="Y166" s="10">
        <v>1.0</v>
      </c>
      <c r="Z166" s="10">
        <v>1.0</v>
      </c>
    </row>
    <row r="167">
      <c r="C167" s="7" t="s">
        <v>375</v>
      </c>
      <c r="D167" s="7" t="s">
        <v>376</v>
      </c>
      <c r="E167" s="7" t="s">
        <v>370</v>
      </c>
      <c r="F167" s="8" t="s">
        <v>24</v>
      </c>
      <c r="G167" s="7" t="s">
        <v>93</v>
      </c>
      <c r="H167" s="21">
        <v>29.0</v>
      </c>
      <c r="I167" s="10">
        <v>1.0</v>
      </c>
      <c r="J167" s="10">
        <v>1.0</v>
      </c>
      <c r="K167" s="10">
        <v>1.0</v>
      </c>
      <c r="L167" s="10">
        <v>1.0</v>
      </c>
      <c r="M167" s="10">
        <v>1.0</v>
      </c>
      <c r="N167" s="10">
        <v>1.0</v>
      </c>
      <c r="O167" s="10">
        <v>1.0</v>
      </c>
      <c r="P167" s="10">
        <v>1.0</v>
      </c>
      <c r="Q167" s="10">
        <v>1.0</v>
      </c>
      <c r="R167" s="10">
        <v>1.0</v>
      </c>
      <c r="S167" s="10">
        <v>1.0</v>
      </c>
      <c r="T167" s="10">
        <v>1.0</v>
      </c>
      <c r="U167" s="10">
        <v>1.0</v>
      </c>
      <c r="V167" s="10">
        <v>1.0</v>
      </c>
      <c r="W167" s="10">
        <v>1.0</v>
      </c>
      <c r="X167" s="10">
        <v>1.0</v>
      </c>
      <c r="Y167" s="10">
        <v>1.0</v>
      </c>
      <c r="Z167" s="10">
        <v>1.0</v>
      </c>
    </row>
    <row r="168">
      <c r="C168" s="7" t="s">
        <v>377</v>
      </c>
      <c r="D168" s="7" t="s">
        <v>378</v>
      </c>
      <c r="E168" s="7" t="s">
        <v>370</v>
      </c>
      <c r="F168" s="8" t="s">
        <v>24</v>
      </c>
      <c r="G168" s="7" t="s">
        <v>25</v>
      </c>
      <c r="H168" s="21">
        <v>29.0</v>
      </c>
      <c r="I168" s="10">
        <v>1.0</v>
      </c>
      <c r="J168" s="10">
        <v>1.0</v>
      </c>
      <c r="K168" s="10">
        <v>1.0</v>
      </c>
      <c r="L168" s="10">
        <v>1.0</v>
      </c>
      <c r="M168" s="10">
        <v>1.0</v>
      </c>
      <c r="N168" s="10">
        <v>1.0</v>
      </c>
      <c r="O168" s="10">
        <v>1.0</v>
      </c>
      <c r="P168" s="10">
        <v>1.0</v>
      </c>
      <c r="Q168" s="10">
        <v>1.0</v>
      </c>
      <c r="R168" s="10">
        <v>1.0</v>
      </c>
      <c r="S168" s="10">
        <v>1.0</v>
      </c>
      <c r="T168" s="10">
        <v>1.0</v>
      </c>
      <c r="U168" s="10">
        <v>1.0</v>
      </c>
      <c r="V168" s="10">
        <v>1.0</v>
      </c>
      <c r="W168" s="10">
        <v>1.0</v>
      </c>
      <c r="X168" s="10">
        <v>1.0</v>
      </c>
      <c r="Y168" s="10">
        <v>1.0</v>
      </c>
      <c r="Z168" s="10">
        <v>1.0</v>
      </c>
    </row>
    <row r="169">
      <c r="C169" s="16" t="s">
        <v>379</v>
      </c>
      <c r="D169" s="16" t="s">
        <v>380</v>
      </c>
      <c r="E169" s="16" t="s">
        <v>370</v>
      </c>
      <c r="F169" s="17" t="s">
        <v>24</v>
      </c>
      <c r="G169" s="16" t="s">
        <v>25</v>
      </c>
      <c r="H169" s="24">
        <v>29.0</v>
      </c>
      <c r="I169" s="19">
        <v>1.0</v>
      </c>
      <c r="J169" s="19">
        <v>1.0</v>
      </c>
      <c r="K169" s="19">
        <v>1.0</v>
      </c>
      <c r="L169" s="10">
        <v>1.0</v>
      </c>
      <c r="M169" s="10">
        <v>1.0</v>
      </c>
      <c r="N169" s="10">
        <v>1.0</v>
      </c>
      <c r="O169" s="10">
        <v>1.0</v>
      </c>
      <c r="P169" s="10">
        <v>1.0</v>
      </c>
      <c r="Q169" s="10">
        <v>1.0</v>
      </c>
      <c r="R169" s="10">
        <v>1.0</v>
      </c>
      <c r="S169" s="10">
        <v>1.0</v>
      </c>
      <c r="T169" s="10">
        <v>1.0</v>
      </c>
      <c r="U169" s="10">
        <v>1.0</v>
      </c>
      <c r="V169" s="10">
        <v>1.0</v>
      </c>
      <c r="W169" s="10">
        <v>1.0</v>
      </c>
      <c r="X169" s="10">
        <v>1.0</v>
      </c>
      <c r="Y169" s="10">
        <v>1.0</v>
      </c>
      <c r="Z169" s="10">
        <v>1.0</v>
      </c>
    </row>
    <row r="170">
      <c r="A170" s="15"/>
      <c r="B170" s="15"/>
      <c r="C170" s="7" t="s">
        <v>381</v>
      </c>
      <c r="D170" s="7" t="s">
        <v>382</v>
      </c>
      <c r="E170" s="7" t="s">
        <v>383</v>
      </c>
      <c r="F170" s="8" t="s">
        <v>11</v>
      </c>
      <c r="G170" s="7" t="s">
        <v>12</v>
      </c>
      <c r="H170" s="51">
        <v>30.0</v>
      </c>
      <c r="I170" s="10">
        <v>1.0</v>
      </c>
      <c r="J170" s="10">
        <v>1.0</v>
      </c>
      <c r="K170" s="10">
        <v>1.0</v>
      </c>
      <c r="L170" s="64">
        <v>1.0</v>
      </c>
      <c r="M170" s="64">
        <v>1.0</v>
      </c>
      <c r="N170" s="64">
        <v>1.0</v>
      </c>
      <c r="O170" s="64">
        <v>1.0</v>
      </c>
      <c r="P170" s="64">
        <v>1.0</v>
      </c>
      <c r="Q170" s="64">
        <v>1.0</v>
      </c>
      <c r="R170" s="64">
        <v>1.0</v>
      </c>
      <c r="S170" s="64">
        <v>1.0</v>
      </c>
      <c r="T170" s="64">
        <v>1.0</v>
      </c>
      <c r="U170" s="64">
        <v>1.0</v>
      </c>
      <c r="V170" s="64">
        <v>0.0</v>
      </c>
      <c r="W170" s="64">
        <v>1.0</v>
      </c>
      <c r="X170" s="64">
        <v>1.0</v>
      </c>
      <c r="Y170" s="64">
        <v>1.0</v>
      </c>
      <c r="Z170" s="64">
        <v>1.0</v>
      </c>
      <c r="AA170" s="64">
        <v>1.0</v>
      </c>
      <c r="AB170" s="66"/>
    </row>
    <row r="171">
      <c r="C171" s="7" t="s">
        <v>384</v>
      </c>
      <c r="D171" s="7" t="s">
        <v>385</v>
      </c>
      <c r="E171" s="7" t="s">
        <v>383</v>
      </c>
      <c r="F171" s="8" t="s">
        <v>11</v>
      </c>
      <c r="G171" s="7" t="s">
        <v>12</v>
      </c>
      <c r="H171" s="51">
        <v>30.0</v>
      </c>
      <c r="I171" s="10">
        <v>1.0</v>
      </c>
      <c r="J171" s="10">
        <v>1.0</v>
      </c>
      <c r="K171" s="10">
        <v>1.0</v>
      </c>
      <c r="L171" s="10">
        <v>1.0</v>
      </c>
      <c r="M171" s="10">
        <v>1.0</v>
      </c>
      <c r="N171" s="10">
        <v>1.0</v>
      </c>
      <c r="O171" s="10">
        <v>1.0</v>
      </c>
      <c r="P171" s="10">
        <v>1.0</v>
      </c>
      <c r="Q171" s="10">
        <v>1.0</v>
      </c>
      <c r="R171" s="10">
        <v>1.0</v>
      </c>
      <c r="S171" s="10">
        <v>1.0</v>
      </c>
      <c r="T171" s="10">
        <v>1.0</v>
      </c>
      <c r="U171" s="10">
        <v>1.0</v>
      </c>
      <c r="V171" s="10">
        <v>1.0</v>
      </c>
      <c r="W171" s="10">
        <v>1.0</v>
      </c>
      <c r="X171" s="10">
        <v>1.0</v>
      </c>
      <c r="Y171" s="10">
        <v>1.0</v>
      </c>
      <c r="Z171" s="10">
        <v>1.0</v>
      </c>
      <c r="AA171" s="10">
        <v>1.0</v>
      </c>
    </row>
    <row r="172">
      <c r="C172" s="7" t="s">
        <v>386</v>
      </c>
      <c r="D172" s="7" t="s">
        <v>387</v>
      </c>
      <c r="E172" s="7" t="s">
        <v>383</v>
      </c>
      <c r="F172" s="11" t="s">
        <v>11</v>
      </c>
      <c r="G172" s="7" t="s">
        <v>12</v>
      </c>
      <c r="H172" s="51">
        <v>30.0</v>
      </c>
      <c r="I172" s="12">
        <v>1.0</v>
      </c>
      <c r="J172" s="12">
        <v>1.0</v>
      </c>
      <c r="K172" s="13">
        <v>1.0</v>
      </c>
      <c r="L172" s="10">
        <v>1.0</v>
      </c>
      <c r="M172" s="10">
        <v>1.0</v>
      </c>
      <c r="N172" s="10">
        <v>1.0</v>
      </c>
      <c r="O172" s="10">
        <v>1.0</v>
      </c>
      <c r="P172" s="10">
        <v>1.0</v>
      </c>
      <c r="Q172" s="10">
        <v>1.0</v>
      </c>
      <c r="R172" s="10">
        <v>1.0</v>
      </c>
      <c r="S172" s="10">
        <v>1.0</v>
      </c>
      <c r="T172" s="10">
        <v>1.0</v>
      </c>
      <c r="U172" s="10">
        <v>0.5</v>
      </c>
      <c r="V172" s="10">
        <v>1.0</v>
      </c>
      <c r="W172" s="10">
        <v>1.0</v>
      </c>
      <c r="X172" s="10">
        <v>1.0</v>
      </c>
      <c r="Y172" s="10">
        <v>1.0</v>
      </c>
      <c r="Z172" s="10">
        <v>1.0</v>
      </c>
      <c r="AA172" s="10">
        <v>0.0</v>
      </c>
    </row>
    <row r="173">
      <c r="C173" s="7" t="s">
        <v>388</v>
      </c>
      <c r="D173" s="7" t="s">
        <v>389</v>
      </c>
      <c r="E173" s="7" t="s">
        <v>383</v>
      </c>
      <c r="F173" s="11" t="s">
        <v>11</v>
      </c>
      <c r="G173" s="7" t="s">
        <v>12</v>
      </c>
      <c r="H173" s="51">
        <v>30.0</v>
      </c>
      <c r="I173" s="12">
        <v>1.0</v>
      </c>
      <c r="J173" s="12">
        <v>1.0</v>
      </c>
      <c r="K173" s="13">
        <v>1.0</v>
      </c>
      <c r="L173" s="13">
        <v>1.0</v>
      </c>
      <c r="M173" s="13">
        <v>1.0</v>
      </c>
      <c r="N173" s="13">
        <v>1.0</v>
      </c>
      <c r="O173" s="13">
        <v>1.0</v>
      </c>
      <c r="P173" s="10">
        <v>1.0</v>
      </c>
      <c r="Q173" s="13">
        <v>1.0</v>
      </c>
      <c r="R173" s="13">
        <v>1.0</v>
      </c>
      <c r="S173" s="13">
        <v>1.0</v>
      </c>
      <c r="T173" s="13">
        <v>1.0</v>
      </c>
      <c r="U173" s="13">
        <v>0.5</v>
      </c>
      <c r="V173" s="13">
        <v>1.0</v>
      </c>
      <c r="W173" s="13">
        <v>1.0</v>
      </c>
      <c r="X173" s="13">
        <v>1.0</v>
      </c>
      <c r="Y173" s="13">
        <v>1.0</v>
      </c>
      <c r="Z173" s="13">
        <v>1.0</v>
      </c>
      <c r="AA173" s="13">
        <v>0.0</v>
      </c>
      <c r="AB173" s="14"/>
    </row>
    <row r="174">
      <c r="C174" s="16" t="s">
        <v>390</v>
      </c>
      <c r="D174" s="16" t="s">
        <v>391</v>
      </c>
      <c r="E174" s="16" t="s">
        <v>383</v>
      </c>
      <c r="F174" s="17" t="s">
        <v>11</v>
      </c>
      <c r="G174" s="16" t="s">
        <v>12</v>
      </c>
      <c r="H174" s="52">
        <v>30.0</v>
      </c>
      <c r="I174" s="19">
        <v>1.0</v>
      </c>
      <c r="J174" s="19">
        <v>1.0</v>
      </c>
      <c r="K174" s="19">
        <v>0.0</v>
      </c>
      <c r="L174" s="13">
        <v>1.0</v>
      </c>
      <c r="M174" s="13">
        <v>1.0</v>
      </c>
      <c r="N174" s="13">
        <v>1.0</v>
      </c>
      <c r="O174" s="13">
        <v>1.0</v>
      </c>
      <c r="P174" s="10">
        <v>1.0</v>
      </c>
      <c r="Q174" s="13">
        <v>1.0</v>
      </c>
      <c r="R174" s="13">
        <v>1.0</v>
      </c>
      <c r="S174" s="13">
        <v>1.0</v>
      </c>
      <c r="T174" s="13">
        <v>1.0</v>
      </c>
      <c r="U174" s="10">
        <v>1.0</v>
      </c>
      <c r="V174" s="13">
        <v>1.0</v>
      </c>
      <c r="W174" s="13">
        <v>0.0</v>
      </c>
      <c r="X174" s="13">
        <v>0.0</v>
      </c>
      <c r="Y174" s="13">
        <v>0.0</v>
      </c>
      <c r="Z174" s="13">
        <v>0.0</v>
      </c>
      <c r="AA174" s="13">
        <v>0.0</v>
      </c>
      <c r="AB174" s="14"/>
    </row>
    <row r="175">
      <c r="A175" s="15"/>
      <c r="B175" s="15"/>
      <c r="C175" s="7" t="s">
        <v>392</v>
      </c>
      <c r="D175" s="7" t="s">
        <v>393</v>
      </c>
      <c r="E175" s="7" t="s">
        <v>394</v>
      </c>
      <c r="F175" s="8" t="s">
        <v>11</v>
      </c>
      <c r="G175" s="7" t="s">
        <v>12</v>
      </c>
      <c r="H175" s="47">
        <v>31.0</v>
      </c>
      <c r="I175" s="10">
        <v>1.0</v>
      </c>
      <c r="J175" s="10">
        <v>0.5</v>
      </c>
      <c r="K175" s="10">
        <v>1.0</v>
      </c>
      <c r="L175" s="64">
        <v>1.0</v>
      </c>
      <c r="M175" s="64">
        <v>1.0</v>
      </c>
      <c r="N175" s="64">
        <v>1.0</v>
      </c>
      <c r="O175" s="64">
        <v>1.0</v>
      </c>
      <c r="P175" s="64">
        <v>0.5</v>
      </c>
      <c r="Q175" s="64">
        <v>1.0</v>
      </c>
      <c r="R175" s="64">
        <v>0.5</v>
      </c>
      <c r="S175" s="64">
        <v>1.0</v>
      </c>
      <c r="T175" s="64">
        <v>1.0</v>
      </c>
      <c r="U175" s="10">
        <v>1.0</v>
      </c>
      <c r="V175" s="64">
        <v>1.0</v>
      </c>
      <c r="W175" s="64">
        <v>1.0</v>
      </c>
      <c r="X175" s="64">
        <v>1.0</v>
      </c>
      <c r="Y175" s="64">
        <v>1.0</v>
      </c>
      <c r="Z175" s="64">
        <v>1.0</v>
      </c>
      <c r="AA175" s="64">
        <v>1.0</v>
      </c>
      <c r="AB175" s="66"/>
    </row>
    <row r="176">
      <c r="C176" s="7" t="s">
        <v>395</v>
      </c>
      <c r="D176" s="7" t="s">
        <v>396</v>
      </c>
      <c r="E176" s="7" t="s">
        <v>394</v>
      </c>
      <c r="F176" s="8" t="s">
        <v>11</v>
      </c>
      <c r="G176" s="7" t="s">
        <v>12</v>
      </c>
      <c r="H176" s="47">
        <v>31.0</v>
      </c>
      <c r="I176" s="10">
        <v>1.0</v>
      </c>
      <c r="J176" s="10">
        <v>1.0</v>
      </c>
      <c r="K176" s="10">
        <v>1.0</v>
      </c>
      <c r="L176" s="10">
        <v>1.0</v>
      </c>
      <c r="M176" s="10">
        <v>1.0</v>
      </c>
      <c r="N176" s="10">
        <v>1.0</v>
      </c>
      <c r="O176" s="10">
        <v>1.0</v>
      </c>
      <c r="P176" s="10">
        <v>1.0</v>
      </c>
      <c r="Q176" s="10">
        <v>1.0</v>
      </c>
      <c r="R176" s="10">
        <v>1.0</v>
      </c>
      <c r="S176" s="10">
        <v>1.0</v>
      </c>
      <c r="T176" s="10">
        <v>1.0</v>
      </c>
      <c r="U176" s="10">
        <v>1.0</v>
      </c>
      <c r="V176" s="10">
        <v>1.0</v>
      </c>
      <c r="W176" s="10">
        <v>1.0</v>
      </c>
      <c r="X176" s="10">
        <v>1.0</v>
      </c>
      <c r="Y176" s="10">
        <v>1.0</v>
      </c>
      <c r="Z176" s="10">
        <v>1.0</v>
      </c>
      <c r="AA176" s="10">
        <v>1.0</v>
      </c>
    </row>
    <row r="177">
      <c r="C177" s="7" t="s">
        <v>397</v>
      </c>
      <c r="D177" s="7" t="s">
        <v>398</v>
      </c>
      <c r="E177" s="7" t="s">
        <v>394</v>
      </c>
      <c r="F177" s="8" t="s">
        <v>11</v>
      </c>
      <c r="G177" s="7" t="s">
        <v>12</v>
      </c>
      <c r="H177" s="47">
        <v>31.0</v>
      </c>
      <c r="I177" s="10">
        <v>1.0</v>
      </c>
      <c r="J177" s="10">
        <v>1.0</v>
      </c>
      <c r="K177" s="10">
        <v>1.0</v>
      </c>
      <c r="L177" s="10">
        <v>1.0</v>
      </c>
      <c r="M177" s="10">
        <v>1.0</v>
      </c>
      <c r="N177" s="10">
        <v>1.0</v>
      </c>
      <c r="O177" s="10">
        <v>1.0</v>
      </c>
      <c r="P177" s="10">
        <v>1.0</v>
      </c>
      <c r="Q177" s="10">
        <v>1.0</v>
      </c>
      <c r="R177" s="10">
        <v>1.0</v>
      </c>
      <c r="S177" s="10">
        <v>1.0</v>
      </c>
      <c r="T177" s="10">
        <v>1.0</v>
      </c>
      <c r="U177" s="10">
        <v>1.0</v>
      </c>
      <c r="V177" s="10">
        <v>1.0</v>
      </c>
      <c r="W177" s="10">
        <v>1.0</v>
      </c>
      <c r="X177" s="10">
        <v>1.0</v>
      </c>
      <c r="Y177" s="10">
        <v>1.0</v>
      </c>
      <c r="Z177" s="10">
        <v>1.0</v>
      </c>
      <c r="AA177" s="10">
        <v>1.0</v>
      </c>
    </row>
    <row r="178">
      <c r="C178" s="7" t="s">
        <v>399</v>
      </c>
      <c r="D178" s="7" t="s">
        <v>400</v>
      </c>
      <c r="E178" s="7" t="s">
        <v>394</v>
      </c>
      <c r="F178" s="8" t="s">
        <v>11</v>
      </c>
      <c r="G178" s="7" t="s">
        <v>12</v>
      </c>
      <c r="H178" s="47">
        <v>31.0</v>
      </c>
      <c r="I178" s="10">
        <v>1.0</v>
      </c>
      <c r="J178" s="10">
        <v>1.0</v>
      </c>
      <c r="K178" s="10">
        <v>1.0</v>
      </c>
      <c r="L178" s="10">
        <v>1.0</v>
      </c>
      <c r="M178" s="10">
        <v>1.0</v>
      </c>
      <c r="N178" s="10">
        <v>1.0</v>
      </c>
      <c r="O178" s="10">
        <v>1.0</v>
      </c>
      <c r="P178" s="10">
        <v>1.0</v>
      </c>
      <c r="Q178" s="10">
        <v>1.0</v>
      </c>
      <c r="R178" s="10">
        <v>1.0</v>
      </c>
      <c r="S178" s="10">
        <v>1.0</v>
      </c>
      <c r="T178" s="10">
        <v>1.0</v>
      </c>
      <c r="U178" s="10">
        <v>1.0</v>
      </c>
      <c r="V178" s="10">
        <v>1.0</v>
      </c>
      <c r="W178" s="10">
        <v>1.0</v>
      </c>
      <c r="X178" s="10">
        <v>1.0</v>
      </c>
      <c r="Y178" s="10">
        <v>1.0</v>
      </c>
      <c r="Z178" s="10">
        <v>1.0</v>
      </c>
      <c r="AA178" s="10">
        <v>1.0</v>
      </c>
    </row>
    <row r="179">
      <c r="C179" s="7" t="s">
        <v>401</v>
      </c>
      <c r="D179" s="7" t="s">
        <v>402</v>
      </c>
      <c r="E179" s="7" t="s">
        <v>394</v>
      </c>
      <c r="F179" s="8" t="s">
        <v>24</v>
      </c>
      <c r="G179" s="7" t="s">
        <v>25</v>
      </c>
      <c r="H179" s="47">
        <v>31.0</v>
      </c>
      <c r="I179" s="10">
        <v>1.0</v>
      </c>
      <c r="J179" s="10">
        <v>1.0</v>
      </c>
      <c r="K179" s="10">
        <v>1.0</v>
      </c>
      <c r="L179" s="10">
        <v>1.0</v>
      </c>
      <c r="M179" s="10">
        <v>1.0</v>
      </c>
      <c r="N179" s="10">
        <v>1.0</v>
      </c>
      <c r="O179" s="10">
        <v>1.0</v>
      </c>
      <c r="P179" s="10">
        <v>1.0</v>
      </c>
      <c r="Q179" s="10">
        <v>1.0</v>
      </c>
      <c r="R179" s="10">
        <v>1.0</v>
      </c>
      <c r="S179" s="10">
        <v>0.5</v>
      </c>
      <c r="T179" s="10">
        <v>1.0</v>
      </c>
      <c r="U179" s="10">
        <v>1.0</v>
      </c>
      <c r="V179" s="10">
        <v>1.0</v>
      </c>
      <c r="W179" s="10">
        <v>1.0</v>
      </c>
      <c r="X179" s="10">
        <v>1.0</v>
      </c>
      <c r="Y179" s="10">
        <v>1.0</v>
      </c>
      <c r="Z179" s="10">
        <v>1.0</v>
      </c>
      <c r="AA179" s="10">
        <v>1.0</v>
      </c>
    </row>
    <row r="180">
      <c r="C180" s="7" t="s">
        <v>403</v>
      </c>
      <c r="D180" s="7" t="s">
        <v>404</v>
      </c>
      <c r="E180" s="7" t="s">
        <v>394</v>
      </c>
      <c r="F180" s="8" t="s">
        <v>24</v>
      </c>
      <c r="G180" s="7" t="s">
        <v>25</v>
      </c>
      <c r="H180" s="47">
        <v>31.0</v>
      </c>
      <c r="I180" s="10">
        <v>1.0</v>
      </c>
      <c r="J180" s="10">
        <v>1.0</v>
      </c>
      <c r="K180" s="10">
        <v>1.0</v>
      </c>
      <c r="L180" s="10">
        <v>1.0</v>
      </c>
      <c r="M180" s="10">
        <v>1.0</v>
      </c>
      <c r="N180" s="10">
        <v>1.0</v>
      </c>
      <c r="O180" s="10">
        <v>1.0</v>
      </c>
      <c r="P180" s="10">
        <v>1.0</v>
      </c>
      <c r="Q180" s="10">
        <v>1.0</v>
      </c>
      <c r="R180" s="10">
        <v>1.0</v>
      </c>
      <c r="S180" s="10">
        <v>0.5</v>
      </c>
      <c r="T180" s="10">
        <v>1.0</v>
      </c>
      <c r="U180" s="10">
        <v>1.0</v>
      </c>
      <c r="V180" s="10">
        <v>1.0</v>
      </c>
      <c r="W180" s="10">
        <v>1.0</v>
      </c>
      <c r="X180" s="10">
        <v>1.0</v>
      </c>
      <c r="Y180" s="10">
        <v>1.0</v>
      </c>
      <c r="Z180" s="10"/>
      <c r="AA180" s="10">
        <v>1.0</v>
      </c>
    </row>
    <row r="181">
      <c r="C181" s="16" t="s">
        <v>405</v>
      </c>
      <c r="D181" s="16" t="s">
        <v>406</v>
      </c>
      <c r="E181" s="16" t="s">
        <v>394</v>
      </c>
      <c r="F181" s="17" t="s">
        <v>24</v>
      </c>
      <c r="G181" s="16" t="s">
        <v>25</v>
      </c>
      <c r="H181" s="48">
        <v>31.0</v>
      </c>
      <c r="I181" s="19">
        <v>1.0</v>
      </c>
      <c r="J181" s="19">
        <v>1.0</v>
      </c>
      <c r="K181" s="19">
        <v>1.0</v>
      </c>
      <c r="L181" s="10">
        <v>1.0</v>
      </c>
      <c r="M181" s="10">
        <v>1.0</v>
      </c>
      <c r="N181" s="10">
        <v>1.0</v>
      </c>
      <c r="O181" s="10">
        <v>1.0</v>
      </c>
      <c r="P181" s="10">
        <v>1.0</v>
      </c>
      <c r="Q181" s="10">
        <v>1.0</v>
      </c>
      <c r="R181" s="10">
        <v>1.0</v>
      </c>
      <c r="S181" s="10">
        <v>1.0</v>
      </c>
      <c r="T181" s="10">
        <v>0.5</v>
      </c>
      <c r="U181" s="10">
        <v>1.0</v>
      </c>
      <c r="V181" s="10">
        <v>1.0</v>
      </c>
      <c r="W181" s="10">
        <v>0.5</v>
      </c>
      <c r="X181" s="10">
        <v>1.0</v>
      </c>
      <c r="Y181" s="10">
        <v>1.0</v>
      </c>
      <c r="Z181" s="10">
        <v>1.0</v>
      </c>
      <c r="AA181" s="10">
        <v>1.0</v>
      </c>
    </row>
    <row r="182">
      <c r="A182" s="15"/>
      <c r="B182" s="15"/>
      <c r="C182" s="7"/>
      <c r="D182" s="7"/>
      <c r="E182" s="7"/>
      <c r="F182" s="83"/>
      <c r="G182" s="7"/>
      <c r="L182" s="66"/>
      <c r="M182" s="66"/>
      <c r="N182" s="66"/>
      <c r="O182" s="66"/>
      <c r="P182" s="66"/>
      <c r="Q182" s="66"/>
      <c r="R182" s="66"/>
      <c r="S182" s="66"/>
      <c r="T182" s="66"/>
      <c r="U182" s="66"/>
      <c r="V182" s="64" t="s">
        <v>407</v>
      </c>
      <c r="W182" s="66"/>
      <c r="X182" s="66"/>
      <c r="Y182" s="66"/>
      <c r="Z182" s="66"/>
      <c r="AA182" s="66"/>
      <c r="AB182" s="66"/>
    </row>
    <row r="183">
      <c r="C183" s="7"/>
      <c r="D183" s="7"/>
      <c r="E183" s="7"/>
      <c r="F183" s="83"/>
      <c r="G183" s="7"/>
    </row>
    <row r="184">
      <c r="C184" s="7"/>
      <c r="D184" s="7"/>
      <c r="E184" s="7"/>
      <c r="F184" s="83"/>
      <c r="G184" s="7"/>
    </row>
    <row r="185">
      <c r="C185" s="7"/>
      <c r="D185" s="7"/>
      <c r="E185" s="7"/>
      <c r="F185" s="83"/>
      <c r="G185" s="7"/>
    </row>
    <row r="186">
      <c r="C186" s="7"/>
      <c r="D186" s="7"/>
      <c r="E186" s="7"/>
      <c r="F186" s="83"/>
      <c r="G186" s="7"/>
    </row>
    <row r="187">
      <c r="C187" s="7"/>
      <c r="D187" s="7"/>
      <c r="E187" s="7"/>
      <c r="F187" s="83"/>
      <c r="G187" s="7"/>
    </row>
    <row r="188">
      <c r="C188" s="7"/>
      <c r="D188" s="7"/>
      <c r="E188" s="7"/>
      <c r="F188" s="83"/>
      <c r="G188" s="7"/>
    </row>
    <row r="189">
      <c r="C189" s="7"/>
      <c r="D189" s="7"/>
      <c r="E189" s="7"/>
      <c r="F189" s="83"/>
      <c r="G189" s="7"/>
    </row>
    <row r="190">
      <c r="F190" s="83"/>
    </row>
    <row r="191">
      <c r="F191" s="83"/>
    </row>
    <row r="192">
      <c r="F192" s="83"/>
    </row>
    <row r="193">
      <c r="F193" s="83"/>
    </row>
    <row r="194">
      <c r="F194" s="83"/>
    </row>
    <row r="195">
      <c r="F195" s="83"/>
    </row>
    <row r="196">
      <c r="F196" s="83"/>
    </row>
    <row r="197">
      <c r="F197" s="83"/>
    </row>
    <row r="198">
      <c r="F198" s="83"/>
    </row>
    <row r="199">
      <c r="F199" s="83"/>
    </row>
    <row r="200">
      <c r="F200" s="83"/>
    </row>
    <row r="201">
      <c r="F201" s="83"/>
    </row>
    <row r="202">
      <c r="F202" s="83"/>
    </row>
    <row r="203">
      <c r="F203" s="83"/>
    </row>
    <row r="204">
      <c r="F204" s="83"/>
    </row>
    <row r="205">
      <c r="F205" s="83"/>
    </row>
    <row r="206">
      <c r="F206" s="83"/>
    </row>
    <row r="207">
      <c r="F207" s="83"/>
    </row>
    <row r="208">
      <c r="F208" s="83"/>
    </row>
    <row r="209">
      <c r="F209" s="83"/>
    </row>
    <row r="210">
      <c r="F210" s="83"/>
    </row>
    <row r="211">
      <c r="F211" s="83"/>
    </row>
    <row r="212">
      <c r="F212" s="83"/>
    </row>
    <row r="213">
      <c r="F213" s="83"/>
    </row>
    <row r="214">
      <c r="F214" s="83"/>
    </row>
    <row r="215">
      <c r="F215" s="83"/>
    </row>
    <row r="216">
      <c r="F216" s="83"/>
    </row>
    <row r="217">
      <c r="F217" s="83"/>
    </row>
    <row r="218">
      <c r="F218" s="83"/>
    </row>
    <row r="219">
      <c r="F219" s="83"/>
    </row>
    <row r="220">
      <c r="F220" s="83"/>
    </row>
    <row r="221">
      <c r="F221" s="83"/>
    </row>
    <row r="222">
      <c r="F222" s="83"/>
    </row>
    <row r="223">
      <c r="F223" s="83"/>
    </row>
    <row r="224">
      <c r="F224" s="83"/>
    </row>
    <row r="225">
      <c r="F225" s="83"/>
    </row>
    <row r="226">
      <c r="F226" s="83"/>
    </row>
    <row r="227">
      <c r="F227" s="83"/>
    </row>
    <row r="228">
      <c r="F228" s="83"/>
    </row>
    <row r="229">
      <c r="F229" s="83"/>
    </row>
    <row r="230">
      <c r="F230" s="83"/>
    </row>
    <row r="231">
      <c r="F231" s="83"/>
    </row>
    <row r="232">
      <c r="F232" s="83"/>
    </row>
    <row r="233">
      <c r="F233" s="83"/>
    </row>
    <row r="234">
      <c r="F234" s="83"/>
    </row>
    <row r="235">
      <c r="F235" s="83"/>
    </row>
    <row r="236">
      <c r="F236" s="83"/>
    </row>
    <row r="237">
      <c r="F237" s="83"/>
    </row>
    <row r="238">
      <c r="F238" s="83"/>
    </row>
    <row r="239">
      <c r="F239" s="83"/>
    </row>
    <row r="240">
      <c r="F240" s="83"/>
    </row>
    <row r="241">
      <c r="F241" s="83"/>
    </row>
    <row r="242">
      <c r="F242" s="83"/>
    </row>
    <row r="243">
      <c r="F243" s="83"/>
    </row>
    <row r="244">
      <c r="F244" s="83"/>
    </row>
    <row r="245">
      <c r="F245" s="83"/>
    </row>
    <row r="246">
      <c r="F246" s="83"/>
    </row>
    <row r="247">
      <c r="F247" s="83"/>
    </row>
    <row r="248">
      <c r="F248" s="83"/>
    </row>
    <row r="249">
      <c r="F249" s="83"/>
    </row>
    <row r="250">
      <c r="F250" s="83"/>
    </row>
    <row r="251">
      <c r="F251" s="83"/>
    </row>
    <row r="252">
      <c r="F252" s="83"/>
    </row>
    <row r="253">
      <c r="F253" s="83"/>
    </row>
    <row r="254">
      <c r="F254" s="83"/>
    </row>
    <row r="255">
      <c r="F255" s="83"/>
    </row>
    <row r="256">
      <c r="F256" s="83"/>
    </row>
    <row r="257">
      <c r="F257" s="83"/>
    </row>
    <row r="258">
      <c r="F258" s="83"/>
    </row>
    <row r="259">
      <c r="F259" s="83"/>
    </row>
    <row r="260">
      <c r="F260" s="83"/>
    </row>
    <row r="261">
      <c r="F261" s="83"/>
    </row>
    <row r="262">
      <c r="F262" s="83"/>
    </row>
    <row r="263">
      <c r="F263" s="83"/>
    </row>
    <row r="264">
      <c r="F264" s="83"/>
    </row>
    <row r="265">
      <c r="F265" s="83"/>
    </row>
    <row r="266">
      <c r="F266" s="83"/>
    </row>
    <row r="267">
      <c r="F267" s="83"/>
    </row>
    <row r="268">
      <c r="F268" s="83"/>
    </row>
    <row r="269">
      <c r="F269" s="83"/>
    </row>
    <row r="270">
      <c r="F270" s="83"/>
    </row>
    <row r="271">
      <c r="F271" s="83"/>
    </row>
    <row r="272">
      <c r="F272" s="83"/>
    </row>
    <row r="273">
      <c r="F273" s="83"/>
    </row>
    <row r="274">
      <c r="F274" s="83"/>
    </row>
    <row r="275">
      <c r="F275" s="83"/>
    </row>
    <row r="276">
      <c r="F276" s="83"/>
    </row>
    <row r="277">
      <c r="F277" s="83"/>
    </row>
    <row r="278">
      <c r="F278" s="83"/>
    </row>
    <row r="279">
      <c r="F279" s="83"/>
    </row>
    <row r="280">
      <c r="F280" s="83"/>
    </row>
    <row r="281">
      <c r="F281" s="83"/>
    </row>
    <row r="282">
      <c r="F282" s="83"/>
    </row>
    <row r="283">
      <c r="F283" s="83"/>
    </row>
    <row r="284">
      <c r="F284" s="83"/>
    </row>
    <row r="285">
      <c r="F285" s="83"/>
    </row>
    <row r="286">
      <c r="F286" s="83"/>
    </row>
    <row r="287">
      <c r="F287" s="83"/>
    </row>
    <row r="288">
      <c r="F288" s="83"/>
    </row>
    <row r="289">
      <c r="F289" s="83"/>
    </row>
    <row r="290">
      <c r="F290" s="83"/>
    </row>
    <row r="291">
      <c r="F291" s="83"/>
    </row>
    <row r="292">
      <c r="F292" s="83"/>
    </row>
    <row r="293">
      <c r="F293" s="83"/>
    </row>
    <row r="294">
      <c r="F294" s="83"/>
    </row>
    <row r="295">
      <c r="F295" s="83"/>
    </row>
    <row r="296">
      <c r="F296" s="83"/>
    </row>
    <row r="297">
      <c r="F297" s="83"/>
    </row>
    <row r="298">
      <c r="F298" s="83"/>
    </row>
    <row r="299">
      <c r="F299" s="83"/>
    </row>
    <row r="300">
      <c r="F300" s="83"/>
    </row>
    <row r="301">
      <c r="F301" s="83"/>
    </row>
    <row r="302">
      <c r="F302" s="83"/>
    </row>
    <row r="303">
      <c r="F303" s="83"/>
    </row>
    <row r="304">
      <c r="F304" s="83"/>
    </row>
    <row r="305">
      <c r="F305" s="83"/>
    </row>
    <row r="306">
      <c r="F306" s="83"/>
    </row>
    <row r="307">
      <c r="F307" s="83"/>
    </row>
    <row r="308">
      <c r="F308" s="83"/>
    </row>
    <row r="309">
      <c r="F309" s="83"/>
    </row>
    <row r="310">
      <c r="F310" s="83"/>
    </row>
    <row r="311">
      <c r="F311" s="83"/>
    </row>
    <row r="312">
      <c r="F312" s="83"/>
    </row>
    <row r="313">
      <c r="F313" s="83"/>
    </row>
    <row r="314">
      <c r="F314" s="83"/>
    </row>
    <row r="315">
      <c r="F315" s="83"/>
    </row>
    <row r="316">
      <c r="F316" s="83"/>
    </row>
    <row r="317">
      <c r="F317" s="83"/>
    </row>
    <row r="318">
      <c r="F318" s="83"/>
    </row>
    <row r="319">
      <c r="F319" s="83"/>
    </row>
    <row r="320">
      <c r="F320" s="83"/>
    </row>
    <row r="321">
      <c r="F321" s="83"/>
    </row>
    <row r="322">
      <c r="F322" s="83"/>
    </row>
    <row r="323">
      <c r="F323" s="83"/>
    </row>
    <row r="324">
      <c r="F324" s="83"/>
    </row>
    <row r="325">
      <c r="F325" s="83"/>
    </row>
    <row r="326">
      <c r="F326" s="83"/>
    </row>
    <row r="327">
      <c r="F327" s="83"/>
    </row>
    <row r="328">
      <c r="F328" s="83"/>
    </row>
    <row r="329">
      <c r="F329" s="83"/>
    </row>
    <row r="330">
      <c r="F330" s="83"/>
    </row>
    <row r="331">
      <c r="F331" s="83"/>
    </row>
    <row r="332">
      <c r="F332" s="83"/>
    </row>
    <row r="333">
      <c r="F333" s="83"/>
    </row>
    <row r="334">
      <c r="F334" s="83"/>
    </row>
    <row r="335">
      <c r="F335" s="83"/>
    </row>
    <row r="336">
      <c r="F336" s="83"/>
    </row>
    <row r="337">
      <c r="F337" s="83"/>
    </row>
    <row r="338">
      <c r="F338" s="83"/>
    </row>
    <row r="339">
      <c r="F339" s="83"/>
    </row>
    <row r="340">
      <c r="F340" s="83"/>
    </row>
    <row r="341">
      <c r="F341" s="83"/>
    </row>
    <row r="342">
      <c r="F342" s="83"/>
    </row>
    <row r="343">
      <c r="F343" s="83"/>
    </row>
    <row r="344">
      <c r="F344" s="83"/>
    </row>
    <row r="345">
      <c r="F345" s="83"/>
    </row>
    <row r="346">
      <c r="F346" s="83"/>
    </row>
    <row r="347">
      <c r="F347" s="83"/>
    </row>
    <row r="348">
      <c r="F348" s="83"/>
    </row>
    <row r="349">
      <c r="F349" s="83"/>
    </row>
    <row r="350">
      <c r="F350" s="83"/>
    </row>
    <row r="351">
      <c r="F351" s="83"/>
    </row>
    <row r="352">
      <c r="F352" s="83"/>
    </row>
    <row r="353">
      <c r="F353" s="83"/>
    </row>
    <row r="354">
      <c r="F354" s="83"/>
    </row>
    <row r="355">
      <c r="F355" s="83"/>
    </row>
    <row r="356">
      <c r="F356" s="83"/>
    </row>
    <row r="357">
      <c r="F357" s="83"/>
    </row>
    <row r="358">
      <c r="F358" s="83"/>
    </row>
    <row r="359">
      <c r="F359" s="83"/>
    </row>
    <row r="360">
      <c r="F360" s="83"/>
    </row>
    <row r="361">
      <c r="F361" s="83"/>
    </row>
    <row r="362">
      <c r="F362" s="83"/>
    </row>
    <row r="363">
      <c r="F363" s="83"/>
    </row>
    <row r="364">
      <c r="F364" s="83"/>
    </row>
    <row r="365">
      <c r="F365" s="83"/>
    </row>
    <row r="366">
      <c r="F366" s="83"/>
    </row>
    <row r="367">
      <c r="F367" s="83"/>
    </row>
    <row r="368">
      <c r="F368" s="83"/>
    </row>
    <row r="369">
      <c r="F369" s="83"/>
    </row>
    <row r="370">
      <c r="F370" s="83"/>
    </row>
    <row r="371">
      <c r="F371" s="83"/>
    </row>
    <row r="372">
      <c r="F372" s="83"/>
    </row>
    <row r="373">
      <c r="F373" s="83"/>
    </row>
    <row r="374">
      <c r="F374" s="83"/>
    </row>
    <row r="375">
      <c r="F375" s="83"/>
    </row>
    <row r="376">
      <c r="F376" s="83"/>
    </row>
    <row r="377">
      <c r="F377" s="83"/>
    </row>
    <row r="378">
      <c r="F378" s="83"/>
    </row>
    <row r="379">
      <c r="F379" s="83"/>
    </row>
    <row r="380">
      <c r="F380" s="83"/>
    </row>
    <row r="381">
      <c r="F381" s="83"/>
    </row>
    <row r="382">
      <c r="F382" s="83"/>
    </row>
    <row r="383">
      <c r="F383" s="83"/>
    </row>
    <row r="384">
      <c r="F384" s="83"/>
    </row>
    <row r="385">
      <c r="F385" s="83"/>
    </row>
    <row r="386">
      <c r="F386" s="83"/>
    </row>
    <row r="387">
      <c r="F387" s="83"/>
    </row>
    <row r="388">
      <c r="F388" s="83"/>
    </row>
    <row r="389">
      <c r="F389" s="83"/>
    </row>
    <row r="390">
      <c r="F390" s="83"/>
    </row>
    <row r="391">
      <c r="F391" s="83"/>
    </row>
    <row r="392">
      <c r="F392" s="83"/>
    </row>
    <row r="393">
      <c r="F393" s="83"/>
    </row>
    <row r="394">
      <c r="F394" s="83"/>
    </row>
    <row r="395">
      <c r="F395" s="83"/>
    </row>
    <row r="396">
      <c r="F396" s="83"/>
    </row>
    <row r="397">
      <c r="F397" s="83"/>
    </row>
    <row r="398">
      <c r="F398" s="83"/>
    </row>
    <row r="399">
      <c r="F399" s="83"/>
    </row>
    <row r="400">
      <c r="F400" s="83"/>
    </row>
    <row r="401">
      <c r="F401" s="83"/>
    </row>
    <row r="402">
      <c r="F402" s="83"/>
    </row>
    <row r="403">
      <c r="F403" s="83"/>
    </row>
    <row r="404">
      <c r="F404" s="83"/>
    </row>
    <row r="405">
      <c r="F405" s="83"/>
    </row>
    <row r="406">
      <c r="F406" s="83"/>
    </row>
    <row r="407">
      <c r="F407" s="83"/>
    </row>
    <row r="408">
      <c r="F408" s="83"/>
    </row>
    <row r="409">
      <c r="F409" s="83"/>
    </row>
    <row r="410">
      <c r="F410" s="83"/>
    </row>
    <row r="411">
      <c r="F411" s="83"/>
    </row>
    <row r="412">
      <c r="F412" s="83"/>
    </row>
    <row r="413">
      <c r="F413" s="83"/>
    </row>
    <row r="414">
      <c r="F414" s="83"/>
    </row>
    <row r="415">
      <c r="F415" s="83"/>
    </row>
    <row r="416">
      <c r="F416" s="83"/>
    </row>
    <row r="417">
      <c r="F417" s="83"/>
    </row>
    <row r="418">
      <c r="F418" s="83"/>
    </row>
    <row r="419">
      <c r="F419" s="83"/>
    </row>
    <row r="420">
      <c r="F420" s="83"/>
    </row>
    <row r="421">
      <c r="F421" s="83"/>
    </row>
    <row r="422">
      <c r="F422" s="83"/>
    </row>
    <row r="423">
      <c r="F423" s="83"/>
    </row>
    <row r="424">
      <c r="F424" s="83"/>
    </row>
    <row r="425">
      <c r="F425" s="83"/>
    </row>
    <row r="426">
      <c r="F426" s="83"/>
    </row>
    <row r="427">
      <c r="F427" s="83"/>
    </row>
    <row r="428">
      <c r="F428" s="83"/>
    </row>
    <row r="429">
      <c r="F429" s="83"/>
    </row>
    <row r="430">
      <c r="F430" s="83"/>
    </row>
    <row r="431">
      <c r="F431" s="83"/>
    </row>
    <row r="432">
      <c r="F432" s="83"/>
    </row>
    <row r="433">
      <c r="F433" s="83"/>
    </row>
    <row r="434">
      <c r="F434" s="83"/>
    </row>
    <row r="435">
      <c r="F435" s="83"/>
    </row>
    <row r="436">
      <c r="F436" s="83"/>
    </row>
    <row r="437">
      <c r="F437" s="83"/>
    </row>
    <row r="438">
      <c r="F438" s="83"/>
    </row>
    <row r="439">
      <c r="F439" s="83"/>
    </row>
    <row r="440">
      <c r="F440" s="83"/>
    </row>
    <row r="441">
      <c r="F441" s="83"/>
    </row>
    <row r="442">
      <c r="F442" s="83"/>
    </row>
    <row r="443">
      <c r="F443" s="83"/>
    </row>
    <row r="444">
      <c r="F444" s="83"/>
    </row>
    <row r="445">
      <c r="F445" s="83"/>
    </row>
    <row r="446">
      <c r="F446" s="83"/>
    </row>
    <row r="447">
      <c r="F447" s="83"/>
    </row>
    <row r="448">
      <c r="F448" s="83"/>
    </row>
    <row r="449">
      <c r="F449" s="83"/>
    </row>
    <row r="450">
      <c r="F450" s="83"/>
    </row>
    <row r="451">
      <c r="F451" s="83"/>
    </row>
    <row r="452">
      <c r="F452" s="83"/>
    </row>
    <row r="453">
      <c r="F453" s="83"/>
    </row>
    <row r="454">
      <c r="F454" s="83"/>
    </row>
    <row r="455">
      <c r="F455" s="83"/>
    </row>
    <row r="456">
      <c r="F456" s="83"/>
    </row>
    <row r="457">
      <c r="F457" s="83"/>
    </row>
    <row r="458">
      <c r="F458" s="83"/>
    </row>
    <row r="459">
      <c r="F459" s="83"/>
    </row>
    <row r="460">
      <c r="F460" s="83"/>
    </row>
    <row r="461">
      <c r="F461" s="83"/>
    </row>
    <row r="462">
      <c r="F462" s="83"/>
    </row>
    <row r="463">
      <c r="F463" s="83"/>
    </row>
    <row r="464">
      <c r="F464" s="83"/>
    </row>
    <row r="465">
      <c r="F465" s="83"/>
    </row>
    <row r="466">
      <c r="F466" s="83"/>
    </row>
    <row r="467">
      <c r="F467" s="83"/>
    </row>
    <row r="468">
      <c r="F468" s="83"/>
    </row>
    <row r="469">
      <c r="F469" s="83"/>
    </row>
    <row r="470">
      <c r="F470" s="83"/>
    </row>
    <row r="471">
      <c r="F471" s="83"/>
    </row>
    <row r="472">
      <c r="F472" s="83"/>
    </row>
    <row r="473">
      <c r="F473" s="83"/>
    </row>
    <row r="474">
      <c r="F474" s="83"/>
    </row>
    <row r="475">
      <c r="F475" s="83"/>
    </row>
    <row r="476">
      <c r="F476" s="83"/>
    </row>
    <row r="477">
      <c r="F477" s="83"/>
    </row>
    <row r="478">
      <c r="F478" s="83"/>
    </row>
    <row r="479">
      <c r="F479" s="83"/>
    </row>
    <row r="480">
      <c r="F480" s="83"/>
    </row>
    <row r="481">
      <c r="F481" s="83"/>
    </row>
    <row r="482">
      <c r="F482" s="83"/>
    </row>
    <row r="483">
      <c r="F483" s="83"/>
    </row>
    <row r="484">
      <c r="F484" s="83"/>
    </row>
    <row r="485">
      <c r="F485" s="83"/>
    </row>
    <row r="486">
      <c r="F486" s="83"/>
    </row>
    <row r="487">
      <c r="F487" s="83"/>
    </row>
    <row r="488">
      <c r="F488" s="83"/>
    </row>
    <row r="489">
      <c r="F489" s="83"/>
    </row>
    <row r="490">
      <c r="F490" s="83"/>
    </row>
    <row r="491">
      <c r="F491" s="83"/>
    </row>
    <row r="492">
      <c r="F492" s="83"/>
    </row>
    <row r="493">
      <c r="F493" s="83"/>
    </row>
    <row r="494">
      <c r="F494" s="83"/>
    </row>
    <row r="495">
      <c r="F495" s="83"/>
    </row>
    <row r="496">
      <c r="F496" s="83"/>
    </row>
    <row r="497">
      <c r="F497" s="83"/>
    </row>
    <row r="498">
      <c r="F498" s="83"/>
    </row>
    <row r="499">
      <c r="F499" s="83"/>
    </row>
    <row r="500">
      <c r="F500" s="83"/>
    </row>
    <row r="501">
      <c r="F501" s="83"/>
    </row>
    <row r="502">
      <c r="F502" s="83"/>
    </row>
    <row r="503">
      <c r="F503" s="83"/>
    </row>
    <row r="504">
      <c r="F504" s="83"/>
    </row>
    <row r="505">
      <c r="F505" s="83"/>
    </row>
    <row r="506">
      <c r="F506" s="83"/>
    </row>
    <row r="507">
      <c r="F507" s="83"/>
    </row>
    <row r="508">
      <c r="F508" s="83"/>
    </row>
    <row r="509">
      <c r="F509" s="83"/>
    </row>
    <row r="510">
      <c r="F510" s="83"/>
    </row>
    <row r="511">
      <c r="F511" s="83"/>
    </row>
    <row r="512">
      <c r="F512" s="83"/>
    </row>
    <row r="513">
      <c r="F513" s="83"/>
    </row>
    <row r="514">
      <c r="F514" s="83"/>
    </row>
    <row r="515">
      <c r="F515" s="83"/>
    </row>
    <row r="516">
      <c r="F516" s="83"/>
    </row>
    <row r="517">
      <c r="F517" s="83"/>
    </row>
    <row r="518">
      <c r="F518" s="83"/>
    </row>
    <row r="519">
      <c r="F519" s="83"/>
    </row>
    <row r="520">
      <c r="F520" s="83"/>
    </row>
    <row r="521">
      <c r="F521" s="83"/>
    </row>
    <row r="522">
      <c r="F522" s="83"/>
    </row>
    <row r="523">
      <c r="F523" s="83"/>
    </row>
    <row r="524">
      <c r="F524" s="83"/>
    </row>
    <row r="525">
      <c r="F525" s="83"/>
    </row>
    <row r="526">
      <c r="F526" s="83"/>
    </row>
    <row r="527">
      <c r="F527" s="83"/>
    </row>
    <row r="528">
      <c r="F528" s="83"/>
    </row>
    <row r="529">
      <c r="F529" s="83"/>
    </row>
    <row r="530">
      <c r="F530" s="83"/>
    </row>
    <row r="531">
      <c r="F531" s="83"/>
    </row>
    <row r="532">
      <c r="F532" s="83"/>
    </row>
    <row r="533">
      <c r="F533" s="83"/>
    </row>
    <row r="534">
      <c r="F534" s="83"/>
    </row>
    <row r="535">
      <c r="F535" s="83"/>
    </row>
    <row r="536">
      <c r="F536" s="83"/>
    </row>
    <row r="537">
      <c r="F537" s="83"/>
    </row>
    <row r="538">
      <c r="F538" s="83"/>
    </row>
    <row r="539">
      <c r="F539" s="83"/>
    </row>
    <row r="540">
      <c r="F540" s="83"/>
    </row>
    <row r="541">
      <c r="F541" s="83"/>
    </row>
    <row r="542">
      <c r="F542" s="83"/>
    </row>
    <row r="543">
      <c r="F543" s="83"/>
    </row>
    <row r="544">
      <c r="F544" s="83"/>
    </row>
    <row r="545">
      <c r="F545" s="83"/>
    </row>
    <row r="546">
      <c r="F546" s="83"/>
    </row>
    <row r="547">
      <c r="F547" s="83"/>
    </row>
    <row r="548">
      <c r="F548" s="83"/>
    </row>
    <row r="549">
      <c r="F549" s="83"/>
    </row>
    <row r="550">
      <c r="F550" s="83"/>
    </row>
    <row r="551">
      <c r="F551" s="83"/>
    </row>
    <row r="552">
      <c r="F552" s="83"/>
    </row>
    <row r="553">
      <c r="F553" s="83"/>
    </row>
    <row r="554">
      <c r="F554" s="83"/>
    </row>
    <row r="555">
      <c r="F555" s="83"/>
    </row>
    <row r="556">
      <c r="F556" s="83"/>
    </row>
    <row r="557">
      <c r="F557" s="83"/>
    </row>
    <row r="558">
      <c r="F558" s="83"/>
    </row>
    <row r="559">
      <c r="F559" s="83"/>
    </row>
    <row r="560">
      <c r="F560" s="83"/>
    </row>
    <row r="561">
      <c r="F561" s="83"/>
    </row>
    <row r="562">
      <c r="F562" s="83"/>
    </row>
    <row r="563">
      <c r="F563" s="83"/>
    </row>
    <row r="564">
      <c r="F564" s="83"/>
    </row>
    <row r="565">
      <c r="F565" s="83"/>
    </row>
    <row r="566">
      <c r="F566" s="83"/>
    </row>
    <row r="567">
      <c r="F567" s="83"/>
    </row>
    <row r="568">
      <c r="F568" s="83"/>
    </row>
    <row r="569">
      <c r="F569" s="83"/>
    </row>
    <row r="570">
      <c r="F570" s="83"/>
    </row>
    <row r="571">
      <c r="F571" s="83"/>
    </row>
    <row r="572">
      <c r="F572" s="83"/>
    </row>
    <row r="573">
      <c r="F573" s="83"/>
    </row>
    <row r="574">
      <c r="F574" s="83"/>
    </row>
    <row r="575">
      <c r="F575" s="83"/>
    </row>
    <row r="576">
      <c r="F576" s="83"/>
    </row>
    <row r="577">
      <c r="F577" s="83"/>
    </row>
    <row r="578">
      <c r="F578" s="83"/>
    </row>
    <row r="579">
      <c r="F579" s="83"/>
    </row>
    <row r="580">
      <c r="F580" s="83"/>
    </row>
    <row r="581">
      <c r="F581" s="83"/>
    </row>
    <row r="582">
      <c r="F582" s="83"/>
    </row>
    <row r="583">
      <c r="F583" s="83"/>
    </row>
    <row r="584">
      <c r="F584" s="83"/>
    </row>
    <row r="585">
      <c r="F585" s="83"/>
    </row>
    <row r="586">
      <c r="F586" s="83"/>
    </row>
    <row r="587">
      <c r="F587" s="83"/>
    </row>
    <row r="588">
      <c r="F588" s="83"/>
    </row>
    <row r="589">
      <c r="F589" s="83"/>
    </row>
    <row r="590">
      <c r="F590" s="83"/>
    </row>
    <row r="591">
      <c r="F591" s="83"/>
    </row>
    <row r="592">
      <c r="F592" s="83"/>
    </row>
    <row r="593">
      <c r="F593" s="83"/>
    </row>
    <row r="594">
      <c r="F594" s="83"/>
    </row>
    <row r="595">
      <c r="F595" s="83"/>
    </row>
    <row r="596">
      <c r="F596" s="83"/>
    </row>
    <row r="597">
      <c r="F597" s="83"/>
    </row>
    <row r="598">
      <c r="F598" s="83"/>
    </row>
    <row r="599">
      <c r="F599" s="83"/>
    </row>
    <row r="600">
      <c r="F600" s="83"/>
    </row>
    <row r="601">
      <c r="F601" s="83"/>
    </row>
    <row r="602">
      <c r="F602" s="83"/>
    </row>
    <row r="603">
      <c r="F603" s="83"/>
    </row>
    <row r="604">
      <c r="F604" s="83"/>
    </row>
    <row r="605">
      <c r="F605" s="83"/>
    </row>
    <row r="606">
      <c r="F606" s="83"/>
    </row>
    <row r="607">
      <c r="F607" s="83"/>
    </row>
    <row r="608">
      <c r="F608" s="83"/>
    </row>
    <row r="609">
      <c r="F609" s="83"/>
    </row>
    <row r="610">
      <c r="F610" s="83"/>
    </row>
    <row r="611">
      <c r="F611" s="83"/>
    </row>
    <row r="612">
      <c r="F612" s="83"/>
    </row>
    <row r="613">
      <c r="F613" s="83"/>
    </row>
    <row r="614">
      <c r="F614" s="83"/>
    </row>
    <row r="615">
      <c r="F615" s="83"/>
    </row>
    <row r="616">
      <c r="F616" s="83"/>
    </row>
    <row r="617">
      <c r="F617" s="83"/>
    </row>
    <row r="618">
      <c r="F618" s="83"/>
    </row>
    <row r="619">
      <c r="F619" s="83"/>
    </row>
    <row r="620">
      <c r="F620" s="83"/>
    </row>
    <row r="621">
      <c r="F621" s="83"/>
    </row>
    <row r="622">
      <c r="F622" s="83"/>
    </row>
    <row r="623">
      <c r="F623" s="83"/>
    </row>
    <row r="624">
      <c r="F624" s="83"/>
    </row>
    <row r="625">
      <c r="F625" s="83"/>
    </row>
    <row r="626">
      <c r="F626" s="83"/>
    </row>
    <row r="627">
      <c r="F627" s="83"/>
    </row>
    <row r="628">
      <c r="F628" s="83"/>
    </row>
    <row r="629">
      <c r="F629" s="83"/>
    </row>
    <row r="630">
      <c r="F630" s="83"/>
    </row>
    <row r="631">
      <c r="F631" s="83"/>
    </row>
    <row r="632">
      <c r="F632" s="83"/>
    </row>
    <row r="633">
      <c r="F633" s="83"/>
    </row>
    <row r="634">
      <c r="F634" s="83"/>
    </row>
    <row r="635">
      <c r="F635" s="83"/>
    </row>
    <row r="636">
      <c r="F636" s="83"/>
    </row>
    <row r="637">
      <c r="F637" s="83"/>
    </row>
    <row r="638">
      <c r="F638" s="83"/>
    </row>
    <row r="639">
      <c r="F639" s="83"/>
    </row>
    <row r="640">
      <c r="F640" s="83"/>
    </row>
    <row r="641">
      <c r="F641" s="83"/>
    </row>
    <row r="642">
      <c r="F642" s="83"/>
    </row>
    <row r="643">
      <c r="F643" s="83"/>
    </row>
    <row r="644">
      <c r="F644" s="83"/>
    </row>
    <row r="645">
      <c r="F645" s="83"/>
    </row>
    <row r="646">
      <c r="F646" s="83"/>
    </row>
    <row r="647">
      <c r="F647" s="83"/>
    </row>
    <row r="648">
      <c r="F648" s="83"/>
    </row>
    <row r="649">
      <c r="F649" s="83"/>
    </row>
    <row r="650">
      <c r="F650" s="83"/>
    </row>
    <row r="651">
      <c r="F651" s="83"/>
    </row>
    <row r="652">
      <c r="F652" s="83"/>
    </row>
    <row r="653">
      <c r="F653" s="83"/>
    </row>
    <row r="654">
      <c r="F654" s="83"/>
    </row>
    <row r="655">
      <c r="F655" s="83"/>
    </row>
    <row r="656">
      <c r="F656" s="83"/>
    </row>
    <row r="657">
      <c r="F657" s="83"/>
    </row>
    <row r="658">
      <c r="F658" s="83"/>
    </row>
    <row r="659">
      <c r="F659" s="83"/>
    </row>
    <row r="660">
      <c r="F660" s="83"/>
    </row>
    <row r="661">
      <c r="F661" s="83"/>
    </row>
    <row r="662">
      <c r="F662" s="83"/>
    </row>
    <row r="663">
      <c r="F663" s="83"/>
    </row>
    <row r="664">
      <c r="F664" s="83"/>
    </row>
    <row r="665">
      <c r="F665" s="83"/>
    </row>
    <row r="666">
      <c r="F666" s="83"/>
    </row>
    <row r="667">
      <c r="F667" s="83"/>
    </row>
    <row r="668">
      <c r="F668" s="83"/>
    </row>
    <row r="669">
      <c r="F669" s="83"/>
    </row>
    <row r="670">
      <c r="F670" s="83"/>
    </row>
    <row r="671">
      <c r="F671" s="83"/>
    </row>
    <row r="672">
      <c r="F672" s="83"/>
    </row>
    <row r="673">
      <c r="F673" s="83"/>
    </row>
    <row r="674">
      <c r="F674" s="83"/>
    </row>
    <row r="675">
      <c r="F675" s="83"/>
    </row>
    <row r="676">
      <c r="F676" s="83"/>
    </row>
    <row r="677">
      <c r="F677" s="83"/>
    </row>
    <row r="678">
      <c r="F678" s="83"/>
    </row>
    <row r="679">
      <c r="F679" s="83"/>
    </row>
    <row r="680">
      <c r="F680" s="83"/>
    </row>
    <row r="681">
      <c r="F681" s="83"/>
    </row>
    <row r="682">
      <c r="F682" s="83"/>
    </row>
    <row r="683">
      <c r="F683" s="83"/>
    </row>
    <row r="684">
      <c r="F684" s="83"/>
    </row>
    <row r="685">
      <c r="F685" s="83"/>
    </row>
    <row r="686">
      <c r="F686" s="83"/>
    </row>
    <row r="687">
      <c r="F687" s="83"/>
    </row>
    <row r="688">
      <c r="F688" s="83"/>
    </row>
    <row r="689">
      <c r="F689" s="83"/>
    </row>
    <row r="690">
      <c r="F690" s="83"/>
    </row>
    <row r="691">
      <c r="F691" s="83"/>
    </row>
    <row r="692">
      <c r="F692" s="83"/>
    </row>
    <row r="693">
      <c r="F693" s="83"/>
    </row>
    <row r="694">
      <c r="F694" s="83"/>
    </row>
    <row r="695">
      <c r="F695" s="83"/>
    </row>
    <row r="696">
      <c r="F696" s="83"/>
    </row>
    <row r="697">
      <c r="F697" s="83"/>
    </row>
    <row r="698">
      <c r="F698" s="83"/>
    </row>
    <row r="699">
      <c r="F699" s="83"/>
    </row>
    <row r="700">
      <c r="F700" s="83"/>
    </row>
    <row r="701">
      <c r="F701" s="83"/>
    </row>
    <row r="702">
      <c r="F702" s="83"/>
    </row>
    <row r="703">
      <c r="F703" s="83"/>
    </row>
    <row r="704">
      <c r="F704" s="83"/>
    </row>
    <row r="705">
      <c r="F705" s="83"/>
    </row>
    <row r="706">
      <c r="F706" s="83"/>
    </row>
    <row r="707">
      <c r="F707" s="83"/>
    </row>
    <row r="708">
      <c r="F708" s="83"/>
    </row>
    <row r="709">
      <c r="F709" s="83"/>
    </row>
    <row r="710">
      <c r="F710" s="83"/>
    </row>
    <row r="711">
      <c r="F711" s="83"/>
    </row>
    <row r="712">
      <c r="F712" s="83"/>
    </row>
    <row r="713">
      <c r="F713" s="83"/>
    </row>
    <row r="714">
      <c r="F714" s="83"/>
    </row>
    <row r="715">
      <c r="F715" s="83"/>
    </row>
    <row r="716">
      <c r="F716" s="83"/>
    </row>
    <row r="717">
      <c r="F717" s="83"/>
    </row>
    <row r="718">
      <c r="F718" s="83"/>
    </row>
    <row r="719">
      <c r="F719" s="83"/>
    </row>
    <row r="720">
      <c r="F720" s="83"/>
    </row>
    <row r="721">
      <c r="F721" s="83"/>
    </row>
    <row r="722">
      <c r="F722" s="83"/>
    </row>
    <row r="723">
      <c r="F723" s="83"/>
    </row>
    <row r="724">
      <c r="F724" s="83"/>
    </row>
    <row r="725">
      <c r="F725" s="83"/>
    </row>
    <row r="726">
      <c r="F726" s="83"/>
    </row>
    <row r="727">
      <c r="F727" s="83"/>
    </row>
    <row r="728">
      <c r="F728" s="83"/>
    </row>
    <row r="729">
      <c r="F729" s="83"/>
    </row>
    <row r="730">
      <c r="F730" s="83"/>
    </row>
    <row r="731">
      <c r="F731" s="83"/>
    </row>
    <row r="732">
      <c r="F732" s="83"/>
    </row>
    <row r="733">
      <c r="F733" s="83"/>
    </row>
    <row r="734">
      <c r="F734" s="83"/>
    </row>
    <row r="735">
      <c r="F735" s="83"/>
    </row>
    <row r="736">
      <c r="F736" s="83"/>
    </row>
    <row r="737">
      <c r="F737" s="83"/>
    </row>
    <row r="738">
      <c r="F738" s="83"/>
    </row>
    <row r="739">
      <c r="F739" s="83"/>
    </row>
    <row r="740">
      <c r="F740" s="83"/>
    </row>
    <row r="741">
      <c r="F741" s="83"/>
    </row>
    <row r="742">
      <c r="F742" s="83"/>
    </row>
    <row r="743">
      <c r="F743" s="83"/>
    </row>
    <row r="744">
      <c r="F744" s="83"/>
    </row>
    <row r="745">
      <c r="F745" s="83"/>
    </row>
    <row r="746">
      <c r="F746" s="83"/>
    </row>
    <row r="747">
      <c r="F747" s="83"/>
    </row>
    <row r="748">
      <c r="F748" s="83"/>
    </row>
    <row r="749">
      <c r="F749" s="83"/>
    </row>
    <row r="750">
      <c r="F750" s="83"/>
    </row>
    <row r="751">
      <c r="F751" s="83"/>
    </row>
    <row r="752">
      <c r="F752" s="83"/>
    </row>
    <row r="753">
      <c r="F753" s="83"/>
    </row>
    <row r="754">
      <c r="F754" s="83"/>
    </row>
    <row r="755">
      <c r="F755" s="83"/>
    </row>
    <row r="756">
      <c r="F756" s="83"/>
    </row>
    <row r="757">
      <c r="F757" s="83"/>
    </row>
    <row r="758">
      <c r="F758" s="83"/>
    </row>
    <row r="759">
      <c r="F759" s="83"/>
    </row>
    <row r="760">
      <c r="F760" s="83"/>
    </row>
    <row r="761">
      <c r="F761" s="83"/>
    </row>
    <row r="762">
      <c r="F762" s="83"/>
    </row>
    <row r="763">
      <c r="F763" s="83"/>
    </row>
    <row r="764">
      <c r="F764" s="83"/>
    </row>
    <row r="765">
      <c r="F765" s="83"/>
    </row>
    <row r="766">
      <c r="F766" s="83"/>
    </row>
    <row r="767">
      <c r="F767" s="83"/>
    </row>
    <row r="768">
      <c r="F768" s="83"/>
    </row>
    <row r="769">
      <c r="F769" s="83"/>
    </row>
    <row r="770">
      <c r="F770" s="83"/>
    </row>
    <row r="771">
      <c r="F771" s="83"/>
    </row>
    <row r="772">
      <c r="F772" s="83"/>
    </row>
    <row r="773">
      <c r="F773" s="83"/>
    </row>
    <row r="774">
      <c r="F774" s="83"/>
    </row>
    <row r="775">
      <c r="F775" s="83"/>
    </row>
    <row r="776">
      <c r="F776" s="83"/>
    </row>
    <row r="777">
      <c r="F777" s="83"/>
    </row>
    <row r="778">
      <c r="F778" s="83"/>
    </row>
    <row r="779">
      <c r="F779" s="83"/>
    </row>
    <row r="780">
      <c r="F780" s="83"/>
    </row>
    <row r="781">
      <c r="F781" s="83"/>
    </row>
    <row r="782">
      <c r="F782" s="83"/>
    </row>
    <row r="783">
      <c r="F783" s="83"/>
    </row>
    <row r="784">
      <c r="F784" s="83"/>
    </row>
    <row r="785">
      <c r="F785" s="83"/>
    </row>
    <row r="786">
      <c r="F786" s="83"/>
    </row>
    <row r="787">
      <c r="F787" s="83"/>
    </row>
    <row r="788">
      <c r="F788" s="83"/>
    </row>
    <row r="789">
      <c r="F789" s="83"/>
    </row>
    <row r="790">
      <c r="F790" s="83"/>
    </row>
    <row r="791">
      <c r="F791" s="83"/>
    </row>
    <row r="792">
      <c r="F792" s="83"/>
    </row>
    <row r="793">
      <c r="F793" s="83"/>
    </row>
    <row r="794">
      <c r="F794" s="83"/>
    </row>
    <row r="795">
      <c r="F795" s="83"/>
    </row>
    <row r="796">
      <c r="F796" s="83"/>
    </row>
    <row r="797">
      <c r="F797" s="83"/>
    </row>
    <row r="798">
      <c r="F798" s="83"/>
    </row>
    <row r="799">
      <c r="F799" s="83"/>
    </row>
    <row r="800">
      <c r="F800" s="83"/>
    </row>
    <row r="801">
      <c r="F801" s="83"/>
    </row>
    <row r="802">
      <c r="F802" s="83"/>
    </row>
    <row r="803">
      <c r="F803" s="83"/>
    </row>
    <row r="804">
      <c r="F804" s="83"/>
    </row>
    <row r="805">
      <c r="F805" s="83"/>
    </row>
    <row r="806">
      <c r="F806" s="83"/>
    </row>
    <row r="807">
      <c r="F807" s="83"/>
    </row>
    <row r="808">
      <c r="F808" s="83"/>
    </row>
    <row r="809">
      <c r="F809" s="83"/>
    </row>
    <row r="810">
      <c r="F810" s="83"/>
    </row>
    <row r="811">
      <c r="F811" s="83"/>
    </row>
    <row r="812">
      <c r="F812" s="83"/>
    </row>
    <row r="813">
      <c r="F813" s="83"/>
    </row>
    <row r="814">
      <c r="F814" s="83"/>
    </row>
    <row r="815">
      <c r="F815" s="83"/>
    </row>
    <row r="816">
      <c r="F816" s="83"/>
    </row>
    <row r="817">
      <c r="F817" s="83"/>
    </row>
    <row r="818">
      <c r="F818" s="83"/>
    </row>
    <row r="819">
      <c r="F819" s="83"/>
    </row>
    <row r="820">
      <c r="F820" s="83"/>
    </row>
    <row r="821">
      <c r="F821" s="83"/>
    </row>
    <row r="822">
      <c r="F822" s="83"/>
    </row>
    <row r="823">
      <c r="F823" s="83"/>
    </row>
    <row r="824">
      <c r="F824" s="83"/>
    </row>
    <row r="825">
      <c r="F825" s="83"/>
    </row>
    <row r="826">
      <c r="F826" s="83"/>
    </row>
    <row r="827">
      <c r="F827" s="83"/>
    </row>
    <row r="828">
      <c r="F828" s="83"/>
    </row>
    <row r="829">
      <c r="F829" s="83"/>
    </row>
    <row r="830">
      <c r="F830" s="83"/>
    </row>
    <row r="831">
      <c r="F831" s="83"/>
    </row>
    <row r="832">
      <c r="F832" s="83"/>
    </row>
    <row r="833">
      <c r="F833" s="83"/>
    </row>
    <row r="834">
      <c r="F834" s="83"/>
    </row>
    <row r="835">
      <c r="F835" s="83"/>
    </row>
    <row r="836">
      <c r="F836" s="83"/>
    </row>
    <row r="837">
      <c r="F837" s="83"/>
    </row>
    <row r="838">
      <c r="F838" s="83"/>
    </row>
    <row r="839">
      <c r="F839" s="83"/>
    </row>
    <row r="840">
      <c r="F840" s="83"/>
    </row>
    <row r="841">
      <c r="F841" s="83"/>
    </row>
    <row r="842">
      <c r="F842" s="83"/>
    </row>
    <row r="843">
      <c r="F843" s="83"/>
    </row>
    <row r="844">
      <c r="F844" s="83"/>
    </row>
    <row r="845">
      <c r="F845" s="83"/>
    </row>
    <row r="846">
      <c r="F846" s="83"/>
    </row>
    <row r="847">
      <c r="F847" s="83"/>
    </row>
    <row r="848">
      <c r="F848" s="83"/>
    </row>
    <row r="849">
      <c r="F849" s="83"/>
    </row>
    <row r="850">
      <c r="F850" s="83"/>
    </row>
    <row r="851">
      <c r="F851" s="83"/>
    </row>
    <row r="852">
      <c r="F852" s="83"/>
    </row>
    <row r="853">
      <c r="F853" s="83"/>
    </row>
    <row r="854">
      <c r="F854" s="83"/>
    </row>
    <row r="855">
      <c r="F855" s="83"/>
    </row>
    <row r="856">
      <c r="F856" s="83"/>
    </row>
    <row r="857">
      <c r="F857" s="83"/>
    </row>
    <row r="858">
      <c r="F858" s="83"/>
    </row>
    <row r="859">
      <c r="F859" s="83"/>
    </row>
    <row r="860">
      <c r="F860" s="83"/>
    </row>
    <row r="861">
      <c r="F861" s="83"/>
    </row>
    <row r="862">
      <c r="F862" s="83"/>
    </row>
    <row r="863">
      <c r="F863" s="83"/>
    </row>
    <row r="864">
      <c r="F864" s="83"/>
    </row>
    <row r="865">
      <c r="F865" s="83"/>
    </row>
    <row r="866">
      <c r="F866" s="83"/>
    </row>
    <row r="867">
      <c r="F867" s="83"/>
    </row>
    <row r="868">
      <c r="F868" s="83"/>
    </row>
    <row r="869">
      <c r="F869" s="83"/>
    </row>
    <row r="870">
      <c r="F870" s="83"/>
    </row>
    <row r="871">
      <c r="F871" s="83"/>
    </row>
    <row r="872">
      <c r="F872" s="83"/>
    </row>
    <row r="873">
      <c r="F873" s="83"/>
    </row>
    <row r="874">
      <c r="F874" s="83"/>
    </row>
    <row r="875">
      <c r="F875" s="83"/>
    </row>
    <row r="876">
      <c r="F876" s="83"/>
    </row>
    <row r="877">
      <c r="F877" s="83"/>
    </row>
    <row r="878">
      <c r="F878" s="83"/>
    </row>
    <row r="879">
      <c r="F879" s="83"/>
    </row>
    <row r="880">
      <c r="F880" s="83"/>
    </row>
    <row r="881">
      <c r="F881" s="83"/>
    </row>
    <row r="882">
      <c r="F882" s="83"/>
    </row>
    <row r="883">
      <c r="F883" s="83"/>
    </row>
    <row r="884">
      <c r="F884" s="83"/>
    </row>
    <row r="885">
      <c r="F885" s="83"/>
    </row>
    <row r="886">
      <c r="F886" s="83"/>
    </row>
    <row r="887">
      <c r="F887" s="83"/>
    </row>
    <row r="888">
      <c r="F888" s="83"/>
    </row>
    <row r="889">
      <c r="F889" s="83"/>
    </row>
    <row r="890">
      <c r="F890" s="83"/>
    </row>
    <row r="891">
      <c r="F891" s="83"/>
    </row>
    <row r="892">
      <c r="F892" s="83"/>
    </row>
    <row r="893">
      <c r="F893" s="83"/>
    </row>
    <row r="894">
      <c r="F894" s="83"/>
    </row>
    <row r="895">
      <c r="F895" s="83"/>
    </row>
    <row r="896">
      <c r="F896" s="83"/>
    </row>
    <row r="897">
      <c r="F897" s="83"/>
    </row>
    <row r="898">
      <c r="F898" s="83"/>
    </row>
    <row r="899">
      <c r="F899" s="83"/>
    </row>
    <row r="900">
      <c r="F900" s="83"/>
    </row>
    <row r="901">
      <c r="F901" s="83"/>
    </row>
    <row r="902">
      <c r="F902" s="83"/>
    </row>
    <row r="903">
      <c r="F903" s="83"/>
    </row>
    <row r="904">
      <c r="F904" s="83"/>
    </row>
    <row r="905">
      <c r="F905" s="83"/>
    </row>
    <row r="906">
      <c r="F906" s="83"/>
    </row>
    <row r="907">
      <c r="F907" s="83"/>
    </row>
    <row r="908">
      <c r="F908" s="83"/>
    </row>
    <row r="909">
      <c r="F909" s="83"/>
    </row>
    <row r="910">
      <c r="F910" s="83"/>
    </row>
    <row r="911">
      <c r="F911" s="83"/>
    </row>
    <row r="912">
      <c r="F912" s="83"/>
    </row>
    <row r="913">
      <c r="F913" s="83"/>
    </row>
    <row r="914">
      <c r="F914" s="83"/>
    </row>
    <row r="915">
      <c r="F915" s="83"/>
    </row>
    <row r="916">
      <c r="F916" s="83"/>
    </row>
    <row r="917">
      <c r="F917" s="83"/>
    </row>
    <row r="918">
      <c r="F918" s="83"/>
    </row>
    <row r="919">
      <c r="F919" s="83"/>
    </row>
    <row r="920">
      <c r="F920" s="83"/>
    </row>
    <row r="921">
      <c r="F921" s="83"/>
    </row>
    <row r="922">
      <c r="F922" s="83"/>
    </row>
    <row r="923">
      <c r="F923" s="83"/>
    </row>
    <row r="924">
      <c r="F924" s="83"/>
    </row>
    <row r="925">
      <c r="F925" s="83"/>
    </row>
    <row r="926">
      <c r="F926" s="83"/>
    </row>
    <row r="927">
      <c r="F927" s="83"/>
    </row>
    <row r="928">
      <c r="F928" s="83"/>
    </row>
    <row r="929">
      <c r="F929" s="83"/>
    </row>
    <row r="930">
      <c r="F930" s="83"/>
    </row>
    <row r="931">
      <c r="F931" s="83"/>
    </row>
    <row r="932">
      <c r="F932" s="83"/>
    </row>
    <row r="933">
      <c r="F933" s="83"/>
    </row>
    <row r="934">
      <c r="F934" s="83"/>
    </row>
    <row r="935">
      <c r="F935" s="83"/>
    </row>
    <row r="936">
      <c r="F936" s="83"/>
    </row>
    <row r="937">
      <c r="F937" s="83"/>
    </row>
    <row r="938">
      <c r="F938" s="83"/>
    </row>
    <row r="939">
      <c r="F939" s="83"/>
    </row>
    <row r="940">
      <c r="F940" s="83"/>
    </row>
    <row r="941">
      <c r="F941" s="83"/>
    </row>
    <row r="942">
      <c r="F942" s="83"/>
    </row>
    <row r="943">
      <c r="F943" s="83"/>
    </row>
    <row r="944">
      <c r="F944" s="83"/>
    </row>
    <row r="945">
      <c r="F945" s="83"/>
    </row>
    <row r="946">
      <c r="F946" s="83"/>
    </row>
    <row r="947">
      <c r="F947" s="83"/>
    </row>
    <row r="948">
      <c r="F948" s="83"/>
    </row>
    <row r="949">
      <c r="F949" s="83"/>
    </row>
    <row r="950">
      <c r="F950" s="83"/>
    </row>
    <row r="951">
      <c r="F951" s="83"/>
    </row>
    <row r="952">
      <c r="F952" s="83"/>
    </row>
    <row r="953">
      <c r="F953" s="83"/>
    </row>
    <row r="954">
      <c r="F954" s="83"/>
    </row>
    <row r="955">
      <c r="F955" s="83"/>
    </row>
    <row r="956">
      <c r="F956" s="83"/>
    </row>
    <row r="957">
      <c r="F957" s="83"/>
    </row>
    <row r="958">
      <c r="F958" s="83"/>
    </row>
    <row r="959">
      <c r="F959" s="83"/>
    </row>
    <row r="960">
      <c r="F960" s="83"/>
    </row>
    <row r="961">
      <c r="F961" s="83"/>
    </row>
    <row r="962">
      <c r="F962" s="83"/>
    </row>
    <row r="963">
      <c r="F963" s="83"/>
    </row>
    <row r="964">
      <c r="F964" s="83"/>
    </row>
    <row r="965">
      <c r="F965" s="83"/>
    </row>
    <row r="966">
      <c r="F966" s="83"/>
    </row>
    <row r="967">
      <c r="F967" s="83"/>
    </row>
    <row r="968">
      <c r="F968" s="83"/>
    </row>
    <row r="969">
      <c r="F969" s="83"/>
    </row>
    <row r="970">
      <c r="F970" s="83"/>
    </row>
    <row r="971">
      <c r="F971" s="83"/>
    </row>
    <row r="972">
      <c r="F972" s="83"/>
    </row>
    <row r="973">
      <c r="F973" s="83"/>
    </row>
    <row r="974">
      <c r="F974" s="83"/>
    </row>
    <row r="975">
      <c r="F975" s="83"/>
    </row>
    <row r="976">
      <c r="F976" s="83"/>
    </row>
    <row r="977">
      <c r="F977" s="83"/>
    </row>
    <row r="978">
      <c r="F978" s="83"/>
    </row>
    <row r="979">
      <c r="F979" s="83"/>
    </row>
    <row r="980">
      <c r="F980" s="83"/>
    </row>
    <row r="981">
      <c r="F981" s="83"/>
    </row>
    <row r="982">
      <c r="F982" s="83"/>
    </row>
    <row r="983">
      <c r="F983" s="83"/>
    </row>
    <row r="984">
      <c r="F984" s="83"/>
    </row>
    <row r="985">
      <c r="F985" s="83"/>
    </row>
    <row r="986">
      <c r="F986" s="83"/>
    </row>
    <row r="987">
      <c r="F987" s="83"/>
    </row>
    <row r="988">
      <c r="F988" s="83"/>
    </row>
    <row r="989">
      <c r="F989" s="83"/>
    </row>
    <row r="990">
      <c r="F990" s="83"/>
    </row>
    <row r="991">
      <c r="F991" s="83"/>
    </row>
  </sheetData>
  <conditionalFormatting sqref="F2:F992">
    <cfRule type="containsText" dxfId="0" priority="1" operator="containsText" text="N">
      <formula>NOT(ISERROR(SEARCH(("N"),(F2))))</formula>
    </cfRule>
  </conditionalFormatting>
  <conditionalFormatting sqref="F2:F992">
    <cfRule type="containsText" dxfId="1" priority="2" operator="containsText" text="E">
      <formula>NOT(ISERROR(SEARCH(("E"),(F2))))</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29.88"/>
    <col customWidth="1" min="7" max="7" width="20.25"/>
    <col customWidth="1" min="8" max="8" width="33.38"/>
    <col customWidth="1" min="9" max="43" width="18.88"/>
  </cols>
  <sheetData>
    <row r="1" ht="22.5" customHeight="1">
      <c r="A1" s="84" t="s">
        <v>408</v>
      </c>
      <c r="B1" s="84" t="s">
        <v>409</v>
      </c>
      <c r="C1" s="84" t="s">
        <v>410</v>
      </c>
      <c r="D1" s="84" t="s">
        <v>411</v>
      </c>
      <c r="E1" s="84" t="s">
        <v>412</v>
      </c>
      <c r="F1" s="85" t="s">
        <v>413</v>
      </c>
      <c r="G1" s="85" t="s">
        <v>414</v>
      </c>
      <c r="H1" s="86" t="s">
        <v>415</v>
      </c>
      <c r="I1" s="87"/>
      <c r="J1" s="2"/>
      <c r="K1" s="2" t="s">
        <v>416</v>
      </c>
      <c r="L1" s="1" t="s">
        <v>3</v>
      </c>
      <c r="M1" s="1" t="s">
        <v>4</v>
      </c>
      <c r="N1" s="3" t="s">
        <v>5</v>
      </c>
      <c r="O1" s="4" t="s">
        <v>6</v>
      </c>
      <c r="P1" s="4" t="s">
        <v>7</v>
      </c>
      <c r="Q1" s="4" t="s">
        <v>417</v>
      </c>
      <c r="R1" s="88">
        <f t="shared" ref="R1:T1" si="1">S1-7</f>
        <v>45917</v>
      </c>
      <c r="S1" s="89">
        <f t="shared" si="1"/>
        <v>45924</v>
      </c>
      <c r="T1" s="89">
        <f t="shared" si="1"/>
        <v>45931</v>
      </c>
      <c r="U1" s="90">
        <v>45938.0</v>
      </c>
      <c r="V1" s="91">
        <v>45945.0</v>
      </c>
      <c r="W1" s="89">
        <v>45952.0</v>
      </c>
      <c r="X1" s="89">
        <f t="shared" ref="X1:AA1" si="2">W1+7</f>
        <v>45959</v>
      </c>
      <c r="Y1" s="89">
        <f t="shared" si="2"/>
        <v>45966</v>
      </c>
      <c r="Z1" s="89">
        <f t="shared" si="2"/>
        <v>45973</v>
      </c>
      <c r="AA1" s="89">
        <f t="shared" si="2"/>
        <v>45980</v>
      </c>
      <c r="AB1" s="92">
        <f>AA1+14</f>
        <v>45994</v>
      </c>
      <c r="AC1" s="89">
        <f>AB1+7</f>
        <v>46001</v>
      </c>
      <c r="AD1" s="89">
        <f>AC1+28</f>
        <v>46029</v>
      </c>
      <c r="AE1" s="89">
        <f t="shared" ref="AE1:AI1" si="3">AD1+7</f>
        <v>46036</v>
      </c>
      <c r="AF1" s="89">
        <f t="shared" si="3"/>
        <v>46043</v>
      </c>
      <c r="AG1" s="89">
        <f t="shared" si="3"/>
        <v>46050</v>
      </c>
      <c r="AH1" s="89">
        <f t="shared" si="3"/>
        <v>46057</v>
      </c>
      <c r="AI1" s="89">
        <f t="shared" si="3"/>
        <v>46064</v>
      </c>
      <c r="AJ1" s="93"/>
      <c r="AK1" s="93"/>
      <c r="AL1" s="93"/>
      <c r="AM1" s="93"/>
      <c r="AN1" s="93"/>
      <c r="AO1" s="93"/>
      <c r="AP1" s="93"/>
      <c r="AQ1" s="93"/>
    </row>
    <row r="2" ht="22.5" customHeight="1">
      <c r="A2" s="94">
        <v>45917.64653150463</v>
      </c>
      <c r="B2" s="95" t="s">
        <v>90</v>
      </c>
      <c r="C2" s="95" t="s">
        <v>418</v>
      </c>
      <c r="D2" s="95" t="s">
        <v>419</v>
      </c>
      <c r="E2" s="95" t="s">
        <v>420</v>
      </c>
      <c r="F2" s="95" t="s">
        <v>421</v>
      </c>
      <c r="G2" s="95" t="s">
        <v>422</v>
      </c>
      <c r="H2" s="95" t="s">
        <v>423</v>
      </c>
      <c r="I2" s="96"/>
      <c r="J2" s="7"/>
      <c r="K2" s="7" t="s">
        <v>8</v>
      </c>
      <c r="L2" s="7" t="s">
        <v>9</v>
      </c>
      <c r="M2" s="7" t="s">
        <v>10</v>
      </c>
      <c r="N2" s="8" t="s">
        <v>11</v>
      </c>
      <c r="O2" s="7" t="s">
        <v>12</v>
      </c>
      <c r="P2" s="9">
        <v>1.0</v>
      </c>
      <c r="Q2" s="7" t="s">
        <v>424</v>
      </c>
      <c r="R2" s="97">
        <f t="shared" ref="R2:R10" si="4">IF(COUNTIF(B$2:B$149,L2)=0,0,1)</f>
        <v>1</v>
      </c>
      <c r="S2" s="97">
        <f t="shared" ref="S2:S10" si="5">IF(COUNTIF(B$150:B$274,L2)=0,0,1)</f>
        <v>1</v>
      </c>
      <c r="T2" s="98">
        <f t="shared" ref="T2:T20" si="6">IF(COUNTIF(B$275:B$401,L2)=0,0,1)</f>
        <v>0</v>
      </c>
      <c r="U2" s="99">
        <f>IFERROR(__xludf.DUMMYFUNCTION("IFERROR(IF(Match(L2,IMPORTRANGE(""https://docs.google.com/spreadsheets/d/1CAXKDiOnZb21bZOY_nacH9xI9AiD-nH8ZZQAwYKkVC0/edit?usp=drivesdk"",""Completed Exams!A1:A135""),0),1), 0)"),0.0)</f>
        <v>0</v>
      </c>
      <c r="V2" s="100">
        <f t="shared" ref="V2:V20" si="7">IF(COUNTIF(B$416:B$535,L2)=0,0,1)</f>
        <v>1</v>
      </c>
      <c r="W2" s="100">
        <v>1.0</v>
      </c>
      <c r="X2" s="101">
        <f t="shared" ref="X2:X32" si="8">IF(COUNTIF(B$603:B$725,L2)=0,0,1)</f>
        <v>1</v>
      </c>
      <c r="Y2" s="101">
        <f t="shared" ref="Y2:Y18" si="9">IF(COUNTIF(B$725:B$844,L2)=0,0,1)</f>
        <v>1</v>
      </c>
      <c r="Z2" s="101">
        <f t="shared" ref="Z2:Z32" si="10">IF(COUNTIF(B$845:B$969,L2)=0,0,1)</f>
        <v>1</v>
      </c>
      <c r="AA2" s="101">
        <f t="shared" ref="AA2:AA6" si="11">IF(COUNTIF(B$971:B$1124,L2)=0,0,1)</f>
        <v>1</v>
      </c>
      <c r="AB2" s="101">
        <f>IFERROR(__xludf.DUMMYFUNCTION("IFERROR(IF(Match(L2,IMPORTRANGE(""https://docs.google.com/spreadsheets/d/1n1sT_Q_W3mKmn2Yrd8qcNzuRD4zr4DB9gqARnjQ30B4/edit?gid=1918970062#gid=1918970062"",""Form Responses 1!B2:B49""),0),1), 0)"),0.0)</f>
        <v>0</v>
      </c>
      <c r="AC2" s="101">
        <f t="shared" ref="AC2:AC63" si="12">IF(COUNTIF(B$1145:B$1305,L2)=0,0,1)</f>
        <v>1</v>
      </c>
      <c r="AD2" s="100">
        <v>1.0</v>
      </c>
      <c r="AE2" s="101">
        <f>IFERROR(__xludf.DUMMYFUNCTION("IFERROR(IF(Match(L2,IMPORTRANGE(""https://docs.google.com/spreadsheets/d/1hvckjcCpxEuDQDPrBMml_I1kBhYyjrgR8qBKC9QGVUc/edit?resourcekey=&amp;gid=230793720#gid=230793720"",""Form Responses 1!B2:B199""),0),1), 0)"),0.0)</f>
        <v>0</v>
      </c>
      <c r="AF2" s="75">
        <f>IFERROR(__xludf.DUMMYFUNCTION("IFERROR(IF(Match(L2,IMPORTRANGE(""https://docs.google.com/spreadsheets/d/1UY0hI2S83Fmafa5P-C1LM9yqe4v4qIKTnVy_CzLzRPs/edit?resourcekey=&amp;gid=1583835601#gid=1583835601"",""Form Responses 1!B2:B194""),0),1), 0)"),0.0)</f>
        <v>0</v>
      </c>
      <c r="AG2" s="75">
        <f>IFERROR(__xludf.DUMMYFUNCTION("IFERROR(IF(Match(L2,IMPORTRANGE(""https://docs.google.com/spreadsheets/d/1hO4mQ22n6cudUygJ2ss_JeJdm2Ua_7hJl_79lWWEtic/edit?resourcekey=&amp;gid=2087212010#gid=2087212010"",""Form Responses 1!B2:B104""),0),1), 0)"),0.0)</f>
        <v>0</v>
      </c>
      <c r="AH2" s="75">
        <f>IFERROR(__xludf.DUMMYFUNCTION("IFERROR(IF(Match(L2,IMPORTRANGE(""https://docs.google.com/spreadsheets/d/1HbfCXhSXbtTODKKY1MOFwJccyhgDKD0J9sO1k5l_6lM/edit?resourcekey=&amp;gid=1616384832#gid=1616384832"",""Form Responses 1!E2:E143""),0),1), 0)"),0.0)</f>
        <v>0</v>
      </c>
    </row>
    <row r="3" ht="22.5" customHeight="1">
      <c r="A3" s="102">
        <v>45917.64674668982</v>
      </c>
      <c r="B3" s="103" t="s">
        <v>283</v>
      </c>
      <c r="C3" s="103" t="s">
        <v>425</v>
      </c>
      <c r="D3" s="103" t="s">
        <v>426</v>
      </c>
      <c r="E3" s="103" t="s">
        <v>427</v>
      </c>
      <c r="F3" s="103" t="s">
        <v>421</v>
      </c>
      <c r="G3" s="103" t="s">
        <v>428</v>
      </c>
      <c r="H3" s="103" t="s">
        <v>429</v>
      </c>
      <c r="I3" s="96"/>
      <c r="J3" s="7"/>
      <c r="K3" s="7" t="s">
        <v>13</v>
      </c>
      <c r="L3" s="7" t="s">
        <v>14</v>
      </c>
      <c r="M3" s="7" t="s">
        <v>10</v>
      </c>
      <c r="N3" s="8" t="s">
        <v>11</v>
      </c>
      <c r="O3" s="7" t="s">
        <v>12</v>
      </c>
      <c r="P3" s="9">
        <v>1.0</v>
      </c>
      <c r="Q3" s="7" t="s">
        <v>424</v>
      </c>
      <c r="R3" s="97">
        <f t="shared" si="4"/>
        <v>1</v>
      </c>
      <c r="S3" s="97">
        <f t="shared" si="5"/>
        <v>1</v>
      </c>
      <c r="T3" s="98">
        <f t="shared" si="6"/>
        <v>1</v>
      </c>
      <c r="U3" s="99">
        <f>IFERROR(__xludf.DUMMYFUNCTION("IFERROR(IF(Match(L3,IMPORTRANGE(""https://docs.google.com/spreadsheets/d/1CAXKDiOnZb21bZOY_nacH9xI9AiD-nH8ZZQAwYKkVC0/edit?usp=drivesdk"",""Completed Exams!A1:A135""),0),1), 0)"),0.0)</f>
        <v>0</v>
      </c>
      <c r="V3" s="100">
        <f t="shared" si="7"/>
        <v>1</v>
      </c>
      <c r="W3" s="100">
        <f>IF(COUNTIF(B$535:B$602,L3)=0,0,1)</f>
        <v>0</v>
      </c>
      <c r="X3" s="101">
        <f t="shared" si="8"/>
        <v>1</v>
      </c>
      <c r="Y3" s="101">
        <f t="shared" si="9"/>
        <v>1</v>
      </c>
      <c r="Z3" s="101">
        <f t="shared" si="10"/>
        <v>1</v>
      </c>
      <c r="AA3" s="101">
        <f t="shared" si="11"/>
        <v>1</v>
      </c>
      <c r="AB3" s="100">
        <v>1.0</v>
      </c>
      <c r="AC3" s="101">
        <f t="shared" si="12"/>
        <v>1</v>
      </c>
      <c r="AD3" s="100">
        <v>1.0</v>
      </c>
      <c r="AE3" s="101">
        <f>IFERROR(__xludf.DUMMYFUNCTION("IFERROR(IF(Match(L3,IMPORTRANGE(""https://docs.google.com/spreadsheets/d/1hvckjcCpxEuDQDPrBMml_I1kBhYyjrgR8qBKC9QGVUc/edit?resourcekey=&amp;gid=230793720#gid=230793720"",""Form Responses 1!B2:B199""),0),1), 0)"),0.0)</f>
        <v>0</v>
      </c>
      <c r="AF3" s="75">
        <f>IFERROR(__xludf.DUMMYFUNCTION("IFERROR(IF(Match(L3,IMPORTRANGE(""https://docs.google.com/spreadsheets/d/1UY0hI2S83Fmafa5P-C1LM9yqe4v4qIKTnVy_CzLzRPs/edit?resourcekey=&amp;gid=1583835601#gid=1583835601"",""Form Responses 1!B2:B194""),0),1), 0)"),0.0)</f>
        <v>0</v>
      </c>
      <c r="AG3" s="75">
        <f>IFERROR(__xludf.DUMMYFUNCTION("IFERROR(IF(Match(L3,IMPORTRANGE(""https://docs.google.com/spreadsheets/d/1hO4mQ22n6cudUygJ2ss_JeJdm2Ua_7hJl_79lWWEtic/edit?resourcekey=&amp;gid=2087212010#gid=2087212010"",""Form Responses 1!B2:B104""),0),1), 0)"),0.0)</f>
        <v>0</v>
      </c>
      <c r="AH3" s="75">
        <f>IFERROR(__xludf.DUMMYFUNCTION("IFERROR(IF(Match(L3,IMPORTRANGE(""https://docs.google.com/spreadsheets/d/1HbfCXhSXbtTODKKY1MOFwJccyhgDKD0J9sO1k5l_6lM/edit?resourcekey=&amp;gid=1616384832#gid=1616384832"",""Form Responses 1!E2:E143""),0),1), 0)"),0.0)</f>
        <v>0</v>
      </c>
    </row>
    <row r="4" ht="22.5" customHeight="1">
      <c r="A4" s="102">
        <v>45917.64677730324</v>
      </c>
      <c r="B4" s="103" t="s">
        <v>363</v>
      </c>
      <c r="C4" s="103" t="s">
        <v>430</v>
      </c>
      <c r="D4" s="103" t="s">
        <v>431</v>
      </c>
      <c r="E4" s="103" t="s">
        <v>427</v>
      </c>
      <c r="F4" s="103" t="s">
        <v>432</v>
      </c>
      <c r="G4" s="103" t="s">
        <v>359</v>
      </c>
      <c r="H4" s="103" t="s">
        <v>433</v>
      </c>
      <c r="I4" s="96"/>
      <c r="J4" s="7"/>
      <c r="K4" s="7" t="s">
        <v>15</v>
      </c>
      <c r="L4" s="7" t="s">
        <v>16</v>
      </c>
      <c r="M4" s="7" t="s">
        <v>10</v>
      </c>
      <c r="N4" s="8" t="s">
        <v>11</v>
      </c>
      <c r="O4" s="7" t="s">
        <v>12</v>
      </c>
      <c r="P4" s="9">
        <v>1.0</v>
      </c>
      <c r="Q4" s="7" t="s">
        <v>424</v>
      </c>
      <c r="R4" s="97">
        <f t="shared" si="4"/>
        <v>1</v>
      </c>
      <c r="S4" s="97">
        <f t="shared" si="5"/>
        <v>1</v>
      </c>
      <c r="T4" s="98">
        <f t="shared" si="6"/>
        <v>1</v>
      </c>
      <c r="U4" s="99">
        <f>IFERROR(__xludf.DUMMYFUNCTION("IFERROR(IF(Match(L4,IMPORTRANGE(""https://docs.google.com/spreadsheets/d/1CAXKDiOnZb21bZOY_nacH9xI9AiD-nH8ZZQAwYKkVC0/edit?usp=drivesdk"",""Completed Exams!A1:A135""),0),1), 0)"),0.0)</f>
        <v>0</v>
      </c>
      <c r="V4" s="100">
        <f t="shared" si="7"/>
        <v>1</v>
      </c>
      <c r="W4" s="100">
        <v>1.0</v>
      </c>
      <c r="X4" s="101">
        <f t="shared" si="8"/>
        <v>0</v>
      </c>
      <c r="Y4" s="101">
        <f t="shared" si="9"/>
        <v>1</v>
      </c>
      <c r="Z4" s="101">
        <f t="shared" si="10"/>
        <v>1</v>
      </c>
      <c r="AA4" s="101">
        <f t="shared" si="11"/>
        <v>1</v>
      </c>
      <c r="AB4" s="101">
        <f>IFERROR(__xludf.DUMMYFUNCTION("IFERROR(IF(Match(L4,IMPORTRANGE(""https://docs.google.com/spreadsheets/d/1n1sT_Q_W3mKmn2Yrd8qcNzuRD4zr4DB9gqARnjQ30B4/edit?gid=1918970062#gid=1918970062"",""Form Responses 1!B2:B49""),0),1), 0)"),0.0)</f>
        <v>0</v>
      </c>
      <c r="AC4" s="101">
        <f t="shared" si="12"/>
        <v>1</v>
      </c>
      <c r="AD4" s="100">
        <v>1.0</v>
      </c>
      <c r="AE4" s="101">
        <f>IFERROR(__xludf.DUMMYFUNCTION("IFERROR(IF(Match(L4,IMPORTRANGE(""https://docs.google.com/spreadsheets/d/1hvckjcCpxEuDQDPrBMml_I1kBhYyjrgR8qBKC9QGVUc/edit?resourcekey=&amp;gid=230793720#gid=230793720"",""Form Responses 1!B2:B199""),0),1), 0)"),0.0)</f>
        <v>0</v>
      </c>
      <c r="AF4" s="75">
        <f>IFERROR(__xludf.DUMMYFUNCTION("IFERROR(IF(Match(L4,IMPORTRANGE(""https://docs.google.com/spreadsheets/d/1UY0hI2S83Fmafa5P-C1LM9yqe4v4qIKTnVy_CzLzRPs/edit?resourcekey=&amp;gid=1583835601#gid=1583835601"",""Form Responses 1!B2:B194""),0),1), 0)"),0.0)</f>
        <v>0</v>
      </c>
      <c r="AG4" s="75">
        <f>IFERROR(__xludf.DUMMYFUNCTION("IFERROR(IF(Match(L4,IMPORTRANGE(""https://docs.google.com/spreadsheets/d/1hO4mQ22n6cudUygJ2ss_JeJdm2Ua_7hJl_79lWWEtic/edit?resourcekey=&amp;gid=2087212010#gid=2087212010"",""Form Responses 1!B2:B104""),0),1), 0)"),0.0)</f>
        <v>0</v>
      </c>
      <c r="AH4" s="75">
        <f>IFERROR(__xludf.DUMMYFUNCTION("IFERROR(IF(Match(L4,IMPORTRANGE(""https://docs.google.com/spreadsheets/d/1HbfCXhSXbtTODKKY1MOFwJccyhgDKD0J9sO1k5l_6lM/edit?resourcekey=&amp;gid=1616384832#gid=1616384832"",""Form Responses 1!E2:E143""),0),1), 0)"),0.0)</f>
        <v>0</v>
      </c>
    </row>
    <row r="5" ht="22.5" customHeight="1">
      <c r="A5" s="102">
        <v>45917.64701821759</v>
      </c>
      <c r="B5" s="103" t="s">
        <v>112</v>
      </c>
      <c r="C5" s="103" t="s">
        <v>434</v>
      </c>
      <c r="D5" s="103" t="s">
        <v>435</v>
      </c>
      <c r="E5" s="103" t="s">
        <v>427</v>
      </c>
      <c r="F5" s="103" t="s">
        <v>436</v>
      </c>
      <c r="G5" s="103" t="s">
        <v>113</v>
      </c>
      <c r="H5" s="103" t="s">
        <v>437</v>
      </c>
      <c r="I5" s="96"/>
      <c r="J5" s="7"/>
      <c r="K5" s="7" t="s">
        <v>17</v>
      </c>
      <c r="L5" s="7" t="s">
        <v>18</v>
      </c>
      <c r="M5" s="7" t="s">
        <v>10</v>
      </c>
      <c r="N5" s="11" t="s">
        <v>11</v>
      </c>
      <c r="O5" s="7" t="s">
        <v>12</v>
      </c>
      <c r="P5" s="9">
        <v>1.0</v>
      </c>
      <c r="Q5" s="7" t="s">
        <v>438</v>
      </c>
      <c r="R5" s="97">
        <f t="shared" si="4"/>
        <v>1</v>
      </c>
      <c r="S5" s="97">
        <f t="shared" si="5"/>
        <v>1</v>
      </c>
      <c r="T5" s="98">
        <f t="shared" si="6"/>
        <v>1</v>
      </c>
      <c r="U5" s="99">
        <f>IFERROR(__xludf.DUMMYFUNCTION("IFERROR(IF(Match(L5,IMPORTRANGE(""https://docs.google.com/spreadsheets/d/1CAXKDiOnZb21bZOY_nacH9xI9AiD-nH8ZZQAwYKkVC0/edit?usp=drivesdk"",""Completed Exams!A1:A135""),0),1), 0)"),0.0)</f>
        <v>0</v>
      </c>
      <c r="V5" s="100">
        <f t="shared" si="7"/>
        <v>1</v>
      </c>
      <c r="W5" s="100">
        <f t="shared" ref="W5:W8" si="13">IF(COUNTIF(B$535:B$602,L5)=0,0,1)</f>
        <v>1</v>
      </c>
      <c r="X5" s="101">
        <f t="shared" si="8"/>
        <v>1</v>
      </c>
      <c r="Y5" s="101">
        <f t="shared" si="9"/>
        <v>1</v>
      </c>
      <c r="Z5" s="101">
        <f t="shared" si="10"/>
        <v>1</v>
      </c>
      <c r="AA5" s="101">
        <f t="shared" si="11"/>
        <v>1</v>
      </c>
      <c r="AB5" s="101">
        <f>IFERROR(__xludf.DUMMYFUNCTION("IFERROR(IF(Match(L5,IMPORTRANGE(""https://docs.google.com/spreadsheets/d/1n1sT_Q_W3mKmn2Yrd8qcNzuRD4zr4DB9gqARnjQ30B4/edit?gid=1918970062#gid=1918970062"",""Form Responses 1!B2:B49""),0),1), 0)"),0.0)</f>
        <v>0</v>
      </c>
      <c r="AC5" s="101">
        <f t="shared" si="12"/>
        <v>1</v>
      </c>
      <c r="AD5" s="100">
        <v>1.0</v>
      </c>
      <c r="AE5" s="101">
        <f>IFERROR(__xludf.DUMMYFUNCTION("IFERROR(IF(Match(L5,IMPORTRANGE(""https://docs.google.com/spreadsheets/d/1hvckjcCpxEuDQDPrBMml_I1kBhYyjrgR8qBKC9QGVUc/edit?resourcekey=&amp;gid=230793720#gid=230793720"",""Form Responses 1!B2:B199""),0),1), 0)"),0.0)</f>
        <v>0</v>
      </c>
      <c r="AF5" s="75">
        <f>IFERROR(__xludf.DUMMYFUNCTION("IFERROR(IF(Match(L5,IMPORTRANGE(""https://docs.google.com/spreadsheets/d/1UY0hI2S83Fmafa5P-C1LM9yqe4v4qIKTnVy_CzLzRPs/edit?resourcekey=&amp;gid=1583835601#gid=1583835601"",""Form Responses 1!B2:B194""),0),1), 0)"),0.0)</f>
        <v>0</v>
      </c>
      <c r="AG5" s="75">
        <f>IFERROR(__xludf.DUMMYFUNCTION("IFERROR(IF(Match(L5,IMPORTRANGE(""https://docs.google.com/spreadsheets/d/1hO4mQ22n6cudUygJ2ss_JeJdm2Ua_7hJl_79lWWEtic/edit?resourcekey=&amp;gid=2087212010#gid=2087212010"",""Form Responses 1!B2:B104""),0),1), 0)"),0.0)</f>
        <v>0</v>
      </c>
      <c r="AH5" s="75">
        <f>IFERROR(__xludf.DUMMYFUNCTION("IFERROR(IF(Match(L5,IMPORTRANGE(""https://docs.google.com/spreadsheets/d/1HbfCXhSXbtTODKKY1MOFwJccyhgDKD0J9sO1k5l_6lM/edit?resourcekey=&amp;gid=1616384832#gid=1616384832"",""Form Responses 1!E2:E143""),0),1), 0)"),0.0)</f>
        <v>0</v>
      </c>
    </row>
    <row r="6" ht="22.5" customHeight="1">
      <c r="A6" s="102">
        <v>45917.647095844906</v>
      </c>
      <c r="B6" s="103" t="s">
        <v>380</v>
      </c>
      <c r="C6" s="103" t="s">
        <v>439</v>
      </c>
      <c r="D6" s="103" t="s">
        <v>440</v>
      </c>
      <c r="E6" s="103" t="s">
        <v>427</v>
      </c>
      <c r="F6" s="103" t="s">
        <v>441</v>
      </c>
      <c r="G6" s="103" t="s">
        <v>442</v>
      </c>
      <c r="H6" s="103" t="s">
        <v>443</v>
      </c>
      <c r="I6" s="96"/>
      <c r="J6" s="7"/>
      <c r="K6" s="16" t="s">
        <v>19</v>
      </c>
      <c r="L6" s="16" t="s">
        <v>20</v>
      </c>
      <c r="M6" s="71" t="s">
        <v>10</v>
      </c>
      <c r="N6" s="17" t="s">
        <v>11</v>
      </c>
      <c r="O6" s="16" t="s">
        <v>12</v>
      </c>
      <c r="P6" s="18">
        <v>1.0</v>
      </c>
      <c r="Q6" s="16" t="s">
        <v>424</v>
      </c>
      <c r="R6" s="97">
        <f t="shared" si="4"/>
        <v>1</v>
      </c>
      <c r="S6" s="97">
        <f t="shared" si="5"/>
        <v>1</v>
      </c>
      <c r="T6" s="98">
        <f t="shared" si="6"/>
        <v>1</v>
      </c>
      <c r="U6" s="99">
        <f>IFERROR(__xludf.DUMMYFUNCTION("IFERROR(IF(Match(L6,IMPORTRANGE(""https://docs.google.com/spreadsheets/d/1CAXKDiOnZb21bZOY_nacH9xI9AiD-nH8ZZQAwYKkVC0/edit?usp=drivesdk"",""Completed Exams!A1:A135""),0),1), 0)"),0.0)</f>
        <v>0</v>
      </c>
      <c r="V6" s="100">
        <f t="shared" si="7"/>
        <v>1</v>
      </c>
      <c r="W6" s="100">
        <f t="shared" si="13"/>
        <v>1</v>
      </c>
      <c r="X6" s="101">
        <f t="shared" si="8"/>
        <v>1</v>
      </c>
      <c r="Y6" s="101">
        <f t="shared" si="9"/>
        <v>1</v>
      </c>
      <c r="Z6" s="101">
        <f t="shared" si="10"/>
        <v>1</v>
      </c>
      <c r="AA6" s="101">
        <f t="shared" si="11"/>
        <v>1</v>
      </c>
      <c r="AB6" s="100">
        <v>1.0</v>
      </c>
      <c r="AC6" s="101">
        <f t="shared" si="12"/>
        <v>1</v>
      </c>
      <c r="AD6" s="100">
        <v>1.0</v>
      </c>
      <c r="AE6" s="101">
        <f>IFERROR(__xludf.DUMMYFUNCTION("IFERROR(IF(Match(L6,IMPORTRANGE(""https://docs.google.com/spreadsheets/d/1hvckjcCpxEuDQDPrBMml_I1kBhYyjrgR8qBKC9QGVUc/edit?resourcekey=&amp;gid=230793720#gid=230793720"",""Form Responses 1!B2:B199""),0),1), 0)"),0.0)</f>
        <v>0</v>
      </c>
      <c r="AF6" s="75">
        <f>IFERROR(__xludf.DUMMYFUNCTION("IFERROR(IF(Match(L6,IMPORTRANGE(""https://docs.google.com/spreadsheets/d/1UY0hI2S83Fmafa5P-C1LM9yqe4v4qIKTnVy_CzLzRPs/edit?resourcekey=&amp;gid=1583835601#gid=1583835601"",""Form Responses 1!B2:B194""),0),1), 0)"),0.0)</f>
        <v>0</v>
      </c>
      <c r="AG6" s="75">
        <f>IFERROR(__xludf.DUMMYFUNCTION("IFERROR(IF(Match(L6,IMPORTRANGE(""https://docs.google.com/spreadsheets/d/1hO4mQ22n6cudUygJ2ss_JeJdm2Ua_7hJl_79lWWEtic/edit?resourcekey=&amp;gid=2087212010#gid=2087212010"",""Form Responses 1!B2:B104""),0),1), 0)"),0.0)</f>
        <v>0</v>
      </c>
      <c r="AH6" s="75">
        <f>IFERROR(__xludf.DUMMYFUNCTION("IFERROR(IF(Match(L6,IMPORTRANGE(""https://docs.google.com/spreadsheets/d/1HbfCXhSXbtTODKKY1MOFwJccyhgDKD0J9sO1k5l_6lM/edit?resourcekey=&amp;gid=1616384832#gid=1616384832"",""Form Responses 1!E2:E143""),0),1), 0)"),0.0)</f>
        <v>0</v>
      </c>
    </row>
    <row r="7" ht="22.5" customHeight="1">
      <c r="A7" s="102">
        <v>45917.64710973379</v>
      </c>
      <c r="B7" s="103" t="s">
        <v>79</v>
      </c>
      <c r="C7" s="103" t="s">
        <v>444</v>
      </c>
      <c r="D7" s="103" t="s">
        <v>430</v>
      </c>
      <c r="E7" s="103" t="s">
        <v>427</v>
      </c>
      <c r="F7" s="103" t="s">
        <v>441</v>
      </c>
      <c r="G7" s="103" t="s">
        <v>445</v>
      </c>
      <c r="H7" s="103" t="s">
        <v>446</v>
      </c>
      <c r="I7" s="96"/>
      <c r="J7" s="7"/>
      <c r="K7" s="7" t="s">
        <v>21</v>
      </c>
      <c r="L7" s="7" t="s">
        <v>22</v>
      </c>
      <c r="M7" s="7" t="s">
        <v>23</v>
      </c>
      <c r="N7" s="8" t="s">
        <v>24</v>
      </c>
      <c r="O7" s="7" t="s">
        <v>25</v>
      </c>
      <c r="P7" s="21">
        <v>2.0</v>
      </c>
      <c r="Q7" s="7" t="s">
        <v>447</v>
      </c>
      <c r="R7" s="97">
        <f t="shared" si="4"/>
        <v>1</v>
      </c>
      <c r="S7" s="97">
        <f t="shared" si="5"/>
        <v>0</v>
      </c>
      <c r="T7" s="98">
        <f t="shared" si="6"/>
        <v>0</v>
      </c>
      <c r="U7" s="98">
        <v>1.0</v>
      </c>
      <c r="V7" s="100">
        <f t="shared" si="7"/>
        <v>0</v>
      </c>
      <c r="W7" s="100">
        <f t="shared" si="13"/>
        <v>1</v>
      </c>
      <c r="X7" s="101">
        <f t="shared" si="8"/>
        <v>0</v>
      </c>
      <c r="Y7" s="101">
        <f t="shared" si="9"/>
        <v>0</v>
      </c>
      <c r="Z7" s="101">
        <f t="shared" si="10"/>
        <v>0</v>
      </c>
      <c r="AA7" s="100">
        <v>0.5</v>
      </c>
      <c r="AB7" s="101">
        <f>IFERROR(__xludf.DUMMYFUNCTION("IFERROR(IF(Match(L7,IMPORTRANGE(""https://docs.google.com/spreadsheets/d/1n1sT_Q_W3mKmn2Yrd8qcNzuRD4zr4DB9gqARnjQ30B4/edit?gid=1918970062#gid=1918970062"",""Form Responses 1!B2:B49""),0),1), 0)"),0.0)</f>
        <v>0</v>
      </c>
      <c r="AC7" s="101">
        <f t="shared" si="12"/>
        <v>1</v>
      </c>
      <c r="AD7" s="100">
        <v>0.0</v>
      </c>
      <c r="AE7" s="101">
        <f>IFERROR(__xludf.DUMMYFUNCTION("IFERROR(IF(Match(L7,IMPORTRANGE(""https://docs.google.com/spreadsheets/d/1hvckjcCpxEuDQDPrBMml_I1kBhYyjrgR8qBKC9QGVUc/edit?resourcekey=&amp;gid=230793720#gid=230793720"",""Form Responses 1!B2:B199""),0),1), 0)"),0.0)</f>
        <v>0</v>
      </c>
      <c r="AF7" s="75">
        <f>IFERROR(__xludf.DUMMYFUNCTION("IFERROR(IF(Match(L7,IMPORTRANGE(""https://docs.google.com/spreadsheets/d/1UY0hI2S83Fmafa5P-C1LM9yqe4v4qIKTnVy_CzLzRPs/edit?resourcekey=&amp;gid=1583835601#gid=1583835601"",""Form Responses 1!B2:B194""),0),1), 0)"),0.0)</f>
        <v>0</v>
      </c>
      <c r="AG7" s="75">
        <f>IFERROR(__xludf.DUMMYFUNCTION("IFERROR(IF(Match(L7,IMPORTRANGE(""https://docs.google.com/spreadsheets/d/1hO4mQ22n6cudUygJ2ss_JeJdm2Ua_7hJl_79lWWEtic/edit?resourcekey=&amp;gid=2087212010#gid=2087212010"",""Form Responses 1!B2:B104""),0),1), 0)"),0.0)</f>
        <v>0</v>
      </c>
      <c r="AH7" s="10">
        <v>0.5</v>
      </c>
    </row>
    <row r="8" ht="22.5" customHeight="1">
      <c r="A8" s="102">
        <v>45917.6471325</v>
      </c>
      <c r="B8" s="103" t="s">
        <v>293</v>
      </c>
      <c r="C8" s="103" t="s">
        <v>448</v>
      </c>
      <c r="D8" s="103" t="s">
        <v>449</v>
      </c>
      <c r="E8" s="103" t="s">
        <v>450</v>
      </c>
      <c r="F8" s="103" t="s">
        <v>436</v>
      </c>
      <c r="G8" s="103" t="s">
        <v>294</v>
      </c>
      <c r="H8" s="103" t="s">
        <v>451</v>
      </c>
      <c r="I8" s="96"/>
      <c r="J8" s="7"/>
      <c r="K8" s="7" t="s">
        <v>26</v>
      </c>
      <c r="L8" s="7" t="s">
        <v>27</v>
      </c>
      <c r="M8" s="7" t="s">
        <v>23</v>
      </c>
      <c r="N8" s="8" t="s">
        <v>28</v>
      </c>
      <c r="O8" s="7" t="s">
        <v>29</v>
      </c>
      <c r="P8" s="21">
        <v>2.0</v>
      </c>
      <c r="Q8" s="7" t="s">
        <v>447</v>
      </c>
      <c r="R8" s="97">
        <f t="shared" si="4"/>
        <v>0</v>
      </c>
      <c r="S8" s="97">
        <f t="shared" si="5"/>
        <v>1</v>
      </c>
      <c r="T8" s="98">
        <f t="shared" si="6"/>
        <v>1</v>
      </c>
      <c r="U8" s="99">
        <f>IFERROR(__xludf.DUMMYFUNCTION("IFERROR(IF(Match(L8,IMPORTRANGE(""https://docs.google.com/spreadsheets/d/1CAXKDiOnZb21bZOY_nacH9xI9AiD-nH8ZZQAwYKkVC0/edit?usp=drivesdk"",""Completed Exams!A1:A135""),0),1), 0)"),0.0)</f>
        <v>0</v>
      </c>
      <c r="V8" s="100">
        <f t="shared" si="7"/>
        <v>1</v>
      </c>
      <c r="W8" s="100">
        <f t="shared" si="13"/>
        <v>1</v>
      </c>
      <c r="X8" s="101">
        <f t="shared" si="8"/>
        <v>1</v>
      </c>
      <c r="Y8" s="101">
        <f t="shared" si="9"/>
        <v>1</v>
      </c>
      <c r="Z8" s="101">
        <f t="shared" si="10"/>
        <v>1</v>
      </c>
      <c r="AA8" s="101">
        <f t="shared" ref="AA8:AA13" si="14">IF(COUNTIF(B$971:B$1124,L8)=0,0,1)</f>
        <v>1</v>
      </c>
      <c r="AB8" s="101">
        <f>IFERROR(__xludf.DUMMYFUNCTION("IFERROR(IF(Match(L8,IMPORTRANGE(""https://docs.google.com/spreadsheets/d/1n1sT_Q_W3mKmn2Yrd8qcNzuRD4zr4DB9gqARnjQ30B4/edit?gid=1918970062#gid=1918970062"",""Form Responses 1!B2:B49""),0),1), 0)"),0.0)</f>
        <v>0</v>
      </c>
      <c r="AC8" s="101">
        <f t="shared" si="12"/>
        <v>1</v>
      </c>
      <c r="AD8" s="100">
        <v>1.0</v>
      </c>
      <c r="AE8" s="100">
        <v>0.5</v>
      </c>
      <c r="AF8" s="75">
        <f>IFERROR(__xludf.DUMMYFUNCTION("IFERROR(IF(Match(L8,IMPORTRANGE(""https://docs.google.com/spreadsheets/d/1UY0hI2S83Fmafa5P-C1LM9yqe4v4qIKTnVy_CzLzRPs/edit?resourcekey=&amp;gid=1583835601#gid=1583835601"",""Form Responses 1!B2:B194""),0),1), 0)"),0.0)</f>
        <v>0</v>
      </c>
      <c r="AG8" s="75">
        <f>IFERROR(__xludf.DUMMYFUNCTION("IFERROR(IF(Match(L8,IMPORTRANGE(""https://docs.google.com/spreadsheets/d/1hO4mQ22n6cudUygJ2ss_JeJdm2Ua_7hJl_79lWWEtic/edit?resourcekey=&amp;gid=2087212010#gid=2087212010"",""Form Responses 1!B2:B104""),0),1), 0)"),0.0)</f>
        <v>0</v>
      </c>
      <c r="AH8" s="75">
        <f>IFERROR(__xludf.DUMMYFUNCTION("IFERROR(IF(Match(L8,IMPORTRANGE(""https://docs.google.com/spreadsheets/d/1HbfCXhSXbtTODKKY1MOFwJccyhgDKD0J9sO1k5l_6lM/edit?resourcekey=&amp;gid=1616384832#gid=1616384832"",""Form Responses 1!E2:E143""),0),1), 0)"),0.0)</f>
        <v>0</v>
      </c>
    </row>
    <row r="9" ht="22.5" customHeight="1">
      <c r="A9" s="102">
        <v>45917.64724520833</v>
      </c>
      <c r="B9" s="103" t="s">
        <v>215</v>
      </c>
      <c r="C9" s="103" t="s">
        <v>452</v>
      </c>
      <c r="D9" s="103" t="s">
        <v>453</v>
      </c>
      <c r="E9" s="103" t="s">
        <v>427</v>
      </c>
      <c r="F9" s="103" t="s">
        <v>436</v>
      </c>
      <c r="G9" s="103" t="s">
        <v>445</v>
      </c>
      <c r="H9" s="103" t="s">
        <v>454</v>
      </c>
      <c r="I9" s="96"/>
      <c r="J9" s="22"/>
      <c r="K9" s="22" t="s">
        <v>455</v>
      </c>
      <c r="L9" s="22" t="s">
        <v>31</v>
      </c>
      <c r="M9" s="7" t="s">
        <v>23</v>
      </c>
      <c r="N9" s="8" t="s">
        <v>28</v>
      </c>
      <c r="O9" s="7" t="s">
        <v>12</v>
      </c>
      <c r="P9" s="23">
        <v>2.0</v>
      </c>
      <c r="Q9" s="22" t="s">
        <v>456</v>
      </c>
      <c r="R9" s="97">
        <f t="shared" si="4"/>
        <v>1</v>
      </c>
      <c r="S9" s="97">
        <f t="shared" si="5"/>
        <v>1</v>
      </c>
      <c r="T9" s="98">
        <f t="shared" si="6"/>
        <v>1</v>
      </c>
      <c r="U9" s="99">
        <f>IFERROR(__xludf.DUMMYFUNCTION("IFERROR(IF(Match(L9,IMPORTRANGE(""https://docs.google.com/spreadsheets/d/1CAXKDiOnZb21bZOY_nacH9xI9AiD-nH8ZZQAwYKkVC0/edit?usp=drivesdk"",""Completed Exams!A1:A135""),0),1), 0)"),0.0)</f>
        <v>0</v>
      </c>
      <c r="V9" s="100">
        <f t="shared" si="7"/>
        <v>1</v>
      </c>
      <c r="W9" s="100">
        <v>0.5</v>
      </c>
      <c r="X9" s="101">
        <f t="shared" si="8"/>
        <v>1</v>
      </c>
      <c r="Y9" s="101">
        <f t="shared" si="9"/>
        <v>1</v>
      </c>
      <c r="Z9" s="101">
        <f t="shared" si="10"/>
        <v>1</v>
      </c>
      <c r="AA9" s="101">
        <f t="shared" si="14"/>
        <v>1</v>
      </c>
      <c r="AB9" s="100">
        <v>1.0</v>
      </c>
      <c r="AC9" s="101">
        <f t="shared" si="12"/>
        <v>1</v>
      </c>
      <c r="AD9" s="100">
        <v>1.0</v>
      </c>
      <c r="AE9" s="101">
        <f>IFERROR(__xludf.DUMMYFUNCTION("IFERROR(IF(Match(L9,IMPORTRANGE(""https://docs.google.com/spreadsheets/d/1hvckjcCpxEuDQDPrBMml_I1kBhYyjrgR8qBKC9QGVUc/edit?resourcekey=&amp;gid=230793720#gid=230793720"",""Form Responses 1!B2:B199""),0),1), 0)"),0.0)</f>
        <v>0</v>
      </c>
      <c r="AF9" s="75">
        <f>IFERROR(__xludf.DUMMYFUNCTION("IFERROR(IF(Match(L9,IMPORTRANGE(""https://docs.google.com/spreadsheets/d/1UY0hI2S83Fmafa5P-C1LM9yqe4v4qIKTnVy_CzLzRPs/edit?resourcekey=&amp;gid=1583835601#gid=1583835601"",""Form Responses 1!B2:B194""),0),1), 0)"),0.0)</f>
        <v>0</v>
      </c>
      <c r="AG9" s="75">
        <f>IFERROR(__xludf.DUMMYFUNCTION("IFERROR(IF(Match(L9,IMPORTRANGE(""https://docs.google.com/spreadsheets/d/1hO4mQ22n6cudUygJ2ss_JeJdm2Ua_7hJl_79lWWEtic/edit?resourcekey=&amp;gid=2087212010#gid=2087212010"",""Form Responses 1!B2:B104""),0),1), 0)"),0.0)</f>
        <v>0</v>
      </c>
      <c r="AH9" s="75">
        <f>IFERROR(__xludf.DUMMYFUNCTION("IFERROR(IF(Match(L9,IMPORTRANGE(""https://docs.google.com/spreadsheets/d/1HbfCXhSXbtTODKKY1MOFwJccyhgDKD0J9sO1k5l_6lM/edit?resourcekey=&amp;gid=1616384832#gid=1616384832"",""Form Responses 1!E2:E143""),0),1), 0)"),0.0)</f>
        <v>0</v>
      </c>
    </row>
    <row r="10" ht="22.5" customHeight="1">
      <c r="A10" s="102">
        <v>45917.647302627316</v>
      </c>
      <c r="B10" s="103" t="s">
        <v>369</v>
      </c>
      <c r="C10" s="103" t="s">
        <v>457</v>
      </c>
      <c r="D10" s="103" t="s">
        <v>458</v>
      </c>
      <c r="E10" s="103" t="s">
        <v>427</v>
      </c>
      <c r="F10" s="103" t="s">
        <v>441</v>
      </c>
      <c r="G10" s="103" t="s">
        <v>442</v>
      </c>
      <c r="H10" s="103" t="s">
        <v>459</v>
      </c>
      <c r="I10" s="96"/>
      <c r="J10" s="7"/>
      <c r="K10" s="7" t="s">
        <v>32</v>
      </c>
      <c r="L10" s="7" t="s">
        <v>33</v>
      </c>
      <c r="M10" s="7" t="s">
        <v>23</v>
      </c>
      <c r="N10" s="8" t="s">
        <v>28</v>
      </c>
      <c r="O10" s="7" t="s">
        <v>12</v>
      </c>
      <c r="P10" s="21">
        <v>2.0</v>
      </c>
      <c r="Q10" s="7" t="s">
        <v>456</v>
      </c>
      <c r="R10" s="97">
        <f t="shared" si="4"/>
        <v>1</v>
      </c>
      <c r="S10" s="97">
        <f t="shared" si="5"/>
        <v>1</v>
      </c>
      <c r="T10" s="98">
        <f t="shared" si="6"/>
        <v>1</v>
      </c>
      <c r="U10" s="99">
        <f>IFERROR(__xludf.DUMMYFUNCTION("IFERROR(IF(Match(L10,IMPORTRANGE(""https://docs.google.com/spreadsheets/d/1CAXKDiOnZb21bZOY_nacH9xI9AiD-nH8ZZQAwYKkVC0/edit?usp=drivesdk"",""Completed Exams!A1:A135""),0),1), 0)"),0.0)</f>
        <v>0</v>
      </c>
      <c r="V10" s="100">
        <f t="shared" si="7"/>
        <v>1</v>
      </c>
      <c r="W10" s="100">
        <v>0.5</v>
      </c>
      <c r="X10" s="101">
        <f t="shared" si="8"/>
        <v>1</v>
      </c>
      <c r="Y10" s="101">
        <f t="shared" si="9"/>
        <v>1</v>
      </c>
      <c r="Z10" s="101">
        <f t="shared" si="10"/>
        <v>1</v>
      </c>
      <c r="AA10" s="101">
        <f t="shared" si="14"/>
        <v>1</v>
      </c>
      <c r="AB10" s="101">
        <f>IFERROR(__xludf.DUMMYFUNCTION("IFERROR(IF(Match(L10,IMPORTRANGE(""https://docs.google.com/spreadsheets/d/1n1sT_Q_W3mKmn2Yrd8qcNzuRD4zr4DB9gqARnjQ30B4/edit?gid=1918970062#gid=1918970062"",""Form Responses 1!B2:B49""),0),1), 0)"),0.0)</f>
        <v>0</v>
      </c>
      <c r="AC10" s="101">
        <f t="shared" si="12"/>
        <v>1</v>
      </c>
      <c r="AD10" s="100">
        <v>1.0</v>
      </c>
      <c r="AE10" s="101">
        <f>IFERROR(__xludf.DUMMYFUNCTION("IFERROR(IF(Match(L10,IMPORTRANGE(""https://docs.google.com/spreadsheets/d/1hvckjcCpxEuDQDPrBMml_I1kBhYyjrgR8qBKC9QGVUc/edit?resourcekey=&amp;gid=230793720#gid=230793720"",""Form Responses 1!B2:B199""),0),1), 0)"),0.0)</f>
        <v>0</v>
      </c>
      <c r="AF10" s="75">
        <f>IFERROR(__xludf.DUMMYFUNCTION("IFERROR(IF(Match(L10,IMPORTRANGE(""https://docs.google.com/spreadsheets/d/1UY0hI2S83Fmafa5P-C1LM9yqe4v4qIKTnVy_CzLzRPs/edit?resourcekey=&amp;gid=1583835601#gid=1583835601"",""Form Responses 1!B2:B194""),0),1), 0)"),0.0)</f>
        <v>0</v>
      </c>
      <c r="AG10" s="75">
        <f>IFERROR(__xludf.DUMMYFUNCTION("IFERROR(IF(Match(L10,IMPORTRANGE(""https://docs.google.com/spreadsheets/d/1hO4mQ22n6cudUygJ2ss_JeJdm2Ua_7hJl_79lWWEtic/edit?resourcekey=&amp;gid=2087212010#gid=2087212010"",""Form Responses 1!B2:B104""),0),1), 0)"),0.0)</f>
        <v>0</v>
      </c>
      <c r="AH10" s="75">
        <f>IFERROR(__xludf.DUMMYFUNCTION("IFERROR(IF(Match(L10,IMPORTRANGE(""https://docs.google.com/spreadsheets/d/1HbfCXhSXbtTODKKY1MOFwJccyhgDKD0J9sO1k5l_6lM/edit?resourcekey=&amp;gid=1616384832#gid=1616384832"",""Form Responses 1!E2:E143""),0),1), 0)"),0.0)</f>
        <v>0</v>
      </c>
    </row>
    <row r="11" ht="22.5" customHeight="1">
      <c r="A11" s="102">
        <v>45917.647304872684</v>
      </c>
      <c r="B11" s="103" t="s">
        <v>298</v>
      </c>
      <c r="C11" s="103" t="s">
        <v>460</v>
      </c>
      <c r="D11" s="103" t="s">
        <v>461</v>
      </c>
      <c r="E11" s="103" t="s">
        <v>427</v>
      </c>
      <c r="F11" s="103" t="s">
        <v>436</v>
      </c>
      <c r="G11" s="103" t="s">
        <v>462</v>
      </c>
      <c r="H11" s="103" t="s">
        <v>463</v>
      </c>
      <c r="I11" s="96"/>
      <c r="J11" s="7"/>
      <c r="K11" s="16" t="s">
        <v>34</v>
      </c>
      <c r="L11" s="16" t="s">
        <v>35</v>
      </c>
      <c r="M11" s="16" t="s">
        <v>23</v>
      </c>
      <c r="N11" s="17" t="s">
        <v>28</v>
      </c>
      <c r="O11" s="16" t="s">
        <v>29</v>
      </c>
      <c r="P11" s="24">
        <v>2.0</v>
      </c>
      <c r="Q11" s="16" t="s">
        <v>464</v>
      </c>
      <c r="R11" s="104">
        <v>0.5</v>
      </c>
      <c r="S11" s="104">
        <v>0.5</v>
      </c>
      <c r="T11" s="98">
        <f t="shared" si="6"/>
        <v>1</v>
      </c>
      <c r="U11" s="99">
        <f>IFERROR(__xludf.DUMMYFUNCTION("IFERROR(IF(Match(L11,IMPORTRANGE(""https://docs.google.com/spreadsheets/d/1CAXKDiOnZb21bZOY_nacH9xI9AiD-nH8ZZQAwYKkVC0/edit?usp=drivesdk"",""Completed Exams!A1:A135""),0),1), 0)"),0.0)</f>
        <v>0</v>
      </c>
      <c r="V11" s="100">
        <f t="shared" si="7"/>
        <v>1</v>
      </c>
      <c r="W11" s="100">
        <f t="shared" ref="W11:W18" si="15">IF(COUNTIF(B$535:B$602,L11)=0,0,1)</f>
        <v>0</v>
      </c>
      <c r="X11" s="101">
        <f t="shared" si="8"/>
        <v>1</v>
      </c>
      <c r="Y11" s="101">
        <f t="shared" si="9"/>
        <v>1</v>
      </c>
      <c r="Z11" s="101">
        <f t="shared" si="10"/>
        <v>1</v>
      </c>
      <c r="AA11" s="101">
        <f t="shared" si="14"/>
        <v>1</v>
      </c>
      <c r="AB11" s="101">
        <f>IFERROR(__xludf.DUMMYFUNCTION("IFERROR(IF(Match(L11,IMPORTRANGE(""https://docs.google.com/spreadsheets/d/1n1sT_Q_W3mKmn2Yrd8qcNzuRD4zr4DB9gqARnjQ30B4/edit?gid=1918970062#gid=1918970062"",""Form Responses 1!B2:B49""),0),1), 0)"),0.0)</f>
        <v>0</v>
      </c>
      <c r="AC11" s="101">
        <f t="shared" si="12"/>
        <v>1</v>
      </c>
      <c r="AD11" s="100">
        <v>0.5</v>
      </c>
      <c r="AE11" s="101">
        <f>IFERROR(__xludf.DUMMYFUNCTION("IFERROR(IF(Match(L11,IMPORTRANGE(""https://docs.google.com/spreadsheets/d/1hvckjcCpxEuDQDPrBMml_I1kBhYyjrgR8qBKC9QGVUc/edit?resourcekey=&amp;gid=230793720#gid=230793720"",""Form Responses 1!B2:B199""),0),1), 0)"),0.0)</f>
        <v>0</v>
      </c>
      <c r="AF11" s="75">
        <f>IFERROR(__xludf.DUMMYFUNCTION("IFERROR(IF(Match(L11,IMPORTRANGE(""https://docs.google.com/spreadsheets/d/1UY0hI2S83Fmafa5P-C1LM9yqe4v4qIKTnVy_CzLzRPs/edit?resourcekey=&amp;gid=1583835601#gid=1583835601"",""Form Responses 1!B2:B194""),0),1), 0)"),0.0)</f>
        <v>0</v>
      </c>
      <c r="AG11" s="75">
        <f>IFERROR(__xludf.DUMMYFUNCTION("IFERROR(IF(Match(L11,IMPORTRANGE(""https://docs.google.com/spreadsheets/d/1hO4mQ22n6cudUygJ2ss_JeJdm2Ua_7hJl_79lWWEtic/edit?resourcekey=&amp;gid=2087212010#gid=2087212010"",""Form Responses 1!B2:B104""),0),1), 0)"),0.0)</f>
        <v>0</v>
      </c>
      <c r="AH11" s="75">
        <f>IFERROR(__xludf.DUMMYFUNCTION("IFERROR(IF(Match(L11,IMPORTRANGE(""https://docs.google.com/spreadsheets/d/1HbfCXhSXbtTODKKY1MOFwJccyhgDKD0J9sO1k5l_6lM/edit?resourcekey=&amp;gid=1616384832#gid=1616384832"",""Form Responses 1!E2:E143""),0),1), 0)"),0.0)</f>
        <v>0</v>
      </c>
    </row>
    <row r="12" ht="22.5" customHeight="1">
      <c r="A12" s="102">
        <v>45917.64736261574</v>
      </c>
      <c r="B12" s="103" t="s">
        <v>385</v>
      </c>
      <c r="C12" s="103" t="s">
        <v>465</v>
      </c>
      <c r="D12" s="103" t="s">
        <v>466</v>
      </c>
      <c r="E12" s="103" t="s">
        <v>427</v>
      </c>
      <c r="F12" s="103" t="s">
        <v>436</v>
      </c>
      <c r="G12" s="103" t="s">
        <v>383</v>
      </c>
      <c r="H12" s="103" t="s">
        <v>467</v>
      </c>
      <c r="I12" s="96"/>
      <c r="J12" s="26"/>
      <c r="K12" s="26" t="s">
        <v>36</v>
      </c>
      <c r="L12" s="26" t="s">
        <v>37</v>
      </c>
      <c r="M12" s="26" t="s">
        <v>38</v>
      </c>
      <c r="N12" s="27" t="s">
        <v>28</v>
      </c>
      <c r="O12" s="26" t="s">
        <v>29</v>
      </c>
      <c r="P12" s="28">
        <v>3.0</v>
      </c>
      <c r="Q12" s="26" t="s">
        <v>438</v>
      </c>
      <c r="R12" s="105">
        <f t="shared" ref="R12:R23" si="16">IF(COUNTIF(B$2:B$149,L12)=0,0,1)</f>
        <v>1</v>
      </c>
      <c r="S12" s="105">
        <f t="shared" ref="S12:S32" si="17">IF(COUNTIF(B$150:B$274,L12)=0,0,1)</f>
        <v>1</v>
      </c>
      <c r="T12" s="106">
        <f t="shared" si="6"/>
        <v>1</v>
      </c>
      <c r="U12" s="107">
        <f>IFERROR(__xludf.DUMMYFUNCTION("IFERROR(IF(Match(L12,IMPORTRANGE(""https://docs.google.com/spreadsheets/d/1CAXKDiOnZb21bZOY_nacH9xI9AiD-nH8ZZQAwYKkVC0/edit?usp=drivesdk"",""Completed Exams!A1:A135""),0),1), 0)"),0.0)</f>
        <v>0</v>
      </c>
      <c r="V12" s="108">
        <f t="shared" si="7"/>
        <v>0</v>
      </c>
      <c r="W12" s="108">
        <f t="shared" si="15"/>
        <v>1</v>
      </c>
      <c r="X12" s="109">
        <f t="shared" si="8"/>
        <v>0</v>
      </c>
      <c r="Y12" s="109">
        <f t="shared" si="9"/>
        <v>0</v>
      </c>
      <c r="Z12" s="109">
        <f t="shared" si="10"/>
        <v>0</v>
      </c>
      <c r="AA12" s="109">
        <f t="shared" si="14"/>
        <v>0</v>
      </c>
      <c r="AB12" s="109">
        <f>IFERROR(__xludf.DUMMYFUNCTION("IFERROR(IF(Match(L12,IMPORTRANGE(""https://docs.google.com/spreadsheets/d/1n1sT_Q_W3mKmn2Yrd8qcNzuRD4zr4DB9gqARnjQ30B4/edit?gid=1918970062#gid=1918970062"",""Form Responses 1!B2:B49""),0),1), 0)"),0.0)</f>
        <v>0</v>
      </c>
      <c r="AC12" s="101">
        <f t="shared" si="12"/>
        <v>0</v>
      </c>
      <c r="AD12" s="108">
        <v>0.0</v>
      </c>
      <c r="AE12" s="101">
        <f>IFERROR(__xludf.DUMMYFUNCTION("IFERROR(IF(Match(L12,IMPORTRANGE(""https://docs.google.com/spreadsheets/d/1hvckjcCpxEuDQDPrBMml_I1kBhYyjrgR8qBKC9QGVUc/edit?resourcekey=&amp;gid=230793720#gid=230793720"",""Form Responses 1!B2:B199""),0),1), 0)"),0.0)</f>
        <v>0</v>
      </c>
      <c r="AF12" s="75">
        <f>IFERROR(__xludf.DUMMYFUNCTION("IFERROR(IF(Match(L12,IMPORTRANGE(""https://docs.google.com/spreadsheets/d/1UY0hI2S83Fmafa5P-C1LM9yqe4v4qIKTnVy_CzLzRPs/edit?resourcekey=&amp;gid=1583835601#gid=1583835601"",""Form Responses 1!B2:B194""),0),1), 0)"),0.0)</f>
        <v>0</v>
      </c>
      <c r="AG12" s="75">
        <f>IFERROR(__xludf.DUMMYFUNCTION("IFERROR(IF(Match(L12,IMPORTRANGE(""https://docs.google.com/spreadsheets/d/1hO4mQ22n6cudUygJ2ss_JeJdm2Ua_7hJl_79lWWEtic/edit?resourcekey=&amp;gid=2087212010#gid=2087212010"",""Form Responses 1!B2:B104""),0),1), 0)"),0.0)</f>
        <v>0</v>
      </c>
      <c r="AH12" s="75">
        <f>IFERROR(__xludf.DUMMYFUNCTION("IFERROR(IF(Match(L12,IMPORTRANGE(""https://docs.google.com/spreadsheets/d/1HbfCXhSXbtTODKKY1MOFwJccyhgDKD0J9sO1k5l_6lM/edit?resourcekey=&amp;gid=1616384832#gid=1616384832"",""Form Responses 1!E2:E143""),0),1), 0)"),0.0)</f>
        <v>0</v>
      </c>
      <c r="AI12" s="30"/>
      <c r="AJ12" s="30"/>
      <c r="AK12" s="30"/>
      <c r="AL12" s="30"/>
      <c r="AM12" s="30"/>
      <c r="AN12" s="30"/>
      <c r="AO12" s="30"/>
      <c r="AP12" s="30"/>
      <c r="AQ12" s="30"/>
    </row>
    <row r="13" ht="22.5" customHeight="1">
      <c r="A13" s="102">
        <v>45917.64741160879</v>
      </c>
      <c r="B13" s="103" t="s">
        <v>382</v>
      </c>
      <c r="C13" s="103" t="s">
        <v>468</v>
      </c>
      <c r="D13" s="103" t="s">
        <v>469</v>
      </c>
      <c r="E13" s="103" t="s">
        <v>427</v>
      </c>
      <c r="F13" s="103" t="s">
        <v>436</v>
      </c>
      <c r="G13" s="103" t="s">
        <v>470</v>
      </c>
      <c r="H13" s="103" t="s">
        <v>471</v>
      </c>
      <c r="I13" s="96"/>
      <c r="J13" s="7"/>
      <c r="K13" s="7" t="s">
        <v>39</v>
      </c>
      <c r="L13" s="7" t="s">
        <v>40</v>
      </c>
      <c r="M13" s="7" t="s">
        <v>38</v>
      </c>
      <c r="N13" s="8" t="s">
        <v>11</v>
      </c>
      <c r="O13" s="7" t="s">
        <v>12</v>
      </c>
      <c r="P13" s="31">
        <v>3.0</v>
      </c>
      <c r="Q13" s="7" t="s">
        <v>438</v>
      </c>
      <c r="R13" s="97">
        <f t="shared" si="16"/>
        <v>1</v>
      </c>
      <c r="S13" s="97">
        <f t="shared" si="17"/>
        <v>1</v>
      </c>
      <c r="T13" s="98">
        <f t="shared" si="6"/>
        <v>1</v>
      </c>
      <c r="U13" s="99">
        <f>IFERROR(__xludf.DUMMYFUNCTION("IFERROR(IF(Match(L13,IMPORTRANGE(""https://docs.google.com/spreadsheets/d/1CAXKDiOnZb21bZOY_nacH9xI9AiD-nH8ZZQAwYKkVC0/edit?usp=drivesdk"",""Completed Exams!A1:A135""),0),1), 0)"),0.0)</f>
        <v>0</v>
      </c>
      <c r="V13" s="100">
        <f t="shared" si="7"/>
        <v>0</v>
      </c>
      <c r="W13" s="100">
        <f t="shared" si="15"/>
        <v>1</v>
      </c>
      <c r="X13" s="101">
        <f t="shared" si="8"/>
        <v>1</v>
      </c>
      <c r="Y13" s="101">
        <f t="shared" si="9"/>
        <v>1</v>
      </c>
      <c r="Z13" s="101">
        <f t="shared" si="10"/>
        <v>1</v>
      </c>
      <c r="AA13" s="101">
        <f t="shared" si="14"/>
        <v>1</v>
      </c>
      <c r="AB13" s="101">
        <f>IFERROR(__xludf.DUMMYFUNCTION("IFERROR(IF(Match(L13,IMPORTRANGE(""https://docs.google.com/spreadsheets/d/1n1sT_Q_W3mKmn2Yrd8qcNzuRD4zr4DB9gqARnjQ30B4/edit?gid=1918970062#gid=1918970062"",""Form Responses 1!B2:B49""),0),1), 0)"),0.0)</f>
        <v>0</v>
      </c>
      <c r="AC13" s="101">
        <f t="shared" si="12"/>
        <v>1</v>
      </c>
      <c r="AD13" s="100">
        <v>0.0</v>
      </c>
      <c r="AE13" s="101">
        <f>IFERROR(__xludf.DUMMYFUNCTION("IFERROR(IF(Match(L13,IMPORTRANGE(""https://docs.google.com/spreadsheets/d/1hvckjcCpxEuDQDPrBMml_I1kBhYyjrgR8qBKC9QGVUc/edit?resourcekey=&amp;gid=230793720#gid=230793720"",""Form Responses 1!B2:B199""),0),1), 0)"),0.0)</f>
        <v>0</v>
      </c>
      <c r="AF13" s="75">
        <f>IFERROR(__xludf.DUMMYFUNCTION("IFERROR(IF(Match(L13,IMPORTRANGE(""https://docs.google.com/spreadsheets/d/1UY0hI2S83Fmafa5P-C1LM9yqe4v4qIKTnVy_CzLzRPs/edit?resourcekey=&amp;gid=1583835601#gid=1583835601"",""Form Responses 1!B2:B194""),0),1), 0)"),0.0)</f>
        <v>0</v>
      </c>
      <c r="AG13" s="10">
        <v>0.5</v>
      </c>
      <c r="AH13" s="10">
        <v>0.5</v>
      </c>
    </row>
    <row r="14" ht="22.5" customHeight="1">
      <c r="A14" s="102">
        <v>45917.64742042824</v>
      </c>
      <c r="B14" s="103" t="s">
        <v>391</v>
      </c>
      <c r="C14" s="103" t="s">
        <v>472</v>
      </c>
      <c r="D14" s="103" t="s">
        <v>473</v>
      </c>
      <c r="E14" s="103" t="s">
        <v>427</v>
      </c>
      <c r="F14" s="103" t="s">
        <v>436</v>
      </c>
      <c r="G14" s="103" t="s">
        <v>474</v>
      </c>
      <c r="H14" s="103" t="s">
        <v>475</v>
      </c>
      <c r="I14" s="96"/>
      <c r="J14" s="7"/>
      <c r="K14" s="7" t="s">
        <v>41</v>
      </c>
      <c r="L14" s="7" t="s">
        <v>42</v>
      </c>
      <c r="M14" s="7" t="s">
        <v>38</v>
      </c>
      <c r="N14" s="32" t="s">
        <v>24</v>
      </c>
      <c r="O14" s="7" t="s">
        <v>29</v>
      </c>
      <c r="P14" s="31">
        <v>3.0</v>
      </c>
      <c r="Q14" s="7" t="s">
        <v>438</v>
      </c>
      <c r="R14" s="97">
        <f t="shared" si="16"/>
        <v>0</v>
      </c>
      <c r="S14" s="97">
        <f t="shared" si="17"/>
        <v>0</v>
      </c>
      <c r="T14" s="98">
        <f t="shared" si="6"/>
        <v>1</v>
      </c>
      <c r="U14" s="99">
        <f>IFERROR(__xludf.DUMMYFUNCTION("IFERROR(IF(Match(L14,IMPORTRANGE(""https://docs.google.com/spreadsheets/d/1CAXKDiOnZb21bZOY_nacH9xI9AiD-nH8ZZQAwYKkVC0/edit?usp=drivesdk"",""Completed Exams!A1:A135""),0),1), 0)"),0.0)</f>
        <v>0</v>
      </c>
      <c r="V14" s="100">
        <f t="shared" si="7"/>
        <v>0</v>
      </c>
      <c r="W14" s="100">
        <f t="shared" si="15"/>
        <v>1</v>
      </c>
      <c r="X14" s="101">
        <f t="shared" si="8"/>
        <v>0</v>
      </c>
      <c r="Y14" s="101">
        <f t="shared" si="9"/>
        <v>0</v>
      </c>
      <c r="Z14" s="101">
        <f t="shared" si="10"/>
        <v>1</v>
      </c>
      <c r="AA14" s="100">
        <v>0.5</v>
      </c>
      <c r="AB14" s="101">
        <f>IFERROR(__xludf.DUMMYFUNCTION("IFERROR(IF(Match(L14,IMPORTRANGE(""https://docs.google.com/spreadsheets/d/1n1sT_Q_W3mKmn2Yrd8qcNzuRD4zr4DB9gqARnjQ30B4/edit?gid=1918970062#gid=1918970062"",""Form Responses 1!B2:B49""),0),1), 0)"),0.0)</f>
        <v>0</v>
      </c>
      <c r="AC14" s="101">
        <f t="shared" si="12"/>
        <v>1</v>
      </c>
      <c r="AD14" s="100">
        <v>0.0</v>
      </c>
      <c r="AE14" s="101">
        <f>IFERROR(__xludf.DUMMYFUNCTION("IFERROR(IF(Match(L14,IMPORTRANGE(""https://docs.google.com/spreadsheets/d/1hvckjcCpxEuDQDPrBMml_I1kBhYyjrgR8qBKC9QGVUc/edit?resourcekey=&amp;gid=230793720#gid=230793720"",""Form Responses 1!B2:B199""),0),1), 0)"),0.0)</f>
        <v>0</v>
      </c>
      <c r="AF14" s="75">
        <f>IFERROR(__xludf.DUMMYFUNCTION("IFERROR(IF(Match(L14,IMPORTRANGE(""https://docs.google.com/spreadsheets/d/1UY0hI2S83Fmafa5P-C1LM9yqe4v4qIKTnVy_CzLzRPs/edit?resourcekey=&amp;gid=1583835601#gid=1583835601"",""Form Responses 1!B2:B194""),0),1), 0)"),0.0)</f>
        <v>0</v>
      </c>
      <c r="AG14" s="75">
        <f>IFERROR(__xludf.DUMMYFUNCTION("IFERROR(IF(Match(L14,IMPORTRANGE(""https://docs.google.com/spreadsheets/d/1hO4mQ22n6cudUygJ2ss_JeJdm2Ua_7hJl_79lWWEtic/edit?resourcekey=&amp;gid=2087212010#gid=2087212010"",""Form Responses 1!B2:B104""),0),1), 0)"),0.0)</f>
        <v>0</v>
      </c>
      <c r="AH14" s="75">
        <f>IFERROR(__xludf.DUMMYFUNCTION("IFERROR(IF(Match(L14,IMPORTRANGE(""https://docs.google.com/spreadsheets/d/1HbfCXhSXbtTODKKY1MOFwJccyhgDKD0J9sO1k5l_6lM/edit?resourcekey=&amp;gid=1616384832#gid=1616384832"",""Form Responses 1!E2:E143""),0),1), 0)"),0.0)</f>
        <v>0</v>
      </c>
    </row>
    <row r="15" ht="22.5" customHeight="1">
      <c r="A15" s="102">
        <v>45917.64744056713</v>
      </c>
      <c r="B15" s="103" t="s">
        <v>280</v>
      </c>
      <c r="C15" s="103" t="s">
        <v>476</v>
      </c>
      <c r="D15" s="103" t="s">
        <v>477</v>
      </c>
      <c r="E15" s="103" t="s">
        <v>427</v>
      </c>
      <c r="F15" s="103" t="s">
        <v>436</v>
      </c>
      <c r="G15" s="103" t="s">
        <v>478</v>
      </c>
      <c r="H15" s="103" t="s">
        <v>479</v>
      </c>
      <c r="I15" s="96"/>
      <c r="J15" s="7"/>
      <c r="K15" s="7" t="s">
        <v>43</v>
      </c>
      <c r="L15" s="7" t="s">
        <v>44</v>
      </c>
      <c r="M15" s="7" t="s">
        <v>38</v>
      </c>
      <c r="N15" s="32" t="s">
        <v>24</v>
      </c>
      <c r="O15" s="7" t="s">
        <v>25</v>
      </c>
      <c r="P15" s="31">
        <v>3.0</v>
      </c>
      <c r="Q15" s="7" t="s">
        <v>438</v>
      </c>
      <c r="R15" s="97">
        <f t="shared" si="16"/>
        <v>0</v>
      </c>
      <c r="S15" s="97">
        <f t="shared" si="17"/>
        <v>0</v>
      </c>
      <c r="T15" s="98">
        <f t="shared" si="6"/>
        <v>1</v>
      </c>
      <c r="U15" s="99">
        <f>IFERROR(__xludf.DUMMYFUNCTION("IFERROR(IF(Match(L15,IMPORTRANGE(""https://docs.google.com/spreadsheets/d/1CAXKDiOnZb21bZOY_nacH9xI9AiD-nH8ZZQAwYKkVC0/edit?usp=drivesdk"",""Completed Exams!A1:A135""),0),1), 0)"),0.0)</f>
        <v>0</v>
      </c>
      <c r="V15" s="100">
        <f t="shared" si="7"/>
        <v>0</v>
      </c>
      <c r="W15" s="100">
        <f t="shared" si="15"/>
        <v>0</v>
      </c>
      <c r="X15" s="101">
        <f t="shared" si="8"/>
        <v>1</v>
      </c>
      <c r="Y15" s="101">
        <f t="shared" si="9"/>
        <v>0</v>
      </c>
      <c r="Z15" s="101">
        <f t="shared" si="10"/>
        <v>0</v>
      </c>
      <c r="AA15" s="101">
        <f t="shared" ref="AA15:AA27" si="18">IF(COUNTIF(B$971:B$1124,L15)=0,0,1)</f>
        <v>1</v>
      </c>
      <c r="AB15" s="101">
        <f>IFERROR(__xludf.DUMMYFUNCTION("IFERROR(IF(Match(L15,IMPORTRANGE(""https://docs.google.com/spreadsheets/d/1n1sT_Q_W3mKmn2Yrd8qcNzuRD4zr4DB9gqARnjQ30B4/edit?gid=1918970062#gid=1918970062"",""Form Responses 1!B2:B49""),0),1), 0)"),0.0)</f>
        <v>0</v>
      </c>
      <c r="AC15" s="101">
        <f t="shared" si="12"/>
        <v>1</v>
      </c>
      <c r="AD15" s="100">
        <v>0.0</v>
      </c>
      <c r="AE15" s="101">
        <f>IFERROR(__xludf.DUMMYFUNCTION("IFERROR(IF(Match(L15,IMPORTRANGE(""https://docs.google.com/spreadsheets/d/1hvckjcCpxEuDQDPrBMml_I1kBhYyjrgR8qBKC9QGVUc/edit?resourcekey=&amp;gid=230793720#gid=230793720"",""Form Responses 1!B2:B199""),0),1), 0)"),0.0)</f>
        <v>0</v>
      </c>
      <c r="AF15" s="75">
        <f>IFERROR(__xludf.DUMMYFUNCTION("IFERROR(IF(Match(L15,IMPORTRANGE(""https://docs.google.com/spreadsheets/d/1UY0hI2S83Fmafa5P-C1LM9yqe4v4qIKTnVy_CzLzRPs/edit?resourcekey=&amp;gid=1583835601#gid=1583835601"",""Form Responses 1!B2:B194""),0),1), 0)"),0.0)</f>
        <v>0</v>
      </c>
      <c r="AG15" s="75">
        <f>IFERROR(__xludf.DUMMYFUNCTION("IFERROR(IF(Match(L15,IMPORTRANGE(""https://docs.google.com/spreadsheets/d/1hO4mQ22n6cudUygJ2ss_JeJdm2Ua_7hJl_79lWWEtic/edit?resourcekey=&amp;gid=2087212010#gid=2087212010"",""Form Responses 1!B2:B104""),0),1), 0)"),0.0)</f>
        <v>0</v>
      </c>
      <c r="AH15" s="75">
        <f>IFERROR(__xludf.DUMMYFUNCTION("IFERROR(IF(Match(L15,IMPORTRANGE(""https://docs.google.com/spreadsheets/d/1HbfCXhSXbtTODKKY1MOFwJccyhgDKD0J9sO1k5l_6lM/edit?resourcekey=&amp;gid=1616384832#gid=1616384832"",""Form Responses 1!E2:E143""),0),1), 0)"),0.0)</f>
        <v>0</v>
      </c>
    </row>
    <row r="16" ht="22.5" customHeight="1">
      <c r="A16" s="102">
        <v>45917.64752240741</v>
      </c>
      <c r="B16" s="103" t="s">
        <v>300</v>
      </c>
      <c r="C16" s="103" t="s">
        <v>480</v>
      </c>
      <c r="D16" s="103" t="s">
        <v>481</v>
      </c>
      <c r="E16" s="103" t="s">
        <v>427</v>
      </c>
      <c r="F16" s="103" t="s">
        <v>441</v>
      </c>
      <c r="G16" s="103" t="s">
        <v>482</v>
      </c>
      <c r="H16" s="103" t="s">
        <v>483</v>
      </c>
      <c r="I16" s="96"/>
      <c r="J16" s="7"/>
      <c r="K16" s="16" t="s">
        <v>45</v>
      </c>
      <c r="L16" s="16" t="s">
        <v>46</v>
      </c>
      <c r="M16" s="16" t="s">
        <v>38</v>
      </c>
      <c r="N16" s="17" t="s">
        <v>11</v>
      </c>
      <c r="O16" s="16" t="s">
        <v>12</v>
      </c>
      <c r="P16" s="33">
        <v>3.0</v>
      </c>
      <c r="Q16" s="16" t="s">
        <v>438</v>
      </c>
      <c r="R16" s="97">
        <f t="shared" si="16"/>
        <v>1</v>
      </c>
      <c r="S16" s="97">
        <f t="shared" si="17"/>
        <v>1</v>
      </c>
      <c r="T16" s="98">
        <f t="shared" si="6"/>
        <v>0</v>
      </c>
      <c r="U16" s="99">
        <f>IFERROR(__xludf.DUMMYFUNCTION("IFERROR(IF(Match(L16,IMPORTRANGE(""https://docs.google.com/spreadsheets/d/1CAXKDiOnZb21bZOY_nacH9xI9AiD-nH8ZZQAwYKkVC0/edit?usp=drivesdk"",""Completed Exams!A1:A135""),0),1), 0)"),0.0)</f>
        <v>0</v>
      </c>
      <c r="V16" s="100">
        <f t="shared" si="7"/>
        <v>0</v>
      </c>
      <c r="W16" s="100">
        <f t="shared" si="15"/>
        <v>1</v>
      </c>
      <c r="X16" s="101">
        <f t="shared" si="8"/>
        <v>1</v>
      </c>
      <c r="Y16" s="101">
        <f t="shared" si="9"/>
        <v>1</v>
      </c>
      <c r="Z16" s="101">
        <f t="shared" si="10"/>
        <v>1</v>
      </c>
      <c r="AA16" s="101">
        <f t="shared" si="18"/>
        <v>1</v>
      </c>
      <c r="AB16" s="101">
        <f>IFERROR(__xludf.DUMMYFUNCTION("IFERROR(IF(Match(L16,IMPORTRANGE(""https://docs.google.com/spreadsheets/d/1n1sT_Q_W3mKmn2Yrd8qcNzuRD4zr4DB9gqARnjQ30B4/edit?gid=1918970062#gid=1918970062"",""Form Responses 1!B2:B49""),0),1), 0)"),0.0)</f>
        <v>0</v>
      </c>
      <c r="AC16" s="101">
        <f t="shared" si="12"/>
        <v>1</v>
      </c>
      <c r="AD16" s="100">
        <v>0.0</v>
      </c>
      <c r="AE16" s="101">
        <f>IFERROR(__xludf.DUMMYFUNCTION("IFERROR(IF(Match(L16,IMPORTRANGE(""https://docs.google.com/spreadsheets/d/1hvckjcCpxEuDQDPrBMml_I1kBhYyjrgR8qBKC9QGVUc/edit?resourcekey=&amp;gid=230793720#gid=230793720"",""Form Responses 1!B2:B199""),0),1), 0)"),0.0)</f>
        <v>0</v>
      </c>
      <c r="AF16" s="10">
        <v>0.5</v>
      </c>
      <c r="AG16" s="10">
        <v>0.5</v>
      </c>
      <c r="AH16" s="75">
        <f>IFERROR(__xludf.DUMMYFUNCTION("IFERROR(IF(Match(L16,IMPORTRANGE(""https://docs.google.com/spreadsheets/d/1HbfCXhSXbtTODKKY1MOFwJccyhgDKD0J9sO1k5l_6lM/edit?resourcekey=&amp;gid=1616384832#gid=1616384832"",""Form Responses 1!E2:E143""),0),1), 0)"),0.0)</f>
        <v>0</v>
      </c>
    </row>
    <row r="17" ht="22.5" customHeight="1">
      <c r="A17" s="102">
        <v>45917.64755715278</v>
      </c>
      <c r="B17" s="103" t="s">
        <v>90</v>
      </c>
      <c r="C17" s="103" t="s">
        <v>418</v>
      </c>
      <c r="D17" s="103" t="s">
        <v>419</v>
      </c>
      <c r="E17" s="103" t="s">
        <v>427</v>
      </c>
      <c r="F17" s="103" t="s">
        <v>436</v>
      </c>
      <c r="G17" s="103" t="s">
        <v>422</v>
      </c>
      <c r="H17" s="103" t="s">
        <v>484</v>
      </c>
      <c r="I17" s="96"/>
      <c r="J17" s="7"/>
      <c r="K17" s="7" t="s">
        <v>47</v>
      </c>
      <c r="L17" s="7" t="s">
        <v>48</v>
      </c>
      <c r="M17" s="7" t="s">
        <v>49</v>
      </c>
      <c r="N17" s="8" t="s">
        <v>24</v>
      </c>
      <c r="O17" s="7" t="s">
        <v>25</v>
      </c>
      <c r="P17" s="9">
        <v>4.0</v>
      </c>
      <c r="Q17" s="7" t="s">
        <v>485</v>
      </c>
      <c r="R17" s="97">
        <f t="shared" si="16"/>
        <v>1</v>
      </c>
      <c r="S17" s="97">
        <f t="shared" si="17"/>
        <v>0</v>
      </c>
      <c r="T17" s="98">
        <f t="shared" si="6"/>
        <v>0</v>
      </c>
      <c r="U17" s="99">
        <f>IFERROR(__xludf.DUMMYFUNCTION("IFERROR(IF(Match(L17,IMPORTRANGE(""https://docs.google.com/spreadsheets/d/1CAXKDiOnZb21bZOY_nacH9xI9AiD-nH8ZZQAwYKkVC0/edit?usp=drivesdk"",""Completed Exams!A1:A135""),0),1), 0)"),0.0)</f>
        <v>0</v>
      </c>
      <c r="V17" s="100">
        <f t="shared" si="7"/>
        <v>0</v>
      </c>
      <c r="W17" s="100">
        <f t="shared" si="15"/>
        <v>0</v>
      </c>
      <c r="X17" s="101">
        <f t="shared" si="8"/>
        <v>1</v>
      </c>
      <c r="Y17" s="101">
        <f t="shared" si="9"/>
        <v>0</v>
      </c>
      <c r="Z17" s="101">
        <f t="shared" si="10"/>
        <v>0</v>
      </c>
      <c r="AA17" s="101">
        <f t="shared" si="18"/>
        <v>1</v>
      </c>
      <c r="AB17" s="101">
        <f>IFERROR(__xludf.DUMMYFUNCTION("IFERROR(IF(Match(L17,IMPORTRANGE(""https://docs.google.com/spreadsheets/d/1n1sT_Q_W3mKmn2Yrd8qcNzuRD4zr4DB9gqARnjQ30B4/edit?gid=1918970062#gid=1918970062"",""Form Responses 1!B2:B49""),0),1), 0)"),0.0)</f>
        <v>0</v>
      </c>
      <c r="AC17" s="101">
        <f t="shared" si="12"/>
        <v>1</v>
      </c>
      <c r="AD17" s="100">
        <v>1.0</v>
      </c>
      <c r="AE17" s="101">
        <f>IFERROR(__xludf.DUMMYFUNCTION("IFERROR(IF(Match(L17,IMPORTRANGE(""https://docs.google.com/spreadsheets/d/1hvckjcCpxEuDQDPrBMml_I1kBhYyjrgR8qBKC9QGVUc/edit?resourcekey=&amp;gid=230793720#gid=230793720"",""Form Responses 1!B2:B199""),0),1), 0)"),0.0)</f>
        <v>0</v>
      </c>
      <c r="AF17" s="75">
        <f>IFERROR(__xludf.DUMMYFUNCTION("IFERROR(IF(Match(L17,IMPORTRANGE(""https://docs.google.com/spreadsheets/d/1UY0hI2S83Fmafa5P-C1LM9yqe4v4qIKTnVy_CzLzRPs/edit?resourcekey=&amp;gid=1583835601#gid=1583835601"",""Form Responses 1!B2:B194""),0),1), 0)"),0.0)</f>
        <v>0</v>
      </c>
      <c r="AG17" s="75">
        <f>IFERROR(__xludf.DUMMYFUNCTION("IFERROR(IF(Match(L17,IMPORTRANGE(""https://docs.google.com/spreadsheets/d/1hO4mQ22n6cudUygJ2ss_JeJdm2Ua_7hJl_79lWWEtic/edit?resourcekey=&amp;gid=2087212010#gid=2087212010"",""Form Responses 1!B2:B104""),0),1), 0)"),0.0)</f>
        <v>0</v>
      </c>
      <c r="AH17" s="75">
        <f>IFERROR(__xludf.DUMMYFUNCTION("IFERROR(IF(Match(L17,IMPORTRANGE(""https://docs.google.com/spreadsheets/d/1HbfCXhSXbtTODKKY1MOFwJccyhgDKD0J9sO1k5l_6lM/edit?resourcekey=&amp;gid=1616384832#gid=1616384832"",""Form Responses 1!E2:E143""),0),1), 0)"),0.0)</f>
        <v>0</v>
      </c>
    </row>
    <row r="18" ht="22.5" customHeight="1">
      <c r="A18" s="102">
        <v>45917.64764043981</v>
      </c>
      <c r="B18" s="103" t="s">
        <v>372</v>
      </c>
      <c r="C18" s="103" t="s">
        <v>486</v>
      </c>
      <c r="D18" s="103" t="s">
        <v>487</v>
      </c>
      <c r="E18" s="103" t="s">
        <v>427</v>
      </c>
      <c r="F18" s="103" t="s">
        <v>441</v>
      </c>
      <c r="G18" s="103" t="s">
        <v>370</v>
      </c>
      <c r="H18" s="103" t="s">
        <v>488</v>
      </c>
      <c r="I18" s="96"/>
      <c r="J18" s="7"/>
      <c r="K18" s="7" t="s">
        <v>50</v>
      </c>
      <c r="L18" s="7" t="s">
        <v>51</v>
      </c>
      <c r="M18" s="7" t="s">
        <v>49</v>
      </c>
      <c r="N18" s="8" t="s">
        <v>24</v>
      </c>
      <c r="O18" s="7" t="s">
        <v>25</v>
      </c>
      <c r="P18" s="9">
        <v>4.0</v>
      </c>
      <c r="Q18" s="7" t="s">
        <v>485</v>
      </c>
      <c r="R18" s="97">
        <f t="shared" si="16"/>
        <v>1</v>
      </c>
      <c r="S18" s="97">
        <f t="shared" si="17"/>
        <v>0</v>
      </c>
      <c r="T18" s="98">
        <f t="shared" si="6"/>
        <v>0</v>
      </c>
      <c r="U18" s="99">
        <f>IFERROR(__xludf.DUMMYFUNCTION("IFERROR(IF(Match(L18,IMPORTRANGE(""https://docs.google.com/spreadsheets/d/1CAXKDiOnZb21bZOY_nacH9xI9AiD-nH8ZZQAwYKkVC0/edit?usp=drivesdk"",""Completed Exams!A1:A135""),0),1), 0)"),0.0)</f>
        <v>0</v>
      </c>
      <c r="V18" s="100">
        <f t="shared" si="7"/>
        <v>0</v>
      </c>
      <c r="W18" s="100">
        <f t="shared" si="15"/>
        <v>1</v>
      </c>
      <c r="X18" s="101">
        <f t="shared" si="8"/>
        <v>1</v>
      </c>
      <c r="Y18" s="101">
        <f t="shared" si="9"/>
        <v>0</v>
      </c>
      <c r="Z18" s="101">
        <f t="shared" si="10"/>
        <v>1</v>
      </c>
      <c r="AA18" s="101">
        <f t="shared" si="18"/>
        <v>1</v>
      </c>
      <c r="AB18" s="100">
        <v>1.0</v>
      </c>
      <c r="AC18" s="101">
        <f t="shared" si="12"/>
        <v>1</v>
      </c>
      <c r="AD18" s="100">
        <v>1.0</v>
      </c>
      <c r="AE18" s="101">
        <f>IFERROR(__xludf.DUMMYFUNCTION("IFERROR(IF(Match(L18,IMPORTRANGE(""https://docs.google.com/spreadsheets/d/1hvckjcCpxEuDQDPrBMml_I1kBhYyjrgR8qBKC9QGVUc/edit?resourcekey=&amp;gid=230793720#gid=230793720"",""Form Responses 1!B2:B199""),0),1), 0)"),0.0)</f>
        <v>0</v>
      </c>
      <c r="AF18" s="75">
        <f>IFERROR(__xludf.DUMMYFUNCTION("IFERROR(IF(Match(L18,IMPORTRANGE(""https://docs.google.com/spreadsheets/d/1UY0hI2S83Fmafa5P-C1LM9yqe4v4qIKTnVy_CzLzRPs/edit?resourcekey=&amp;gid=1583835601#gid=1583835601"",""Form Responses 1!B2:B194""),0),1), 0)"),0.0)</f>
        <v>0</v>
      </c>
      <c r="AG18" s="75">
        <f>IFERROR(__xludf.DUMMYFUNCTION("IFERROR(IF(Match(L18,IMPORTRANGE(""https://docs.google.com/spreadsheets/d/1hO4mQ22n6cudUygJ2ss_JeJdm2Ua_7hJl_79lWWEtic/edit?resourcekey=&amp;gid=2087212010#gid=2087212010"",""Form Responses 1!B2:B104""),0),1), 0)"),0.0)</f>
        <v>0</v>
      </c>
      <c r="AH18" s="75">
        <f>IFERROR(__xludf.DUMMYFUNCTION("IFERROR(IF(Match(L18,IMPORTRANGE(""https://docs.google.com/spreadsheets/d/1HbfCXhSXbtTODKKY1MOFwJccyhgDKD0J9sO1k5l_6lM/edit?resourcekey=&amp;gid=1616384832#gid=1616384832"",""Form Responses 1!E2:E143""),0),1), 0)"),0.0)</f>
        <v>0</v>
      </c>
    </row>
    <row r="19" ht="22.5" customHeight="1">
      <c r="A19" s="102">
        <v>45917.6503968287</v>
      </c>
      <c r="B19" s="103" t="s">
        <v>115</v>
      </c>
      <c r="C19" s="103" t="s">
        <v>489</v>
      </c>
      <c r="D19" s="103" t="s">
        <v>490</v>
      </c>
      <c r="E19" s="103" t="s">
        <v>427</v>
      </c>
      <c r="F19" s="103" t="s">
        <v>436</v>
      </c>
      <c r="G19" s="103" t="s">
        <v>113</v>
      </c>
      <c r="H19" s="103" t="s">
        <v>491</v>
      </c>
      <c r="I19" s="96"/>
      <c r="J19" s="7"/>
      <c r="K19" s="7" t="s">
        <v>52</v>
      </c>
      <c r="L19" s="7" t="s">
        <v>53</v>
      </c>
      <c r="M19" s="7" t="s">
        <v>49</v>
      </c>
      <c r="N19" s="8" t="s">
        <v>11</v>
      </c>
      <c r="O19" s="7" t="s">
        <v>12</v>
      </c>
      <c r="P19" s="9">
        <v>4.0</v>
      </c>
      <c r="Q19" s="7" t="s">
        <v>456</v>
      </c>
      <c r="R19" s="97">
        <f t="shared" si="16"/>
        <v>1</v>
      </c>
      <c r="S19" s="97">
        <f t="shared" si="17"/>
        <v>1</v>
      </c>
      <c r="T19" s="98">
        <f t="shared" si="6"/>
        <v>1</v>
      </c>
      <c r="U19" s="99">
        <f>IFERROR(__xludf.DUMMYFUNCTION("IFERROR(IF(Match(L19,IMPORTRANGE(""https://docs.google.com/spreadsheets/d/1CAXKDiOnZb21bZOY_nacH9xI9AiD-nH8ZZQAwYKkVC0/edit?usp=drivesdk"",""Completed Exams!A1:A135""),0),1), 0)"),0.0)</f>
        <v>0</v>
      </c>
      <c r="V19" s="100">
        <f t="shared" si="7"/>
        <v>1</v>
      </c>
      <c r="W19" s="100">
        <v>1.0</v>
      </c>
      <c r="X19" s="101">
        <f t="shared" si="8"/>
        <v>1</v>
      </c>
      <c r="Y19" s="100">
        <v>0.5</v>
      </c>
      <c r="Z19" s="101">
        <f t="shared" si="10"/>
        <v>1</v>
      </c>
      <c r="AA19" s="101">
        <f t="shared" si="18"/>
        <v>1</v>
      </c>
      <c r="AB19" s="101">
        <f>IFERROR(__xludf.DUMMYFUNCTION("IFERROR(IF(Match(L19,IMPORTRANGE(""https://docs.google.com/spreadsheets/d/1n1sT_Q_W3mKmn2Yrd8qcNzuRD4zr4DB9gqARnjQ30B4/edit?gid=1918970062#gid=1918970062"",""Form Responses 1!B2:B49""),0),1), 0)"),0.0)</f>
        <v>0</v>
      </c>
      <c r="AC19" s="101">
        <f t="shared" si="12"/>
        <v>1</v>
      </c>
      <c r="AD19" s="100">
        <v>1.0</v>
      </c>
      <c r="AE19" s="101">
        <f>IFERROR(__xludf.DUMMYFUNCTION("IFERROR(IF(Match(L19,IMPORTRANGE(""https://docs.google.com/spreadsheets/d/1hvckjcCpxEuDQDPrBMml_I1kBhYyjrgR8qBKC9QGVUc/edit?resourcekey=&amp;gid=230793720#gid=230793720"",""Form Responses 1!B2:B199""),0),1), 0)"),0.0)</f>
        <v>0</v>
      </c>
      <c r="AF19" s="75">
        <f>IFERROR(__xludf.DUMMYFUNCTION("IFERROR(IF(Match(L19,IMPORTRANGE(""https://docs.google.com/spreadsheets/d/1UY0hI2S83Fmafa5P-C1LM9yqe4v4qIKTnVy_CzLzRPs/edit?resourcekey=&amp;gid=1583835601#gid=1583835601"",""Form Responses 1!B2:B194""),0),1), 0)"),0.0)</f>
        <v>0</v>
      </c>
      <c r="AG19" s="75">
        <f>IFERROR(__xludf.DUMMYFUNCTION("IFERROR(IF(Match(L19,IMPORTRANGE(""https://docs.google.com/spreadsheets/d/1hO4mQ22n6cudUygJ2ss_JeJdm2Ua_7hJl_79lWWEtic/edit?resourcekey=&amp;gid=2087212010#gid=2087212010"",""Form Responses 1!B2:B104""),0),1), 0)"),0.0)</f>
        <v>0</v>
      </c>
      <c r="AH19" s="75">
        <f>IFERROR(__xludf.DUMMYFUNCTION("IFERROR(IF(Match(L19,IMPORTRANGE(""https://docs.google.com/spreadsheets/d/1HbfCXhSXbtTODKKY1MOFwJccyhgDKD0J9sO1k5l_6lM/edit?resourcekey=&amp;gid=1616384832#gid=1616384832"",""Form Responses 1!E2:E143""),0),1), 0)"),0.0)</f>
        <v>0</v>
      </c>
    </row>
    <row r="20" ht="22.5" customHeight="1">
      <c r="A20" s="102">
        <v>45917.661341851854</v>
      </c>
      <c r="B20" s="103" t="s">
        <v>345</v>
      </c>
      <c r="C20" s="103" t="s">
        <v>492</v>
      </c>
      <c r="D20" s="103" t="s">
        <v>493</v>
      </c>
      <c r="E20" s="103" t="s">
        <v>494</v>
      </c>
      <c r="F20" s="103" t="s">
        <v>441</v>
      </c>
      <c r="G20" s="103" t="s">
        <v>495</v>
      </c>
      <c r="H20" s="103" t="s">
        <v>496</v>
      </c>
      <c r="I20" s="96"/>
      <c r="J20" s="7"/>
      <c r="K20" s="7" t="s">
        <v>54</v>
      </c>
      <c r="L20" s="7" t="s">
        <v>55</v>
      </c>
      <c r="M20" s="7" t="s">
        <v>49</v>
      </c>
      <c r="N20" s="8" t="s">
        <v>28</v>
      </c>
      <c r="O20" s="7" t="s">
        <v>29</v>
      </c>
      <c r="P20" s="9">
        <v>4.0</v>
      </c>
      <c r="Q20" s="7" t="s">
        <v>456</v>
      </c>
      <c r="R20" s="97">
        <f t="shared" si="16"/>
        <v>1</v>
      </c>
      <c r="S20" s="97">
        <f t="shared" si="17"/>
        <v>1</v>
      </c>
      <c r="T20" s="98">
        <f t="shared" si="6"/>
        <v>1</v>
      </c>
      <c r="U20" s="99">
        <f>IFERROR(__xludf.DUMMYFUNCTION("IFERROR(IF(Match(L20,IMPORTRANGE(""https://docs.google.com/spreadsheets/d/1CAXKDiOnZb21bZOY_nacH9xI9AiD-nH8ZZQAwYKkVC0/edit?usp=drivesdk"",""Completed Exams!A1:A135""),0),1), 0)"),0.0)</f>
        <v>0</v>
      </c>
      <c r="V20" s="100">
        <f t="shared" si="7"/>
        <v>1</v>
      </c>
      <c r="W20" s="100">
        <v>1.0</v>
      </c>
      <c r="X20" s="101">
        <f t="shared" si="8"/>
        <v>1</v>
      </c>
      <c r="Y20" s="100">
        <v>1.0</v>
      </c>
      <c r="Z20" s="101">
        <f t="shared" si="10"/>
        <v>1</v>
      </c>
      <c r="AA20" s="101">
        <f t="shared" si="18"/>
        <v>1</v>
      </c>
      <c r="AB20" s="101">
        <f>IFERROR(__xludf.DUMMYFUNCTION("IFERROR(IF(Match(L20,IMPORTRANGE(""https://docs.google.com/spreadsheets/d/1n1sT_Q_W3mKmn2Yrd8qcNzuRD4zr4DB9gqARnjQ30B4/edit?gid=1918970062#gid=1918970062"",""Form Responses 1!B2:B49""),0),1), 0)"),0.0)</f>
        <v>0</v>
      </c>
      <c r="AC20" s="101">
        <f t="shared" si="12"/>
        <v>1</v>
      </c>
      <c r="AD20" s="100">
        <v>1.0</v>
      </c>
      <c r="AE20" s="101">
        <f>IFERROR(__xludf.DUMMYFUNCTION("IFERROR(IF(Match(L20,IMPORTRANGE(""https://docs.google.com/spreadsheets/d/1hvckjcCpxEuDQDPrBMml_I1kBhYyjrgR8qBKC9QGVUc/edit?resourcekey=&amp;gid=230793720#gid=230793720"",""Form Responses 1!B2:B199""),0),1), 0)"),0.0)</f>
        <v>0</v>
      </c>
      <c r="AF20" s="75">
        <f>IFERROR(__xludf.DUMMYFUNCTION("IFERROR(IF(Match(L20,IMPORTRANGE(""https://docs.google.com/spreadsheets/d/1UY0hI2S83Fmafa5P-C1LM9yqe4v4qIKTnVy_CzLzRPs/edit?resourcekey=&amp;gid=1583835601#gid=1583835601"",""Form Responses 1!B2:B194""),0),1), 0)"),0.0)</f>
        <v>0</v>
      </c>
      <c r="AG20" s="75">
        <f>IFERROR(__xludf.DUMMYFUNCTION("IFERROR(IF(Match(L20,IMPORTRANGE(""https://docs.google.com/spreadsheets/d/1hO4mQ22n6cudUygJ2ss_JeJdm2Ua_7hJl_79lWWEtic/edit?resourcekey=&amp;gid=2087212010#gid=2087212010"",""Form Responses 1!B2:B104""),0),1), 0)"),0.0)</f>
        <v>0</v>
      </c>
      <c r="AH20" s="10">
        <v>0.5</v>
      </c>
    </row>
    <row r="21" ht="22.5" customHeight="1">
      <c r="A21" s="102">
        <v>45917.661550115736</v>
      </c>
      <c r="B21" s="103" t="s">
        <v>106</v>
      </c>
      <c r="C21" s="103" t="s">
        <v>497</v>
      </c>
      <c r="D21" s="103" t="s">
        <v>498</v>
      </c>
      <c r="E21" s="103" t="s">
        <v>494</v>
      </c>
      <c r="F21" s="103" t="s">
        <v>441</v>
      </c>
      <c r="G21" s="103" t="s">
        <v>499</v>
      </c>
      <c r="H21" s="103" t="s">
        <v>496</v>
      </c>
      <c r="I21" s="96"/>
      <c r="J21" s="7"/>
      <c r="K21" s="7" t="s">
        <v>56</v>
      </c>
      <c r="L21" s="7" t="s">
        <v>57</v>
      </c>
      <c r="M21" s="7" t="s">
        <v>49</v>
      </c>
      <c r="N21" s="8" t="s">
        <v>11</v>
      </c>
      <c r="O21" s="7" t="s">
        <v>12</v>
      </c>
      <c r="P21" s="9">
        <v>4.0</v>
      </c>
      <c r="Q21" s="7" t="s">
        <v>500</v>
      </c>
      <c r="R21" s="97">
        <f t="shared" si="16"/>
        <v>1</v>
      </c>
      <c r="S21" s="97">
        <f t="shared" si="17"/>
        <v>1</v>
      </c>
      <c r="T21" s="98">
        <v>0.5</v>
      </c>
      <c r="U21" s="99">
        <f>IFERROR(__xludf.DUMMYFUNCTION("IFERROR(IF(Match(L21,IMPORTRANGE(""https://docs.google.com/spreadsheets/d/1CAXKDiOnZb21bZOY_nacH9xI9AiD-nH8ZZQAwYKkVC0/edit?usp=drivesdk"",""Completed Exams!A1:A135""),0),1), 0)"),0.0)</f>
        <v>0</v>
      </c>
      <c r="V21" s="100">
        <v>0.5</v>
      </c>
      <c r="W21" s="100">
        <f t="shared" ref="W21:W26" si="19">IF(COUNTIF(B$535:B$602,L21)=0,0,1)</f>
        <v>0</v>
      </c>
      <c r="X21" s="101">
        <f t="shared" si="8"/>
        <v>1</v>
      </c>
      <c r="Y21" s="101">
        <f t="shared" ref="Y21:Y24" si="20">IF(COUNTIF(B$725:B$844,L21)=0,0,1)</f>
        <v>1</v>
      </c>
      <c r="Z21" s="101">
        <f t="shared" si="10"/>
        <v>1</v>
      </c>
      <c r="AA21" s="101">
        <f t="shared" si="18"/>
        <v>1</v>
      </c>
      <c r="AB21" s="100">
        <v>1.0</v>
      </c>
      <c r="AC21" s="101">
        <f t="shared" si="12"/>
        <v>1</v>
      </c>
      <c r="AD21" s="100">
        <v>1.0</v>
      </c>
      <c r="AE21" s="100">
        <v>0.5</v>
      </c>
      <c r="AF21" s="75">
        <f>IFERROR(__xludf.DUMMYFUNCTION("IFERROR(IF(Match(L21,IMPORTRANGE(""https://docs.google.com/spreadsheets/d/1UY0hI2S83Fmafa5P-C1LM9yqe4v4qIKTnVy_CzLzRPs/edit?resourcekey=&amp;gid=1583835601#gid=1583835601"",""Form Responses 1!B2:B194""),0),1), 0)"),0.0)</f>
        <v>0</v>
      </c>
      <c r="AG21" s="75">
        <f>IFERROR(__xludf.DUMMYFUNCTION("IFERROR(IF(Match(L21,IMPORTRANGE(""https://docs.google.com/spreadsheets/d/1hO4mQ22n6cudUygJ2ss_JeJdm2Ua_7hJl_79lWWEtic/edit?resourcekey=&amp;gid=2087212010#gid=2087212010"",""Form Responses 1!B2:B104""),0),1), 0)"),0.0)</f>
        <v>0</v>
      </c>
      <c r="AH21" s="75">
        <f>IFERROR(__xludf.DUMMYFUNCTION("IFERROR(IF(Match(L21,IMPORTRANGE(""https://docs.google.com/spreadsheets/d/1HbfCXhSXbtTODKKY1MOFwJccyhgDKD0J9sO1k5l_6lM/edit?resourcekey=&amp;gid=1616384832#gid=1616384832"",""Form Responses 1!E2:E143""),0),1), 0)"),0.0)</f>
        <v>0</v>
      </c>
    </row>
    <row r="22" ht="22.5" customHeight="1">
      <c r="A22" s="102">
        <v>45917.66163015046</v>
      </c>
      <c r="B22" s="103" t="s">
        <v>195</v>
      </c>
      <c r="C22" s="103" t="s">
        <v>501</v>
      </c>
      <c r="D22" s="103" t="s">
        <v>502</v>
      </c>
      <c r="E22" s="103" t="s">
        <v>494</v>
      </c>
      <c r="F22" s="103" t="s">
        <v>436</v>
      </c>
      <c r="G22" s="103" t="s">
        <v>503</v>
      </c>
      <c r="H22" s="103" t="s">
        <v>504</v>
      </c>
      <c r="I22" s="96"/>
      <c r="J22" s="7"/>
      <c r="K22" s="16" t="s">
        <v>58</v>
      </c>
      <c r="L22" s="16" t="s">
        <v>59</v>
      </c>
      <c r="M22" s="16" t="s">
        <v>49</v>
      </c>
      <c r="N22" s="17" t="s">
        <v>28</v>
      </c>
      <c r="O22" s="16" t="s">
        <v>29</v>
      </c>
      <c r="P22" s="34">
        <v>4.0</v>
      </c>
      <c r="Q22" s="16" t="s">
        <v>500</v>
      </c>
      <c r="R22" s="97">
        <f t="shared" si="16"/>
        <v>1</v>
      </c>
      <c r="S22" s="97">
        <f t="shared" si="17"/>
        <v>1</v>
      </c>
      <c r="T22" s="98">
        <f t="shared" ref="T22:T33" si="21">IF(COUNTIF(B$275:B$401,L22)=0,0,1)</f>
        <v>1</v>
      </c>
      <c r="U22" s="99">
        <f>IFERROR(__xludf.DUMMYFUNCTION("IFERROR(IF(Match(L22,IMPORTRANGE(""https://docs.google.com/spreadsheets/d/1CAXKDiOnZb21bZOY_nacH9xI9AiD-nH8ZZQAwYKkVC0/edit?usp=drivesdk"",""Completed Exams!A1:A135""),0),1), 0)"),0.0)</f>
        <v>0</v>
      </c>
      <c r="V22" s="100">
        <f t="shared" ref="V22:V32" si="22">IF(COUNTIF(B$416:B$535,L22)=0,0,1)</f>
        <v>1</v>
      </c>
      <c r="W22" s="100">
        <f t="shared" si="19"/>
        <v>0</v>
      </c>
      <c r="X22" s="101">
        <f t="shared" si="8"/>
        <v>1</v>
      </c>
      <c r="Y22" s="101">
        <f t="shared" si="20"/>
        <v>1</v>
      </c>
      <c r="Z22" s="101">
        <f t="shared" si="10"/>
        <v>1</v>
      </c>
      <c r="AA22" s="101">
        <f t="shared" si="18"/>
        <v>1</v>
      </c>
      <c r="AB22" s="101">
        <f>IFERROR(__xludf.DUMMYFUNCTION("IFERROR(IF(Match(L22,IMPORTRANGE(""https://docs.google.com/spreadsheets/d/1n1sT_Q_W3mKmn2Yrd8qcNzuRD4zr4DB9gqARnjQ30B4/edit?gid=1918970062#gid=1918970062"",""Form Responses 1!B2:B49""),0),1), 0)"),0.0)</f>
        <v>0</v>
      </c>
      <c r="AC22" s="101">
        <f t="shared" si="12"/>
        <v>1</v>
      </c>
      <c r="AD22" s="100">
        <v>1.0</v>
      </c>
      <c r="AE22" s="101">
        <f>IFERROR(__xludf.DUMMYFUNCTION("IFERROR(IF(Match(L22,IMPORTRANGE(""https://docs.google.com/spreadsheets/d/1hvckjcCpxEuDQDPrBMml_I1kBhYyjrgR8qBKC9QGVUc/edit?resourcekey=&amp;gid=230793720#gid=230793720"",""Form Responses 1!B2:B199""),0),1), 0)"),0.0)</f>
        <v>0</v>
      </c>
      <c r="AF22" s="75">
        <f>IFERROR(__xludf.DUMMYFUNCTION("IFERROR(IF(Match(L22,IMPORTRANGE(""https://docs.google.com/spreadsheets/d/1UY0hI2S83Fmafa5P-C1LM9yqe4v4qIKTnVy_CzLzRPs/edit?resourcekey=&amp;gid=1583835601#gid=1583835601"",""Form Responses 1!B2:B194""),0),1), 0)"),0.0)</f>
        <v>0</v>
      </c>
      <c r="AG22" s="75">
        <f>IFERROR(__xludf.DUMMYFUNCTION("IFERROR(IF(Match(L22,IMPORTRANGE(""https://docs.google.com/spreadsheets/d/1hO4mQ22n6cudUygJ2ss_JeJdm2Ua_7hJl_79lWWEtic/edit?resourcekey=&amp;gid=2087212010#gid=2087212010"",""Form Responses 1!B2:B104""),0),1), 0)"),0.0)</f>
        <v>0</v>
      </c>
      <c r="AH22" s="75">
        <f>IFERROR(__xludf.DUMMYFUNCTION("IFERROR(IF(Match(L22,IMPORTRANGE(""https://docs.google.com/spreadsheets/d/1HbfCXhSXbtTODKKY1MOFwJccyhgDKD0J9sO1k5l_6lM/edit?resourcekey=&amp;gid=1616384832#gid=1616384832"",""Form Responses 1!E2:E143""),0),1), 0)"),0.0)</f>
        <v>0</v>
      </c>
    </row>
    <row r="23" ht="22.5" customHeight="1">
      <c r="A23" s="102">
        <v>45917.66168380787</v>
      </c>
      <c r="B23" s="103" t="s">
        <v>263</v>
      </c>
      <c r="C23" s="103" t="s">
        <v>505</v>
      </c>
      <c r="D23" s="103" t="s">
        <v>506</v>
      </c>
      <c r="E23" s="103" t="s">
        <v>494</v>
      </c>
      <c r="F23" s="103" t="s">
        <v>436</v>
      </c>
      <c r="G23" s="103" t="s">
        <v>255</v>
      </c>
      <c r="H23" s="103" t="s">
        <v>496</v>
      </c>
      <c r="I23" s="96"/>
      <c r="J23" s="7"/>
      <c r="K23" s="7" t="s">
        <v>60</v>
      </c>
      <c r="L23" s="7" t="s">
        <v>61</v>
      </c>
      <c r="M23" s="7" t="s">
        <v>62</v>
      </c>
      <c r="N23" s="8" t="s">
        <v>28</v>
      </c>
      <c r="O23" s="7" t="s">
        <v>29</v>
      </c>
      <c r="P23" s="35">
        <v>5.0</v>
      </c>
      <c r="Q23" s="7" t="s">
        <v>507</v>
      </c>
      <c r="R23" s="97">
        <f t="shared" si="16"/>
        <v>1</v>
      </c>
      <c r="S23" s="97">
        <f t="shared" si="17"/>
        <v>0</v>
      </c>
      <c r="T23" s="98">
        <f t="shared" si="21"/>
        <v>1</v>
      </c>
      <c r="U23" s="99">
        <f>IFERROR(__xludf.DUMMYFUNCTION("IFERROR(IF(Match(L23,IMPORTRANGE(""https://docs.google.com/spreadsheets/d/1CAXKDiOnZb21bZOY_nacH9xI9AiD-nH8ZZQAwYKkVC0/edit?usp=drivesdk"",""Completed Exams!A1:A135""),0),1), 0)"),0.0)</f>
        <v>0</v>
      </c>
      <c r="V23" s="100">
        <f t="shared" si="22"/>
        <v>1</v>
      </c>
      <c r="W23" s="100">
        <f t="shared" si="19"/>
        <v>0</v>
      </c>
      <c r="X23" s="101">
        <f t="shared" si="8"/>
        <v>1</v>
      </c>
      <c r="Y23" s="101">
        <f t="shared" si="20"/>
        <v>1</v>
      </c>
      <c r="Z23" s="101">
        <f t="shared" si="10"/>
        <v>1</v>
      </c>
      <c r="AA23" s="101">
        <f t="shared" si="18"/>
        <v>1</v>
      </c>
      <c r="AB23" s="101">
        <f>IFERROR(__xludf.DUMMYFUNCTION("IFERROR(IF(Match(L23,IMPORTRANGE(""https://docs.google.com/spreadsheets/d/1n1sT_Q_W3mKmn2Yrd8qcNzuRD4zr4DB9gqARnjQ30B4/edit?gid=1918970062#gid=1918970062"",""Form Responses 1!B2:B49""),0),1), 0)"),0.0)</f>
        <v>0</v>
      </c>
      <c r="AC23" s="101">
        <f t="shared" si="12"/>
        <v>1</v>
      </c>
      <c r="AD23" s="100">
        <v>0.0</v>
      </c>
      <c r="AE23" s="101">
        <f>IFERROR(__xludf.DUMMYFUNCTION("IFERROR(IF(Match(L23,IMPORTRANGE(""https://docs.google.com/spreadsheets/d/1hvckjcCpxEuDQDPrBMml_I1kBhYyjrgR8qBKC9QGVUc/edit?resourcekey=&amp;gid=230793720#gid=230793720"",""Form Responses 1!B2:B199""),0),1), 0)"),0.0)</f>
        <v>0</v>
      </c>
      <c r="AF23" s="75">
        <f>IFERROR(__xludf.DUMMYFUNCTION("IFERROR(IF(Match(L23,IMPORTRANGE(""https://docs.google.com/spreadsheets/d/1UY0hI2S83Fmafa5P-C1LM9yqe4v4qIKTnVy_CzLzRPs/edit?resourcekey=&amp;gid=1583835601#gid=1583835601"",""Form Responses 1!B2:B194""),0),1), 0)"),0.0)</f>
        <v>0</v>
      </c>
      <c r="AG23" s="75">
        <f>IFERROR(__xludf.DUMMYFUNCTION("IFERROR(IF(Match(L23,IMPORTRANGE(""https://docs.google.com/spreadsheets/d/1hO4mQ22n6cudUygJ2ss_JeJdm2Ua_7hJl_79lWWEtic/edit?resourcekey=&amp;gid=2087212010#gid=2087212010"",""Form Responses 1!B2:B104""),0),1), 0)"),0.0)</f>
        <v>0</v>
      </c>
      <c r="AH23" s="75">
        <f>IFERROR(__xludf.DUMMYFUNCTION("IFERROR(IF(Match(L23,IMPORTRANGE(""https://docs.google.com/spreadsheets/d/1HbfCXhSXbtTODKKY1MOFwJccyhgDKD0J9sO1k5l_6lM/edit?resourcekey=&amp;gid=1616384832#gid=1616384832"",""Form Responses 1!E2:E143""),0),1), 0)"),0.0)</f>
        <v>0</v>
      </c>
    </row>
    <row r="24" ht="22.5" customHeight="1">
      <c r="A24" s="102">
        <v>45917.661748541665</v>
      </c>
      <c r="B24" s="103" t="s">
        <v>102</v>
      </c>
      <c r="C24" s="103" t="s">
        <v>508</v>
      </c>
      <c r="D24" s="103" t="s">
        <v>509</v>
      </c>
      <c r="E24" s="103" t="s">
        <v>494</v>
      </c>
      <c r="F24" s="103" t="s">
        <v>436</v>
      </c>
      <c r="G24" s="103" t="s">
        <v>510</v>
      </c>
      <c r="H24" s="103" t="s">
        <v>511</v>
      </c>
      <c r="I24" s="96"/>
      <c r="J24" s="7"/>
      <c r="K24" s="7" t="s">
        <v>63</v>
      </c>
      <c r="L24" s="7" t="s">
        <v>64</v>
      </c>
      <c r="M24" s="7" t="s">
        <v>62</v>
      </c>
      <c r="N24" s="8" t="s">
        <v>28</v>
      </c>
      <c r="O24" s="7" t="s">
        <v>29</v>
      </c>
      <c r="P24" s="35">
        <v>5.0</v>
      </c>
      <c r="Q24" s="7" t="s">
        <v>507</v>
      </c>
      <c r="R24" s="104">
        <v>0.5</v>
      </c>
      <c r="S24" s="97">
        <f t="shared" si="17"/>
        <v>0</v>
      </c>
      <c r="T24" s="98">
        <f t="shared" si="21"/>
        <v>1</v>
      </c>
      <c r="U24" s="99">
        <f>IFERROR(__xludf.DUMMYFUNCTION("IFERROR(IF(Match(L24,IMPORTRANGE(""https://docs.google.com/spreadsheets/d/1CAXKDiOnZb21bZOY_nacH9xI9AiD-nH8ZZQAwYKkVC0/edit?usp=drivesdk"",""Completed Exams!A1:A135""),0),1), 0)"),0.0)</f>
        <v>0</v>
      </c>
      <c r="V24" s="100">
        <f t="shared" si="22"/>
        <v>1</v>
      </c>
      <c r="W24" s="100">
        <f t="shared" si="19"/>
        <v>1</v>
      </c>
      <c r="X24" s="101">
        <f t="shared" si="8"/>
        <v>1</v>
      </c>
      <c r="Y24" s="101">
        <f t="shared" si="20"/>
        <v>1</v>
      </c>
      <c r="Z24" s="101">
        <f t="shared" si="10"/>
        <v>1</v>
      </c>
      <c r="AA24" s="101">
        <f t="shared" si="18"/>
        <v>1</v>
      </c>
      <c r="AB24" s="101">
        <f>IFERROR(__xludf.DUMMYFUNCTION("IFERROR(IF(Match(L24,IMPORTRANGE(""https://docs.google.com/spreadsheets/d/1n1sT_Q_W3mKmn2Yrd8qcNzuRD4zr4DB9gqARnjQ30B4/edit?gid=1918970062#gid=1918970062"",""Form Responses 1!B2:B49""),0),1), 0)"),0.0)</f>
        <v>0</v>
      </c>
      <c r="AC24" s="101">
        <f t="shared" si="12"/>
        <v>1</v>
      </c>
      <c r="AD24" s="100">
        <v>0.0</v>
      </c>
      <c r="AE24" s="101">
        <f>IFERROR(__xludf.DUMMYFUNCTION("IFERROR(IF(Match(L24,IMPORTRANGE(""https://docs.google.com/spreadsheets/d/1hvckjcCpxEuDQDPrBMml_I1kBhYyjrgR8qBKC9QGVUc/edit?resourcekey=&amp;gid=230793720#gid=230793720"",""Form Responses 1!B2:B199""),0),1), 0)"),0.0)</f>
        <v>0</v>
      </c>
      <c r="AF24" s="75">
        <f>IFERROR(__xludf.DUMMYFUNCTION("IFERROR(IF(Match(L24,IMPORTRANGE(""https://docs.google.com/spreadsheets/d/1UY0hI2S83Fmafa5P-C1LM9yqe4v4qIKTnVy_CzLzRPs/edit?resourcekey=&amp;gid=1583835601#gid=1583835601"",""Form Responses 1!B2:B194""),0),1), 0)"),0.0)</f>
        <v>0</v>
      </c>
      <c r="AG24" s="75">
        <f>IFERROR(__xludf.DUMMYFUNCTION("IFERROR(IF(Match(L24,IMPORTRANGE(""https://docs.google.com/spreadsheets/d/1hO4mQ22n6cudUygJ2ss_JeJdm2Ua_7hJl_79lWWEtic/edit?resourcekey=&amp;gid=2087212010#gid=2087212010"",""Form Responses 1!B2:B104""),0),1), 0)"),0.0)</f>
        <v>0</v>
      </c>
      <c r="AH24" s="10">
        <v>0.5</v>
      </c>
    </row>
    <row r="25" ht="22.5" customHeight="1">
      <c r="A25" s="102">
        <v>45917.66180556713</v>
      </c>
      <c r="B25" s="103" t="s">
        <v>191</v>
      </c>
      <c r="C25" s="103" t="s">
        <v>512</v>
      </c>
      <c r="D25" s="103" t="s">
        <v>513</v>
      </c>
      <c r="E25" s="103" t="s">
        <v>494</v>
      </c>
      <c r="F25" s="103" t="s">
        <v>436</v>
      </c>
      <c r="G25" s="103" t="s">
        <v>185</v>
      </c>
      <c r="H25" s="103" t="s">
        <v>496</v>
      </c>
      <c r="I25" s="96"/>
      <c r="J25" s="7"/>
      <c r="K25" s="7" t="s">
        <v>65</v>
      </c>
      <c r="L25" s="7" t="s">
        <v>66</v>
      </c>
      <c r="M25" s="7" t="s">
        <v>62</v>
      </c>
      <c r="N25" s="8" t="s">
        <v>11</v>
      </c>
      <c r="O25" s="7" t="s">
        <v>12</v>
      </c>
      <c r="P25" s="35">
        <v>5.0</v>
      </c>
      <c r="Q25" s="7" t="s">
        <v>447</v>
      </c>
      <c r="R25" s="97">
        <f t="shared" ref="R25:R51" si="23">IF(COUNTIF(B$2:B$149,L25)=0,0,1)</f>
        <v>1</v>
      </c>
      <c r="S25" s="97">
        <f t="shared" si="17"/>
        <v>1</v>
      </c>
      <c r="T25" s="98">
        <f t="shared" si="21"/>
        <v>1</v>
      </c>
      <c r="U25" s="99">
        <f>IFERROR(__xludf.DUMMYFUNCTION("IFERROR(IF(Match(L25,IMPORTRANGE(""https://docs.google.com/spreadsheets/d/1CAXKDiOnZb21bZOY_nacH9xI9AiD-nH8ZZQAwYKkVC0/edit?usp=drivesdk"",""Completed Exams!A1:A135""),0),1), 0)"),0.0)</f>
        <v>0</v>
      </c>
      <c r="V25" s="100">
        <f t="shared" si="22"/>
        <v>0</v>
      </c>
      <c r="W25" s="100">
        <f t="shared" si="19"/>
        <v>0</v>
      </c>
      <c r="X25" s="101">
        <f t="shared" si="8"/>
        <v>1</v>
      </c>
      <c r="Y25" s="100">
        <v>1.0</v>
      </c>
      <c r="Z25" s="101">
        <f t="shared" si="10"/>
        <v>1</v>
      </c>
      <c r="AA25" s="101">
        <f t="shared" si="18"/>
        <v>1</v>
      </c>
      <c r="AB25" s="100">
        <v>1.0</v>
      </c>
      <c r="AC25" s="101">
        <f t="shared" si="12"/>
        <v>1</v>
      </c>
      <c r="AD25" s="100">
        <v>1.0</v>
      </c>
      <c r="AE25" s="101">
        <f>IFERROR(__xludf.DUMMYFUNCTION("IFERROR(IF(Match(L25,IMPORTRANGE(""https://docs.google.com/spreadsheets/d/1hvckjcCpxEuDQDPrBMml_I1kBhYyjrgR8qBKC9QGVUc/edit?resourcekey=&amp;gid=230793720#gid=230793720"",""Form Responses 1!B2:B199""),0),1), 0)"),0.0)</f>
        <v>0</v>
      </c>
      <c r="AF25" s="75">
        <f>IFERROR(__xludf.DUMMYFUNCTION("IFERROR(IF(Match(L25,IMPORTRANGE(""https://docs.google.com/spreadsheets/d/1UY0hI2S83Fmafa5P-C1LM9yqe4v4qIKTnVy_CzLzRPs/edit?resourcekey=&amp;gid=1583835601#gid=1583835601"",""Form Responses 1!B2:B194""),0),1), 0)"),0.0)</f>
        <v>0</v>
      </c>
      <c r="AG25" s="75">
        <f>IFERROR(__xludf.DUMMYFUNCTION("IFERROR(IF(Match(L25,IMPORTRANGE(""https://docs.google.com/spreadsheets/d/1hO4mQ22n6cudUygJ2ss_JeJdm2Ua_7hJl_79lWWEtic/edit?resourcekey=&amp;gid=2087212010#gid=2087212010"",""Form Responses 1!B2:B104""),0),1), 0)"),0.0)</f>
        <v>0</v>
      </c>
      <c r="AH25" s="75">
        <f>IFERROR(__xludf.DUMMYFUNCTION("IFERROR(IF(Match(L25,IMPORTRANGE(""https://docs.google.com/spreadsheets/d/1HbfCXhSXbtTODKKY1MOFwJccyhgDKD0J9sO1k5l_6lM/edit?resourcekey=&amp;gid=1616384832#gid=1616384832"",""Form Responses 1!E2:E143""),0),1), 0)"),0.0)</f>
        <v>0</v>
      </c>
    </row>
    <row r="26" ht="22.5" customHeight="1">
      <c r="A26" s="102">
        <v>45917.661850543984</v>
      </c>
      <c r="B26" s="103" t="s">
        <v>110</v>
      </c>
      <c r="C26" s="103" t="s">
        <v>514</v>
      </c>
      <c r="D26" s="103" t="s">
        <v>515</v>
      </c>
      <c r="E26" s="103" t="s">
        <v>494</v>
      </c>
      <c r="F26" s="103" t="s">
        <v>436</v>
      </c>
      <c r="G26" s="103" t="s">
        <v>516</v>
      </c>
      <c r="H26" s="103" t="s">
        <v>517</v>
      </c>
      <c r="I26" s="96"/>
      <c r="J26" s="7"/>
      <c r="K26" s="16" t="s">
        <v>67</v>
      </c>
      <c r="L26" s="16" t="s">
        <v>68</v>
      </c>
      <c r="M26" s="16" t="s">
        <v>62</v>
      </c>
      <c r="N26" s="17" t="s">
        <v>28</v>
      </c>
      <c r="O26" s="16" t="s">
        <v>29</v>
      </c>
      <c r="P26" s="36">
        <v>5.0</v>
      </c>
      <c r="Q26" s="16" t="s">
        <v>447</v>
      </c>
      <c r="R26" s="97">
        <f t="shared" si="23"/>
        <v>1</v>
      </c>
      <c r="S26" s="97">
        <f t="shared" si="17"/>
        <v>1</v>
      </c>
      <c r="T26" s="98">
        <f t="shared" si="21"/>
        <v>1</v>
      </c>
      <c r="U26" s="99">
        <f>IFERROR(__xludf.DUMMYFUNCTION("IFERROR(IF(Match(L26,IMPORTRANGE(""https://docs.google.com/spreadsheets/d/1CAXKDiOnZb21bZOY_nacH9xI9AiD-nH8ZZQAwYKkVC0/edit?usp=drivesdk"",""Completed Exams!A1:A135""),0),1), 0)"),0.0)</f>
        <v>0</v>
      </c>
      <c r="V26" s="100">
        <f t="shared" si="22"/>
        <v>0</v>
      </c>
      <c r="W26" s="100">
        <f t="shared" si="19"/>
        <v>1</v>
      </c>
      <c r="X26" s="101">
        <f t="shared" si="8"/>
        <v>1</v>
      </c>
      <c r="Y26" s="101">
        <f t="shared" ref="Y26:Y32" si="24">IF(COUNTIF(B$725:B$844,L26)=0,0,1)</f>
        <v>1</v>
      </c>
      <c r="Z26" s="101">
        <f t="shared" si="10"/>
        <v>1</v>
      </c>
      <c r="AA26" s="101">
        <f t="shared" si="18"/>
        <v>1</v>
      </c>
      <c r="AB26" s="101">
        <f>IFERROR(__xludf.DUMMYFUNCTION("IFERROR(IF(Match(L26,IMPORTRANGE(""https://docs.google.com/spreadsheets/d/1n1sT_Q_W3mKmn2Yrd8qcNzuRD4zr4DB9gqARnjQ30B4/edit?gid=1918970062#gid=1918970062"",""Form Responses 1!B2:B49""),0),1), 0)"),0.0)</f>
        <v>0</v>
      </c>
      <c r="AC26" s="101">
        <f t="shared" si="12"/>
        <v>1</v>
      </c>
      <c r="AD26" s="100">
        <v>0.0</v>
      </c>
      <c r="AE26" s="101">
        <f>IFERROR(__xludf.DUMMYFUNCTION("IFERROR(IF(Match(L26,IMPORTRANGE(""https://docs.google.com/spreadsheets/d/1hvckjcCpxEuDQDPrBMml_I1kBhYyjrgR8qBKC9QGVUc/edit?resourcekey=&amp;gid=230793720#gid=230793720"",""Form Responses 1!B2:B199""),0),1), 0)"),0.0)</f>
        <v>0</v>
      </c>
      <c r="AF26" s="75">
        <f>IFERROR(__xludf.DUMMYFUNCTION("IFERROR(IF(Match(L26,IMPORTRANGE(""https://docs.google.com/spreadsheets/d/1UY0hI2S83Fmafa5P-C1LM9yqe4v4qIKTnVy_CzLzRPs/edit?resourcekey=&amp;gid=1583835601#gid=1583835601"",""Form Responses 1!B2:B194""),0),1), 0)"),0.0)</f>
        <v>0</v>
      </c>
      <c r="AG26" s="75">
        <f>IFERROR(__xludf.DUMMYFUNCTION("IFERROR(IF(Match(L26,IMPORTRANGE(""https://docs.google.com/spreadsheets/d/1hO4mQ22n6cudUygJ2ss_JeJdm2Ua_7hJl_79lWWEtic/edit?resourcekey=&amp;gid=2087212010#gid=2087212010"",""Form Responses 1!B2:B104""),0),1), 0)"),0.0)</f>
        <v>0</v>
      </c>
      <c r="AH26" s="75">
        <f>IFERROR(__xludf.DUMMYFUNCTION("IFERROR(IF(Match(L26,IMPORTRANGE(""https://docs.google.com/spreadsheets/d/1HbfCXhSXbtTODKKY1MOFwJccyhgDKD0J9sO1k5l_6lM/edit?resourcekey=&amp;gid=1616384832#gid=1616384832"",""Form Responses 1!E2:E143""),0),1), 0)"),0.0)</f>
        <v>0</v>
      </c>
    </row>
    <row r="27" ht="22.5" customHeight="1">
      <c r="A27" s="102">
        <v>45917.6618768287</v>
      </c>
      <c r="B27" s="103" t="s">
        <v>354</v>
      </c>
      <c r="C27" s="103" t="s">
        <v>518</v>
      </c>
      <c r="D27" s="103" t="s">
        <v>519</v>
      </c>
      <c r="E27" s="103" t="s">
        <v>494</v>
      </c>
      <c r="F27" s="103" t="s">
        <v>436</v>
      </c>
      <c r="G27" s="103" t="s">
        <v>495</v>
      </c>
      <c r="H27" s="103" t="s">
        <v>520</v>
      </c>
      <c r="I27" s="96"/>
      <c r="J27" s="37"/>
      <c r="K27" s="37" t="s">
        <v>69</v>
      </c>
      <c r="L27" s="7" t="s">
        <v>70</v>
      </c>
      <c r="M27" s="7" t="s">
        <v>71</v>
      </c>
      <c r="N27" s="11" t="s">
        <v>11</v>
      </c>
      <c r="O27" s="7" t="s">
        <v>12</v>
      </c>
      <c r="P27" s="38">
        <v>6.0</v>
      </c>
      <c r="Q27" s="7" t="s">
        <v>521</v>
      </c>
      <c r="R27" s="97">
        <f t="shared" si="23"/>
        <v>1</v>
      </c>
      <c r="S27" s="97">
        <f t="shared" si="17"/>
        <v>1</v>
      </c>
      <c r="T27" s="98">
        <f t="shared" si="21"/>
        <v>1</v>
      </c>
      <c r="U27" s="99">
        <f>IFERROR(__xludf.DUMMYFUNCTION("IFERROR(IF(Match(L27,IMPORTRANGE(""https://docs.google.com/spreadsheets/d/1CAXKDiOnZb21bZOY_nacH9xI9AiD-nH8ZZQAwYKkVC0/edit?usp=drivesdk"",""Completed Exams!A1:A135""),0),1), 0)"),0.0)</f>
        <v>0</v>
      </c>
      <c r="V27" s="100">
        <f t="shared" si="22"/>
        <v>1</v>
      </c>
      <c r="W27" s="100">
        <v>1.0</v>
      </c>
      <c r="X27" s="101">
        <f t="shared" si="8"/>
        <v>1</v>
      </c>
      <c r="Y27" s="101">
        <f t="shared" si="24"/>
        <v>1</v>
      </c>
      <c r="Z27" s="101">
        <f t="shared" si="10"/>
        <v>0</v>
      </c>
      <c r="AA27" s="101">
        <f t="shared" si="18"/>
        <v>1</v>
      </c>
      <c r="AB27" s="101">
        <f>IFERROR(__xludf.DUMMYFUNCTION("IFERROR(IF(Match(L27,IMPORTRANGE(""https://docs.google.com/spreadsheets/d/1n1sT_Q_W3mKmn2Yrd8qcNzuRD4zr4DB9gqARnjQ30B4/edit?gid=1918970062#gid=1918970062"",""Form Responses 1!B2:B49""),0),1), 0)"),0.0)</f>
        <v>0</v>
      </c>
      <c r="AC27" s="101">
        <f t="shared" si="12"/>
        <v>1</v>
      </c>
      <c r="AD27" s="100">
        <v>0.5</v>
      </c>
      <c r="AE27" s="101">
        <f>IFERROR(__xludf.DUMMYFUNCTION("IFERROR(IF(Match(L27,IMPORTRANGE(""https://docs.google.com/spreadsheets/d/1hvckjcCpxEuDQDPrBMml_I1kBhYyjrgR8qBKC9QGVUc/edit?resourcekey=&amp;gid=230793720#gid=230793720"",""Form Responses 1!B2:B199""),0),1), 0)"),0.0)</f>
        <v>0</v>
      </c>
      <c r="AF27" s="75">
        <f>IFERROR(__xludf.DUMMYFUNCTION("IFERROR(IF(Match(L27,IMPORTRANGE(""https://docs.google.com/spreadsheets/d/1UY0hI2S83Fmafa5P-C1LM9yqe4v4qIKTnVy_CzLzRPs/edit?resourcekey=&amp;gid=1583835601#gid=1583835601"",""Form Responses 1!B2:B194""),0),1), 0)"),0.0)</f>
        <v>0</v>
      </c>
      <c r="AG27" s="75">
        <f>IFERROR(__xludf.DUMMYFUNCTION("IFERROR(IF(Match(L27,IMPORTRANGE(""https://docs.google.com/spreadsheets/d/1hO4mQ22n6cudUygJ2ss_JeJdm2Ua_7hJl_79lWWEtic/edit?resourcekey=&amp;gid=2087212010#gid=2087212010"",""Form Responses 1!B2:B104""),0),1), 0)"),0.0)</f>
        <v>0</v>
      </c>
      <c r="AH27" s="75">
        <f>IFERROR(__xludf.DUMMYFUNCTION("IFERROR(IF(Match(L27,IMPORTRANGE(""https://docs.google.com/spreadsheets/d/1HbfCXhSXbtTODKKY1MOFwJccyhgDKD0J9sO1k5l_6lM/edit?resourcekey=&amp;gid=1616384832#gid=1616384832"",""Form Responses 1!E2:E143""),0),1), 0)"),0.0)</f>
        <v>0</v>
      </c>
    </row>
    <row r="28" ht="22.5" customHeight="1">
      <c r="A28" s="102">
        <v>45917.661936944445</v>
      </c>
      <c r="B28" s="103" t="s">
        <v>104</v>
      </c>
      <c r="C28" s="103" t="s">
        <v>522</v>
      </c>
      <c r="D28" s="103" t="s">
        <v>523</v>
      </c>
      <c r="E28" s="103" t="s">
        <v>420</v>
      </c>
      <c r="F28" s="103" t="s">
        <v>436</v>
      </c>
      <c r="G28" s="103" t="s">
        <v>98</v>
      </c>
      <c r="H28" s="103" t="s">
        <v>524</v>
      </c>
      <c r="I28" s="96"/>
      <c r="J28" s="7"/>
      <c r="K28" s="7" t="s">
        <v>72</v>
      </c>
      <c r="L28" s="7" t="s">
        <v>73</v>
      </c>
      <c r="M28" s="7" t="s">
        <v>71</v>
      </c>
      <c r="N28" s="32" t="s">
        <v>24</v>
      </c>
      <c r="O28" s="7" t="s">
        <v>25</v>
      </c>
      <c r="P28" s="38">
        <v>6.0</v>
      </c>
      <c r="Q28" s="7" t="s">
        <v>521</v>
      </c>
      <c r="R28" s="97">
        <f t="shared" si="23"/>
        <v>1</v>
      </c>
      <c r="S28" s="97">
        <f t="shared" si="17"/>
        <v>0</v>
      </c>
      <c r="T28" s="98">
        <f t="shared" si="21"/>
        <v>0</v>
      </c>
      <c r="U28" s="99">
        <f>IFERROR(__xludf.DUMMYFUNCTION("IFERROR(IF(Match(L28,IMPORTRANGE(""https://docs.google.com/spreadsheets/d/1CAXKDiOnZb21bZOY_nacH9xI9AiD-nH8ZZQAwYKkVC0/edit?usp=drivesdk"",""Completed Exams!A1:A135""),0),1), 0)"),0.0)</f>
        <v>0</v>
      </c>
      <c r="V28" s="100">
        <f t="shared" si="22"/>
        <v>1</v>
      </c>
      <c r="W28" s="100">
        <f t="shared" ref="W28:W30" si="25">IF(COUNTIF(B$535:B$602,L28)=0,0,1)</f>
        <v>0</v>
      </c>
      <c r="X28" s="101">
        <f t="shared" si="8"/>
        <v>1</v>
      </c>
      <c r="Y28" s="101">
        <f t="shared" si="24"/>
        <v>0</v>
      </c>
      <c r="Z28" s="101">
        <f t="shared" si="10"/>
        <v>0</v>
      </c>
      <c r="AA28" s="100">
        <v>0.5</v>
      </c>
      <c r="AB28" s="101">
        <f>IFERROR(__xludf.DUMMYFUNCTION("IFERROR(IF(Match(L28,IMPORTRANGE(""https://docs.google.com/spreadsheets/d/1n1sT_Q_W3mKmn2Yrd8qcNzuRD4zr4DB9gqARnjQ30B4/edit?gid=1918970062#gid=1918970062"",""Form Responses 1!B2:B49""),0),1), 0)"),0.0)</f>
        <v>0</v>
      </c>
      <c r="AC28" s="101">
        <f t="shared" si="12"/>
        <v>1</v>
      </c>
      <c r="AD28" s="100">
        <v>0.0</v>
      </c>
      <c r="AE28" s="101">
        <f>IFERROR(__xludf.DUMMYFUNCTION("IFERROR(IF(Match(L28,IMPORTRANGE(""https://docs.google.com/spreadsheets/d/1hvckjcCpxEuDQDPrBMml_I1kBhYyjrgR8qBKC9QGVUc/edit?resourcekey=&amp;gid=230793720#gid=230793720"",""Form Responses 1!B2:B199""),0),1), 0)"),0.0)</f>
        <v>0</v>
      </c>
      <c r="AF28" s="75">
        <f>IFERROR(__xludf.DUMMYFUNCTION("IFERROR(IF(Match(L28,IMPORTRANGE(""https://docs.google.com/spreadsheets/d/1UY0hI2S83Fmafa5P-C1LM9yqe4v4qIKTnVy_CzLzRPs/edit?resourcekey=&amp;gid=1583835601#gid=1583835601"",""Form Responses 1!B2:B194""),0),1), 0)"),0.0)</f>
        <v>0</v>
      </c>
      <c r="AG28" s="75">
        <f>IFERROR(__xludf.DUMMYFUNCTION("IFERROR(IF(Match(L28,IMPORTRANGE(""https://docs.google.com/spreadsheets/d/1hO4mQ22n6cudUygJ2ss_JeJdm2Ua_7hJl_79lWWEtic/edit?resourcekey=&amp;gid=2087212010#gid=2087212010"",""Form Responses 1!B2:B104""),0),1), 0)"),0.0)</f>
        <v>0</v>
      </c>
      <c r="AH28" s="75">
        <f>IFERROR(__xludf.DUMMYFUNCTION("IFERROR(IF(Match(L28,IMPORTRANGE(""https://docs.google.com/spreadsheets/d/1HbfCXhSXbtTODKKY1MOFwJccyhgDKD0J9sO1k5l_6lM/edit?resourcekey=&amp;gid=1616384832#gid=1616384832"",""Form Responses 1!E2:E143""),0),1), 0)"),0.0)</f>
        <v>0</v>
      </c>
    </row>
    <row r="29" ht="22.5" customHeight="1">
      <c r="A29" s="102">
        <v>45917.661941620376</v>
      </c>
      <c r="B29" s="103" t="s">
        <v>108</v>
      </c>
      <c r="C29" s="103" t="s">
        <v>525</v>
      </c>
      <c r="D29" s="103" t="s">
        <v>526</v>
      </c>
      <c r="E29" s="103" t="s">
        <v>494</v>
      </c>
      <c r="F29" s="103" t="s">
        <v>436</v>
      </c>
      <c r="G29" s="103" t="s">
        <v>527</v>
      </c>
      <c r="H29" s="103" t="s">
        <v>524</v>
      </c>
      <c r="I29" s="96"/>
      <c r="J29" s="7"/>
      <c r="K29" s="7" t="s">
        <v>74</v>
      </c>
      <c r="L29" s="7" t="s">
        <v>75</v>
      </c>
      <c r="M29" s="7" t="s">
        <v>71</v>
      </c>
      <c r="N29" s="8" t="s">
        <v>24</v>
      </c>
      <c r="O29" s="7" t="s">
        <v>25</v>
      </c>
      <c r="P29" s="38">
        <v>6.0</v>
      </c>
      <c r="Q29" s="7" t="s">
        <v>521</v>
      </c>
      <c r="R29" s="97">
        <f t="shared" si="23"/>
        <v>1</v>
      </c>
      <c r="S29" s="97">
        <f t="shared" si="17"/>
        <v>0</v>
      </c>
      <c r="T29" s="98">
        <f t="shared" si="21"/>
        <v>0</v>
      </c>
      <c r="U29" s="98">
        <v>1.0</v>
      </c>
      <c r="V29" s="100">
        <f t="shared" si="22"/>
        <v>0</v>
      </c>
      <c r="W29" s="100">
        <f t="shared" si="25"/>
        <v>1</v>
      </c>
      <c r="X29" s="101">
        <f t="shared" si="8"/>
        <v>1</v>
      </c>
      <c r="Y29" s="101">
        <f t="shared" si="24"/>
        <v>1</v>
      </c>
      <c r="Z29" s="101">
        <f t="shared" si="10"/>
        <v>0</v>
      </c>
      <c r="AA29" s="101">
        <f t="shared" ref="AA29:AA36" si="26">IF(COUNTIF(B$971:B$1124,L29)=0,0,1)</f>
        <v>1</v>
      </c>
      <c r="AB29" s="101">
        <f>IFERROR(__xludf.DUMMYFUNCTION("IFERROR(IF(Match(L29,IMPORTRANGE(""https://docs.google.com/spreadsheets/d/1n1sT_Q_W3mKmn2Yrd8qcNzuRD4zr4DB9gqARnjQ30B4/edit?gid=1918970062#gid=1918970062"",""Form Responses 1!B2:B49""),0),1), 0)"),0.0)</f>
        <v>0</v>
      </c>
      <c r="AC29" s="101">
        <f t="shared" si="12"/>
        <v>1</v>
      </c>
      <c r="AD29" s="100">
        <v>0.5</v>
      </c>
      <c r="AE29" s="101">
        <f>IFERROR(__xludf.DUMMYFUNCTION("IFERROR(IF(Match(L29,IMPORTRANGE(""https://docs.google.com/spreadsheets/d/1hvckjcCpxEuDQDPrBMml_I1kBhYyjrgR8qBKC9QGVUc/edit?resourcekey=&amp;gid=230793720#gid=230793720"",""Form Responses 1!B2:B199""),0),1), 0)"),0.0)</f>
        <v>0</v>
      </c>
      <c r="AF29" s="75">
        <f>IFERROR(__xludf.DUMMYFUNCTION("IFERROR(IF(Match(L29,IMPORTRANGE(""https://docs.google.com/spreadsheets/d/1UY0hI2S83Fmafa5P-C1LM9yqe4v4qIKTnVy_CzLzRPs/edit?resourcekey=&amp;gid=1583835601#gid=1583835601"",""Form Responses 1!B2:B194""),0),1), 0)"),0.0)</f>
        <v>0</v>
      </c>
      <c r="AG29" s="75">
        <f>IFERROR(__xludf.DUMMYFUNCTION("IFERROR(IF(Match(L29,IMPORTRANGE(""https://docs.google.com/spreadsheets/d/1hO4mQ22n6cudUygJ2ss_JeJdm2Ua_7hJl_79lWWEtic/edit?resourcekey=&amp;gid=2087212010#gid=2087212010"",""Form Responses 1!B2:B104""),0),1), 0)"),0.0)</f>
        <v>0</v>
      </c>
      <c r="AH29" s="75">
        <f>IFERROR(__xludf.DUMMYFUNCTION("IFERROR(IF(Match(L29,IMPORTRANGE(""https://docs.google.com/spreadsheets/d/1HbfCXhSXbtTODKKY1MOFwJccyhgDKD0J9sO1k5l_6lM/edit?resourcekey=&amp;gid=1616384832#gid=1616384832"",""Form Responses 1!E2:E143""),0),1), 0)"),0.0)</f>
        <v>0</v>
      </c>
    </row>
    <row r="30" ht="22.5" customHeight="1">
      <c r="A30" s="102">
        <v>45917.66194938657</v>
      </c>
      <c r="B30" s="103" t="s">
        <v>156</v>
      </c>
      <c r="C30" s="103" t="s">
        <v>528</v>
      </c>
      <c r="D30" s="103" t="s">
        <v>529</v>
      </c>
      <c r="E30" s="103" t="s">
        <v>494</v>
      </c>
      <c r="F30" s="103" t="s">
        <v>436</v>
      </c>
      <c r="G30" s="103" t="s">
        <v>148</v>
      </c>
      <c r="H30" s="103" t="s">
        <v>496</v>
      </c>
      <c r="I30" s="96"/>
      <c r="J30" s="7"/>
      <c r="K30" s="7" t="s">
        <v>76</v>
      </c>
      <c r="L30" s="7" t="s">
        <v>77</v>
      </c>
      <c r="M30" s="7" t="s">
        <v>71</v>
      </c>
      <c r="N30" s="8" t="s">
        <v>24</v>
      </c>
      <c r="O30" s="7" t="s">
        <v>25</v>
      </c>
      <c r="P30" s="38">
        <v>6.0</v>
      </c>
      <c r="Q30" s="7" t="s">
        <v>521</v>
      </c>
      <c r="R30" s="97">
        <f t="shared" si="23"/>
        <v>1</v>
      </c>
      <c r="S30" s="97">
        <f t="shared" si="17"/>
        <v>0</v>
      </c>
      <c r="T30" s="98">
        <f t="shared" si="21"/>
        <v>1</v>
      </c>
      <c r="U30" s="98">
        <v>1.0</v>
      </c>
      <c r="V30" s="100">
        <f t="shared" si="22"/>
        <v>0</v>
      </c>
      <c r="W30" s="100">
        <f t="shared" si="25"/>
        <v>0</v>
      </c>
      <c r="X30" s="101">
        <f t="shared" si="8"/>
        <v>1</v>
      </c>
      <c r="Y30" s="101">
        <f t="shared" si="24"/>
        <v>1</v>
      </c>
      <c r="Z30" s="101">
        <f t="shared" si="10"/>
        <v>0</v>
      </c>
      <c r="AA30" s="101">
        <f t="shared" si="26"/>
        <v>1</v>
      </c>
      <c r="AB30" s="101">
        <f>IFERROR(__xludf.DUMMYFUNCTION("IFERROR(IF(Match(L30,IMPORTRANGE(""https://docs.google.com/spreadsheets/d/1n1sT_Q_W3mKmn2Yrd8qcNzuRD4zr4DB9gqARnjQ30B4/edit?gid=1918970062#gid=1918970062"",""Form Responses 1!B2:B49""),0),1), 0)"),0.0)</f>
        <v>0</v>
      </c>
      <c r="AC30" s="101">
        <f t="shared" si="12"/>
        <v>1</v>
      </c>
      <c r="AD30" s="100">
        <v>0.0</v>
      </c>
      <c r="AE30" s="101">
        <f>IFERROR(__xludf.DUMMYFUNCTION("IFERROR(IF(Match(L30,IMPORTRANGE(""https://docs.google.com/spreadsheets/d/1hvckjcCpxEuDQDPrBMml_I1kBhYyjrgR8qBKC9QGVUc/edit?resourcekey=&amp;gid=230793720#gid=230793720"",""Form Responses 1!B2:B199""),0),1), 0)"),0.0)</f>
        <v>0</v>
      </c>
      <c r="AF30" s="75">
        <f>IFERROR(__xludf.DUMMYFUNCTION("IFERROR(IF(Match(L30,IMPORTRANGE(""https://docs.google.com/spreadsheets/d/1UY0hI2S83Fmafa5P-C1LM9yqe4v4qIKTnVy_CzLzRPs/edit?resourcekey=&amp;gid=1583835601#gid=1583835601"",""Form Responses 1!B2:B194""),0),1), 0)"),0.0)</f>
        <v>0</v>
      </c>
      <c r="AG30" s="75">
        <f>IFERROR(__xludf.DUMMYFUNCTION("IFERROR(IF(Match(L30,IMPORTRANGE(""https://docs.google.com/spreadsheets/d/1hO4mQ22n6cudUygJ2ss_JeJdm2Ua_7hJl_79lWWEtic/edit?resourcekey=&amp;gid=2087212010#gid=2087212010"",""Form Responses 1!B2:B104""),0),1), 0)"),0.0)</f>
        <v>0</v>
      </c>
      <c r="AH30" s="75">
        <f>IFERROR(__xludf.DUMMYFUNCTION("IFERROR(IF(Match(L30,IMPORTRANGE(""https://docs.google.com/spreadsheets/d/1HbfCXhSXbtTODKKY1MOFwJccyhgDKD0J9sO1k5l_6lM/edit?resourcekey=&amp;gid=1616384832#gid=1616384832"",""Form Responses 1!E2:E143""),0),1), 0)"),0.0)</f>
        <v>0</v>
      </c>
    </row>
    <row r="31" ht="22.5" customHeight="1">
      <c r="A31" s="102">
        <v>45917.6619859375</v>
      </c>
      <c r="B31" s="103" t="s">
        <v>86</v>
      </c>
      <c r="C31" s="103" t="s">
        <v>530</v>
      </c>
      <c r="D31" s="103" t="s">
        <v>531</v>
      </c>
      <c r="E31" s="103" t="s">
        <v>494</v>
      </c>
      <c r="F31" s="103" t="s">
        <v>436</v>
      </c>
      <c r="G31" s="103" t="s">
        <v>532</v>
      </c>
      <c r="H31" s="103" t="s">
        <v>533</v>
      </c>
      <c r="I31" s="96"/>
      <c r="J31" s="7"/>
      <c r="K31" s="7" t="s">
        <v>78</v>
      </c>
      <c r="L31" s="7" t="s">
        <v>79</v>
      </c>
      <c r="M31" s="7" t="s">
        <v>71</v>
      </c>
      <c r="N31" s="8" t="s">
        <v>24</v>
      </c>
      <c r="O31" s="7" t="s">
        <v>29</v>
      </c>
      <c r="P31" s="38">
        <v>6.0</v>
      </c>
      <c r="Q31" s="7" t="s">
        <v>534</v>
      </c>
      <c r="R31" s="97">
        <f t="shared" si="23"/>
        <v>1</v>
      </c>
      <c r="S31" s="97">
        <f t="shared" si="17"/>
        <v>0</v>
      </c>
      <c r="T31" s="98">
        <f t="shared" si="21"/>
        <v>0</v>
      </c>
      <c r="U31" s="99">
        <f>IFERROR(__xludf.DUMMYFUNCTION("IFERROR(IF(Match(L31,IMPORTRANGE(""https://docs.google.com/spreadsheets/d/1CAXKDiOnZb21bZOY_nacH9xI9AiD-nH8ZZQAwYKkVC0/edit?usp=drivesdk"",""Completed Exams!A1:A135""),0),1), 0)"),0.0)</f>
        <v>0</v>
      </c>
      <c r="V31" s="100">
        <f t="shared" si="22"/>
        <v>0</v>
      </c>
      <c r="W31" s="100">
        <v>1.0</v>
      </c>
      <c r="X31" s="101">
        <f t="shared" si="8"/>
        <v>0</v>
      </c>
      <c r="Y31" s="101">
        <f t="shared" si="24"/>
        <v>0</v>
      </c>
      <c r="Z31" s="101">
        <f t="shared" si="10"/>
        <v>0</v>
      </c>
      <c r="AA31" s="101">
        <f t="shared" si="26"/>
        <v>1</v>
      </c>
      <c r="AB31" s="101">
        <f>IFERROR(__xludf.DUMMYFUNCTION("IFERROR(IF(Match(L31,IMPORTRANGE(""https://docs.google.com/spreadsheets/d/1n1sT_Q_W3mKmn2Yrd8qcNzuRD4zr4DB9gqARnjQ30B4/edit?gid=1918970062#gid=1918970062"",""Form Responses 1!B2:B49""),0),1), 0)"),0.0)</f>
        <v>0</v>
      </c>
      <c r="AC31" s="101">
        <f t="shared" si="12"/>
        <v>1</v>
      </c>
      <c r="AD31" s="100">
        <v>0.0</v>
      </c>
      <c r="AE31" s="101">
        <f>IFERROR(__xludf.DUMMYFUNCTION("IFERROR(IF(Match(L31,IMPORTRANGE(""https://docs.google.com/spreadsheets/d/1hvckjcCpxEuDQDPrBMml_I1kBhYyjrgR8qBKC9QGVUc/edit?resourcekey=&amp;gid=230793720#gid=230793720"",""Form Responses 1!B2:B199""),0),1), 0)"),0.0)</f>
        <v>0</v>
      </c>
      <c r="AF31" s="75">
        <f>IFERROR(__xludf.DUMMYFUNCTION("IFERROR(IF(Match(L31,IMPORTRANGE(""https://docs.google.com/spreadsheets/d/1UY0hI2S83Fmafa5P-C1LM9yqe4v4qIKTnVy_CzLzRPs/edit?resourcekey=&amp;gid=1583835601#gid=1583835601"",""Form Responses 1!B2:B194""),0),1), 0)"),0.0)</f>
        <v>0</v>
      </c>
      <c r="AG31" s="75">
        <f>IFERROR(__xludf.DUMMYFUNCTION("IFERROR(IF(Match(L31,IMPORTRANGE(""https://docs.google.com/spreadsheets/d/1hO4mQ22n6cudUygJ2ss_JeJdm2Ua_7hJl_79lWWEtic/edit?resourcekey=&amp;gid=2087212010#gid=2087212010"",""Form Responses 1!B2:B104""),0),1), 0)"),0.0)</f>
        <v>0</v>
      </c>
      <c r="AH31" s="75">
        <f>IFERROR(__xludf.DUMMYFUNCTION("IFERROR(IF(Match(L31,IMPORTRANGE(""https://docs.google.com/spreadsheets/d/1HbfCXhSXbtTODKKY1MOFwJccyhgDKD0J9sO1k5l_6lM/edit?resourcekey=&amp;gid=1616384832#gid=1616384832"",""Form Responses 1!E2:E143""),0),1), 0)"),0.0)</f>
        <v>0</v>
      </c>
    </row>
    <row r="32" ht="22.5" customHeight="1">
      <c r="A32" s="102">
        <v>45917.66200561343</v>
      </c>
      <c r="B32" s="103" t="s">
        <v>53</v>
      </c>
      <c r="C32" s="103" t="s">
        <v>535</v>
      </c>
      <c r="D32" s="103" t="s">
        <v>536</v>
      </c>
      <c r="E32" s="103" t="s">
        <v>494</v>
      </c>
      <c r="F32" s="103" t="s">
        <v>436</v>
      </c>
      <c r="G32" s="103" t="s">
        <v>537</v>
      </c>
      <c r="H32" s="103" t="s">
        <v>538</v>
      </c>
      <c r="I32" s="96"/>
      <c r="J32" s="7"/>
      <c r="K32" s="71" t="s">
        <v>80</v>
      </c>
      <c r="L32" s="71" t="s">
        <v>81</v>
      </c>
      <c r="M32" s="110" t="s">
        <v>71</v>
      </c>
      <c r="N32" s="111" t="s">
        <v>28</v>
      </c>
      <c r="O32" s="71" t="s">
        <v>29</v>
      </c>
      <c r="P32" s="112">
        <v>6.0</v>
      </c>
      <c r="Q32" s="113" t="s">
        <v>539</v>
      </c>
      <c r="R32" s="97">
        <f t="shared" si="23"/>
        <v>1</v>
      </c>
      <c r="S32" s="97">
        <f t="shared" si="17"/>
        <v>1</v>
      </c>
      <c r="T32" s="98">
        <f t="shared" si="21"/>
        <v>1</v>
      </c>
      <c r="U32" s="99">
        <f>IFERROR(__xludf.DUMMYFUNCTION("IFERROR(IF(Match(L32,IMPORTRANGE(""https://docs.google.com/spreadsheets/d/1CAXKDiOnZb21bZOY_nacH9xI9AiD-nH8ZZQAwYKkVC0/edit?usp=drivesdk"",""Completed Exams!A1:A135""),0),1), 0)"),0.0)</f>
        <v>0</v>
      </c>
      <c r="V32" s="100">
        <f t="shared" si="22"/>
        <v>1</v>
      </c>
      <c r="W32" s="100">
        <f>IF(COUNTIF(B$535:B$602,L32)=0,0,1)</f>
        <v>1</v>
      </c>
      <c r="X32" s="101">
        <f t="shared" si="8"/>
        <v>1</v>
      </c>
      <c r="Y32" s="101">
        <f t="shared" si="24"/>
        <v>0</v>
      </c>
      <c r="Z32" s="101">
        <f t="shared" si="10"/>
        <v>0</v>
      </c>
      <c r="AA32" s="101">
        <f t="shared" si="26"/>
        <v>1</v>
      </c>
      <c r="AB32" s="101">
        <f>IFERROR(__xludf.DUMMYFUNCTION("IFERROR(IF(Match(L32,IMPORTRANGE(""https://docs.google.com/spreadsheets/d/1n1sT_Q_W3mKmn2Yrd8qcNzuRD4zr4DB9gqARnjQ30B4/edit?gid=1918970062#gid=1918970062"",""Form Responses 1!B2:B49""),0),1), 0)"),0.0)</f>
        <v>0</v>
      </c>
      <c r="AC32" s="101">
        <f t="shared" si="12"/>
        <v>0</v>
      </c>
      <c r="AD32" s="100">
        <v>0.0</v>
      </c>
      <c r="AE32" s="101">
        <f>IFERROR(__xludf.DUMMYFUNCTION("IFERROR(IF(Match(L32,IMPORTRANGE(""https://docs.google.com/spreadsheets/d/1hvckjcCpxEuDQDPrBMml_I1kBhYyjrgR8qBKC9QGVUc/edit?resourcekey=&amp;gid=230793720#gid=230793720"",""Form Responses 1!B2:B199""),0),1), 0)"),0.0)</f>
        <v>0</v>
      </c>
      <c r="AF32" s="75">
        <f>IFERROR(__xludf.DUMMYFUNCTION("IFERROR(IF(Match(L32,IMPORTRANGE(""https://docs.google.com/spreadsheets/d/1UY0hI2S83Fmafa5P-C1LM9yqe4v4qIKTnVy_CzLzRPs/edit?resourcekey=&amp;gid=1583835601#gid=1583835601"",""Form Responses 1!B2:B194""),0),1), 0)"),0.0)</f>
        <v>0</v>
      </c>
      <c r="AG32" s="75">
        <f>IFERROR(__xludf.DUMMYFUNCTION("IFERROR(IF(Match(L32,IMPORTRANGE(""https://docs.google.com/spreadsheets/d/1hO4mQ22n6cudUygJ2ss_JeJdm2Ua_7hJl_79lWWEtic/edit?resourcekey=&amp;gid=2087212010#gid=2087212010"",""Form Responses 1!B2:B104""),0),1), 0)"),0.0)</f>
        <v>0</v>
      </c>
      <c r="AH32" s="75">
        <f>IFERROR(__xludf.DUMMYFUNCTION("IFERROR(IF(Match(L32,IMPORTRANGE(""https://docs.google.com/spreadsheets/d/1HbfCXhSXbtTODKKY1MOFwJccyhgDKD0J9sO1k5l_6lM/edit?resourcekey=&amp;gid=1616384832#gid=1616384832"",""Form Responses 1!E2:E143""),0),1), 0)"),0.0)</f>
        <v>0</v>
      </c>
    </row>
    <row r="33" ht="22.5" customHeight="1">
      <c r="A33" s="102">
        <v>45917.66202671296</v>
      </c>
      <c r="B33" s="103" t="s">
        <v>158</v>
      </c>
      <c r="C33" s="103" t="s">
        <v>540</v>
      </c>
      <c r="D33" s="103" t="s">
        <v>541</v>
      </c>
      <c r="E33" s="103" t="s">
        <v>494</v>
      </c>
      <c r="F33" s="103" t="s">
        <v>436</v>
      </c>
      <c r="G33" s="103" t="s">
        <v>542</v>
      </c>
      <c r="H33" s="103" t="s">
        <v>496</v>
      </c>
      <c r="I33" s="96"/>
      <c r="J33" s="7"/>
      <c r="K33" s="7" t="s">
        <v>82</v>
      </c>
      <c r="L33" s="7" t="s">
        <v>83</v>
      </c>
      <c r="M33" s="7" t="s">
        <v>84</v>
      </c>
      <c r="N33" s="8" t="s">
        <v>11</v>
      </c>
      <c r="O33" s="7" t="s">
        <v>12</v>
      </c>
      <c r="P33" s="47">
        <v>7.0</v>
      </c>
      <c r="Q33" s="7" t="s">
        <v>543</v>
      </c>
      <c r="R33" s="97">
        <f t="shared" si="23"/>
        <v>1</v>
      </c>
      <c r="S33" s="104">
        <v>0.5</v>
      </c>
      <c r="T33" s="98">
        <f t="shared" si="21"/>
        <v>1</v>
      </c>
      <c r="U33" s="99">
        <f>IFERROR(__xludf.DUMMYFUNCTION("IFERROR(IF(Match(L33,IMPORTRANGE(""https://docs.google.com/spreadsheets/d/1CAXKDiOnZb21bZOY_nacH9xI9AiD-nH8ZZQAwYKkVC0/edit?usp=drivesdk"",""Completed Exams!A1:A135""),0),1), 0)"),0.0)</f>
        <v>0</v>
      </c>
      <c r="V33" s="100">
        <v>0.5</v>
      </c>
      <c r="W33" s="100">
        <v>1.0</v>
      </c>
      <c r="X33" s="100">
        <v>0.5</v>
      </c>
      <c r="Y33" s="100">
        <v>1.0</v>
      </c>
      <c r="Z33" s="100">
        <v>1.0</v>
      </c>
      <c r="AA33" s="101">
        <f t="shared" si="26"/>
        <v>1</v>
      </c>
      <c r="AB33" s="101">
        <f>IFERROR(__xludf.DUMMYFUNCTION("IFERROR(IF(Match(L33,IMPORTRANGE(""https://docs.google.com/spreadsheets/d/1n1sT_Q_W3mKmn2Yrd8qcNzuRD4zr4DB9gqARnjQ30B4/edit?gid=1918970062#gid=1918970062"",""Form Responses 1!B2:B49""),0),1), 0)"),0.0)</f>
        <v>0</v>
      </c>
      <c r="AC33" s="101">
        <f t="shared" si="12"/>
        <v>1</v>
      </c>
      <c r="AD33" s="100">
        <v>0.0</v>
      </c>
      <c r="AE33" s="101">
        <f>IFERROR(__xludf.DUMMYFUNCTION("IFERROR(IF(Match(L33,IMPORTRANGE(""https://docs.google.com/spreadsheets/d/1hvckjcCpxEuDQDPrBMml_I1kBhYyjrgR8qBKC9QGVUc/edit?resourcekey=&amp;gid=230793720#gid=230793720"",""Form Responses 1!B2:B199""),0),1), 0)"),0.0)</f>
        <v>0</v>
      </c>
      <c r="AF33" s="75">
        <f>IFERROR(__xludf.DUMMYFUNCTION("IFERROR(IF(Match(L33,IMPORTRANGE(""https://docs.google.com/spreadsheets/d/1UY0hI2S83Fmafa5P-C1LM9yqe4v4qIKTnVy_CzLzRPs/edit?resourcekey=&amp;gid=1583835601#gid=1583835601"",""Form Responses 1!B2:B194""),0),1), 0)"),0.0)</f>
        <v>0</v>
      </c>
      <c r="AG33" s="75">
        <f>IFERROR(__xludf.DUMMYFUNCTION("IFERROR(IF(Match(L33,IMPORTRANGE(""https://docs.google.com/spreadsheets/d/1hO4mQ22n6cudUygJ2ss_JeJdm2Ua_7hJl_79lWWEtic/edit?resourcekey=&amp;gid=2087212010#gid=2087212010"",""Form Responses 1!B2:B104""),0),1), 0)"),0.0)</f>
        <v>0</v>
      </c>
      <c r="AH33" s="75">
        <f>IFERROR(__xludf.DUMMYFUNCTION("IFERROR(IF(Match(L33,IMPORTRANGE(""https://docs.google.com/spreadsheets/d/1HbfCXhSXbtTODKKY1MOFwJccyhgDKD0J9sO1k5l_6lM/edit?resourcekey=&amp;gid=1616384832#gid=1616384832"",""Form Responses 1!E2:E143""),0),1), 0)"),0.0)</f>
        <v>0</v>
      </c>
    </row>
    <row r="34" ht="22.5" customHeight="1">
      <c r="A34" s="102">
        <v>45917.66203597222</v>
      </c>
      <c r="B34" s="103" t="s">
        <v>356</v>
      </c>
      <c r="C34" s="103" t="s">
        <v>544</v>
      </c>
      <c r="D34" s="103" t="s">
        <v>545</v>
      </c>
      <c r="E34" s="103" t="s">
        <v>494</v>
      </c>
      <c r="F34" s="103" t="s">
        <v>436</v>
      </c>
      <c r="G34" s="103" t="s">
        <v>495</v>
      </c>
      <c r="H34" s="103" t="s">
        <v>520</v>
      </c>
      <c r="I34" s="96"/>
      <c r="J34" s="7"/>
      <c r="K34" s="7" t="s">
        <v>85</v>
      </c>
      <c r="L34" s="7" t="s">
        <v>86</v>
      </c>
      <c r="M34" s="7" t="s">
        <v>84</v>
      </c>
      <c r="N34" s="8" t="s">
        <v>11</v>
      </c>
      <c r="O34" s="7" t="s">
        <v>12</v>
      </c>
      <c r="P34" s="47">
        <v>7.0</v>
      </c>
      <c r="Q34" s="7" t="s">
        <v>543</v>
      </c>
      <c r="R34" s="97">
        <f t="shared" si="23"/>
        <v>1</v>
      </c>
      <c r="S34" s="104">
        <v>1.0</v>
      </c>
      <c r="T34" s="98">
        <v>0.5</v>
      </c>
      <c r="U34" s="98">
        <v>0.5</v>
      </c>
      <c r="V34" s="100">
        <f t="shared" ref="V34:V70" si="27">IF(COUNTIF(B$416:B$535,L34)=0,0,1)</f>
        <v>0</v>
      </c>
      <c r="W34" s="100">
        <v>1.0</v>
      </c>
      <c r="X34" s="100">
        <v>1.0</v>
      </c>
      <c r="Y34" s="101">
        <f>IF(COUNTIF(B$725:B$844,L34)=0,0,1)</f>
        <v>0</v>
      </c>
      <c r="Z34" s="101">
        <f t="shared" ref="Z34:Z35" si="28">IF(COUNTIF(B$845:B$969,L34)=0,0,1)</f>
        <v>1</v>
      </c>
      <c r="AA34" s="101">
        <f t="shared" si="26"/>
        <v>1</v>
      </c>
      <c r="AB34" s="100">
        <v>1.0</v>
      </c>
      <c r="AC34" s="101">
        <f t="shared" si="12"/>
        <v>1</v>
      </c>
      <c r="AD34" s="100">
        <v>0.0</v>
      </c>
      <c r="AE34" s="101">
        <f>IFERROR(__xludf.DUMMYFUNCTION("IFERROR(IF(Match(L34,IMPORTRANGE(""https://docs.google.com/spreadsheets/d/1hvckjcCpxEuDQDPrBMml_I1kBhYyjrgR8qBKC9QGVUc/edit?resourcekey=&amp;gid=230793720#gid=230793720"",""Form Responses 1!B2:B199""),0),1), 0)"),0.0)</f>
        <v>0</v>
      </c>
      <c r="AF34" s="75">
        <f>IFERROR(__xludf.DUMMYFUNCTION("IFERROR(IF(Match(L34,IMPORTRANGE(""https://docs.google.com/spreadsheets/d/1UY0hI2S83Fmafa5P-C1LM9yqe4v4qIKTnVy_CzLzRPs/edit?resourcekey=&amp;gid=1583835601#gid=1583835601"",""Form Responses 1!B2:B194""),0),1), 0)"),0.0)</f>
        <v>0</v>
      </c>
      <c r="AG34" s="75">
        <f>IFERROR(__xludf.DUMMYFUNCTION("IFERROR(IF(Match(L34,IMPORTRANGE(""https://docs.google.com/spreadsheets/d/1hO4mQ22n6cudUygJ2ss_JeJdm2Ua_7hJl_79lWWEtic/edit?resourcekey=&amp;gid=2087212010#gid=2087212010"",""Form Responses 1!B2:B104""),0),1), 0)"),0.0)</f>
        <v>0</v>
      </c>
      <c r="AH34" s="75">
        <f>IFERROR(__xludf.DUMMYFUNCTION("IFERROR(IF(Match(L34,IMPORTRANGE(""https://docs.google.com/spreadsheets/d/1HbfCXhSXbtTODKKY1MOFwJccyhgDKD0J9sO1k5l_6lM/edit?resourcekey=&amp;gid=1616384832#gid=1616384832"",""Form Responses 1!E2:E143""),0),1), 0)"),0.0)</f>
        <v>0</v>
      </c>
    </row>
    <row r="35" ht="22.5" customHeight="1">
      <c r="A35" s="102">
        <v>45917.66203688657</v>
      </c>
      <c r="B35" s="103" t="s">
        <v>154</v>
      </c>
      <c r="C35" s="103" t="s">
        <v>546</v>
      </c>
      <c r="D35" s="103" t="s">
        <v>435</v>
      </c>
      <c r="E35" s="103" t="s">
        <v>494</v>
      </c>
      <c r="F35" s="103" t="s">
        <v>436</v>
      </c>
      <c r="G35" s="103" t="s">
        <v>148</v>
      </c>
      <c r="H35" s="103" t="s">
        <v>496</v>
      </c>
      <c r="I35" s="96"/>
      <c r="J35" s="7"/>
      <c r="K35" s="7" t="s">
        <v>87</v>
      </c>
      <c r="L35" s="7" t="s">
        <v>88</v>
      </c>
      <c r="M35" s="7" t="s">
        <v>84</v>
      </c>
      <c r="N35" s="8" t="s">
        <v>11</v>
      </c>
      <c r="O35" s="7" t="s">
        <v>12</v>
      </c>
      <c r="P35" s="47">
        <v>7.0</v>
      </c>
      <c r="Q35" s="7" t="s">
        <v>543</v>
      </c>
      <c r="R35" s="97">
        <f t="shared" si="23"/>
        <v>1</v>
      </c>
      <c r="S35" s="104">
        <v>0.5</v>
      </c>
      <c r="T35" s="98">
        <f>IF(COUNTIF(B$275:B$401,L35)=0,0,1)</f>
        <v>1</v>
      </c>
      <c r="U35" s="99">
        <f>IFERROR(__xludf.DUMMYFUNCTION("IFERROR(IF(Match(L35,IMPORTRANGE(""https://docs.google.com/spreadsheets/d/1CAXKDiOnZb21bZOY_nacH9xI9AiD-nH8ZZQAwYKkVC0/edit?usp=drivesdk"",""Completed Exams!A1:A135""),0),1), 0)"),0.0)</f>
        <v>0</v>
      </c>
      <c r="V35" s="100">
        <f t="shared" si="27"/>
        <v>0</v>
      </c>
      <c r="W35" s="100">
        <v>1.0</v>
      </c>
      <c r="X35" s="101">
        <f t="shared" ref="X35:X62" si="29">IF(COUNTIF(B$603:B$725,L35)=0,0,1)</f>
        <v>1</v>
      </c>
      <c r="Y35" s="100">
        <v>0.5</v>
      </c>
      <c r="Z35" s="101">
        <f t="shared" si="28"/>
        <v>1</v>
      </c>
      <c r="AA35" s="101">
        <f t="shared" si="26"/>
        <v>1</v>
      </c>
      <c r="AB35" s="101">
        <f>IFERROR(__xludf.DUMMYFUNCTION("IFERROR(IF(Match(L35,IMPORTRANGE(""https://docs.google.com/spreadsheets/d/1n1sT_Q_W3mKmn2Yrd8qcNzuRD4zr4DB9gqARnjQ30B4/edit?gid=1918970062#gid=1918970062"",""Form Responses 1!B2:B49""),0),1), 0)"),0.0)</f>
        <v>0</v>
      </c>
      <c r="AC35" s="101">
        <f t="shared" si="12"/>
        <v>1</v>
      </c>
      <c r="AD35" s="100">
        <v>0.0</v>
      </c>
      <c r="AE35" s="100">
        <v>0.5</v>
      </c>
      <c r="AF35" s="75">
        <f>IFERROR(__xludf.DUMMYFUNCTION("IFERROR(IF(Match(L35,IMPORTRANGE(""https://docs.google.com/spreadsheets/d/1UY0hI2S83Fmafa5P-C1LM9yqe4v4qIKTnVy_CzLzRPs/edit?resourcekey=&amp;gid=1583835601#gid=1583835601"",""Form Responses 1!B2:B194""),0),1), 0)"),0.0)</f>
        <v>0</v>
      </c>
      <c r="AG35" s="10">
        <v>0.5</v>
      </c>
      <c r="AH35" s="75">
        <f>IFERROR(__xludf.DUMMYFUNCTION("IFERROR(IF(Match(L35,IMPORTRANGE(""https://docs.google.com/spreadsheets/d/1HbfCXhSXbtTODKKY1MOFwJccyhgDKD0J9sO1k5l_6lM/edit?resourcekey=&amp;gid=1616384832#gid=1616384832"",""Form Responses 1!E2:E143""),0),1), 0)"),0.0)</f>
        <v>0</v>
      </c>
      <c r="AI35" s="14"/>
      <c r="AJ35" s="14"/>
      <c r="AK35" s="14"/>
      <c r="AL35" s="14"/>
    </row>
    <row r="36" ht="22.5" customHeight="1">
      <c r="A36" s="102">
        <v>45917.662039097224</v>
      </c>
      <c r="B36" s="103" t="s">
        <v>59</v>
      </c>
      <c r="C36" s="103" t="s">
        <v>547</v>
      </c>
      <c r="D36" s="103" t="s">
        <v>548</v>
      </c>
      <c r="E36" s="103" t="s">
        <v>494</v>
      </c>
      <c r="F36" s="103" t="s">
        <v>436</v>
      </c>
      <c r="G36" s="103" t="s">
        <v>49</v>
      </c>
      <c r="H36" s="103" t="s">
        <v>496</v>
      </c>
      <c r="I36" s="96"/>
      <c r="J36" s="7"/>
      <c r="K36" s="7" t="s">
        <v>89</v>
      </c>
      <c r="L36" s="7" t="s">
        <v>90</v>
      </c>
      <c r="M36" s="7" t="s">
        <v>84</v>
      </c>
      <c r="N36" s="8" t="s">
        <v>28</v>
      </c>
      <c r="O36" s="7" t="s">
        <v>29</v>
      </c>
      <c r="P36" s="47">
        <v>7.0</v>
      </c>
      <c r="Q36" s="7" t="s">
        <v>464</v>
      </c>
      <c r="R36" s="97">
        <f t="shared" si="23"/>
        <v>1</v>
      </c>
      <c r="S36" s="97">
        <f t="shared" ref="S36:S48" si="30">IF(COUNTIF(B$150:B$274,L36)=0,0,1)</f>
        <v>1</v>
      </c>
      <c r="T36" s="98">
        <v>0.5</v>
      </c>
      <c r="U36" s="99">
        <f>IFERROR(__xludf.DUMMYFUNCTION("IFERROR(IF(Match(L36,IMPORTRANGE(""https://docs.google.com/spreadsheets/d/1CAXKDiOnZb21bZOY_nacH9xI9AiD-nH8ZZQAwYKkVC0/edit?usp=drivesdk"",""Completed Exams!A1:A135""),0),1), 0)"),0.0)</f>
        <v>0</v>
      </c>
      <c r="V36" s="100">
        <f t="shared" si="27"/>
        <v>1</v>
      </c>
      <c r="W36" s="100">
        <v>1.0</v>
      </c>
      <c r="X36" s="101">
        <f t="shared" si="29"/>
        <v>1</v>
      </c>
      <c r="Y36" s="101">
        <f t="shared" ref="Y36:Y47" si="31">IF(COUNTIF(B$725:B$844,L36)=0,0,1)</f>
        <v>0</v>
      </c>
      <c r="Z36" s="100">
        <v>0.5</v>
      </c>
      <c r="AA36" s="101">
        <f t="shared" si="26"/>
        <v>1</v>
      </c>
      <c r="AB36" s="100">
        <v>1.0</v>
      </c>
      <c r="AC36" s="101">
        <f t="shared" si="12"/>
        <v>1</v>
      </c>
      <c r="AD36" s="100">
        <v>0.0</v>
      </c>
      <c r="AE36" s="101">
        <f>IFERROR(__xludf.DUMMYFUNCTION("IFERROR(IF(Match(L36,IMPORTRANGE(""https://docs.google.com/spreadsheets/d/1hvckjcCpxEuDQDPrBMml_I1kBhYyjrgR8qBKC9QGVUc/edit?resourcekey=&amp;gid=230793720#gid=230793720"",""Form Responses 1!B2:B199""),0),1), 0)"),0.0)</f>
        <v>0</v>
      </c>
      <c r="AF36" s="75">
        <f>IFERROR(__xludf.DUMMYFUNCTION("IFERROR(IF(Match(L36,IMPORTRANGE(""https://docs.google.com/spreadsheets/d/1UY0hI2S83Fmafa5P-C1LM9yqe4v4qIKTnVy_CzLzRPs/edit?resourcekey=&amp;gid=1583835601#gid=1583835601"",""Form Responses 1!B2:B194""),0),1), 0)"),0.0)</f>
        <v>0</v>
      </c>
      <c r="AG36" s="75">
        <f>IFERROR(__xludf.DUMMYFUNCTION("IFERROR(IF(Match(L36,IMPORTRANGE(""https://docs.google.com/spreadsheets/d/1hO4mQ22n6cudUygJ2ss_JeJdm2Ua_7hJl_79lWWEtic/edit?resourcekey=&amp;gid=2087212010#gid=2087212010"",""Form Responses 1!B2:B104""),0),1), 0)"),0.0)</f>
        <v>0</v>
      </c>
      <c r="AH36" s="75">
        <f>IFERROR(__xludf.DUMMYFUNCTION("IFERROR(IF(Match(L36,IMPORTRANGE(""https://docs.google.com/spreadsheets/d/1HbfCXhSXbtTODKKY1MOFwJccyhgDKD0J9sO1k5l_6lM/edit?resourcekey=&amp;gid=1616384832#gid=1616384832"",""Form Responses 1!E2:E143""),0),1), 0)"),0.0)</f>
        <v>0</v>
      </c>
    </row>
    <row r="37" ht="22.5" customHeight="1">
      <c r="A37" s="102">
        <v>45917.662048067126</v>
      </c>
      <c r="B37" s="103" t="s">
        <v>193</v>
      </c>
      <c r="C37" s="103" t="s">
        <v>549</v>
      </c>
      <c r="D37" s="103" t="s">
        <v>550</v>
      </c>
      <c r="E37" s="103" t="s">
        <v>494</v>
      </c>
      <c r="F37" s="103" t="s">
        <v>436</v>
      </c>
      <c r="G37" s="103" t="s">
        <v>551</v>
      </c>
      <c r="H37" s="103" t="s">
        <v>552</v>
      </c>
      <c r="I37" s="96"/>
      <c r="J37" s="7"/>
      <c r="K37" s="7" t="s">
        <v>91</v>
      </c>
      <c r="L37" s="7" t="s">
        <v>92</v>
      </c>
      <c r="M37" s="7" t="s">
        <v>84</v>
      </c>
      <c r="N37" s="8" t="s">
        <v>24</v>
      </c>
      <c r="O37" s="7" t="s">
        <v>93</v>
      </c>
      <c r="P37" s="47">
        <v>7.0</v>
      </c>
      <c r="Q37" s="7" t="s">
        <v>464</v>
      </c>
      <c r="R37" s="97">
        <f t="shared" si="23"/>
        <v>0</v>
      </c>
      <c r="S37" s="97">
        <f t="shared" si="30"/>
        <v>1</v>
      </c>
      <c r="T37" s="98">
        <f t="shared" ref="T37:T72" si="32">IF(COUNTIF(B$275:B$401,L37)=0,0,1)</f>
        <v>0</v>
      </c>
      <c r="U37" s="99">
        <f>IFERROR(__xludf.DUMMYFUNCTION("IFERROR(IF(Match(L37,IMPORTRANGE(""https://docs.google.com/spreadsheets/d/1CAXKDiOnZb21bZOY_nacH9xI9AiD-nH8ZZQAwYKkVC0/edit?usp=drivesdk"",""Completed Exams!A1:A135""),0),1), 0)"),0.0)</f>
        <v>0</v>
      </c>
      <c r="V37" s="100">
        <f t="shared" si="27"/>
        <v>0</v>
      </c>
      <c r="W37" s="100">
        <f t="shared" ref="W37:W44" si="33">IF(COUNTIF(B$535:B$602,L37)=0,0,1)</f>
        <v>0</v>
      </c>
      <c r="X37" s="101">
        <f t="shared" si="29"/>
        <v>0</v>
      </c>
      <c r="Y37" s="101">
        <f t="shared" si="31"/>
        <v>1</v>
      </c>
      <c r="Z37" s="101">
        <f t="shared" ref="Z37:Z38" si="34">IF(COUNTIF(B$845:B$969,L37)=0,0,1)</f>
        <v>0</v>
      </c>
      <c r="AA37" s="100">
        <v>0.5</v>
      </c>
      <c r="AB37" s="101">
        <f>IFERROR(__xludf.DUMMYFUNCTION("IFERROR(IF(Match(L37,IMPORTRANGE(""https://docs.google.com/spreadsheets/d/1n1sT_Q_W3mKmn2Yrd8qcNzuRD4zr4DB9gqARnjQ30B4/edit?gid=1918970062#gid=1918970062"",""Form Responses 1!B2:B49""),0),1), 0)"),0.0)</f>
        <v>0</v>
      </c>
      <c r="AC37" s="101">
        <f t="shared" si="12"/>
        <v>0</v>
      </c>
      <c r="AD37" s="100">
        <v>1.0</v>
      </c>
      <c r="AE37" s="101">
        <f>IFERROR(__xludf.DUMMYFUNCTION("IFERROR(IF(Match(L37,IMPORTRANGE(""https://docs.google.com/spreadsheets/d/1hvckjcCpxEuDQDPrBMml_I1kBhYyjrgR8qBKC9QGVUc/edit?resourcekey=&amp;gid=230793720#gid=230793720"",""Form Responses 1!B2:B199""),0),1), 0)"),0.0)</f>
        <v>0</v>
      </c>
      <c r="AF37" s="75">
        <f>IFERROR(__xludf.DUMMYFUNCTION("IFERROR(IF(Match(L37,IMPORTRANGE(""https://docs.google.com/spreadsheets/d/1UY0hI2S83Fmafa5P-C1LM9yqe4v4qIKTnVy_CzLzRPs/edit?resourcekey=&amp;gid=1583835601#gid=1583835601"",""Form Responses 1!B2:B194""),0),1), 0)"),0.0)</f>
        <v>0</v>
      </c>
      <c r="AG37" s="75">
        <f>IFERROR(__xludf.DUMMYFUNCTION("IFERROR(IF(Match(L37,IMPORTRANGE(""https://docs.google.com/spreadsheets/d/1hO4mQ22n6cudUygJ2ss_JeJdm2Ua_7hJl_79lWWEtic/edit?resourcekey=&amp;gid=2087212010#gid=2087212010"",""Form Responses 1!B2:B104""),0),1), 0)"),0.0)</f>
        <v>0</v>
      </c>
      <c r="AH37" s="75">
        <f>IFERROR(__xludf.DUMMYFUNCTION("IFERROR(IF(Match(L37,IMPORTRANGE(""https://docs.google.com/spreadsheets/d/1HbfCXhSXbtTODKKY1MOFwJccyhgDKD0J9sO1k5l_6lM/edit?resourcekey=&amp;gid=1616384832#gid=1616384832"",""Form Responses 1!E2:E143""),0),1), 0)"),0.0)</f>
        <v>0</v>
      </c>
    </row>
    <row r="38" ht="22.5" customHeight="1">
      <c r="A38" s="102"/>
      <c r="B38" s="103"/>
      <c r="C38" s="103"/>
      <c r="D38" s="103"/>
      <c r="E38" s="103"/>
      <c r="F38" s="103"/>
      <c r="G38" s="103"/>
      <c r="H38" s="103"/>
      <c r="J38" s="7"/>
      <c r="K38" s="114" t="s">
        <v>94</v>
      </c>
      <c r="L38" s="16" t="s">
        <v>95</v>
      </c>
      <c r="M38" s="16" t="s">
        <v>84</v>
      </c>
      <c r="N38" s="17" t="s">
        <v>24</v>
      </c>
      <c r="O38" s="16" t="s">
        <v>93</v>
      </c>
      <c r="P38" s="48">
        <v>7.0</v>
      </c>
      <c r="Q38" s="16" t="s">
        <v>464</v>
      </c>
      <c r="R38" s="97">
        <f t="shared" si="23"/>
        <v>0</v>
      </c>
      <c r="S38" s="97">
        <f t="shared" si="30"/>
        <v>1</v>
      </c>
      <c r="T38" s="98">
        <f t="shared" si="32"/>
        <v>0</v>
      </c>
      <c r="U38" s="99">
        <f>IFERROR(__xludf.DUMMYFUNCTION("IFERROR(IF(Match(L38,IMPORTRANGE(""https://docs.google.com/spreadsheets/d/1CAXKDiOnZb21bZOY_nacH9xI9AiD-nH8ZZQAwYKkVC0/edit?usp=drivesdk"",""Completed Exams!A1:A135""),0),1), 0)"),0.0)</f>
        <v>0</v>
      </c>
      <c r="V38" s="100">
        <f t="shared" si="27"/>
        <v>0</v>
      </c>
      <c r="W38" s="100">
        <f t="shared" si="33"/>
        <v>0</v>
      </c>
      <c r="X38" s="101">
        <f t="shared" si="29"/>
        <v>0</v>
      </c>
      <c r="Y38" s="101">
        <f t="shared" si="31"/>
        <v>1</v>
      </c>
      <c r="Z38" s="101">
        <f t="shared" si="34"/>
        <v>0</v>
      </c>
      <c r="AA38" s="100">
        <v>0.5</v>
      </c>
      <c r="AB38" s="101">
        <f>IFERROR(__xludf.DUMMYFUNCTION("IFERROR(IF(Match(L38,IMPORTRANGE(""https://docs.google.com/spreadsheets/d/1n1sT_Q_W3mKmn2Yrd8qcNzuRD4zr4DB9gqARnjQ30B4/edit?gid=1918970062#gid=1918970062"",""Form Responses 1!B2:B49""),0),1), 0)"),0.0)</f>
        <v>0</v>
      </c>
      <c r="AC38" s="101">
        <f t="shared" si="12"/>
        <v>1</v>
      </c>
      <c r="AD38" s="100">
        <v>1.0</v>
      </c>
      <c r="AE38" s="101">
        <f>IFERROR(__xludf.DUMMYFUNCTION("IFERROR(IF(Match(L38,IMPORTRANGE(""https://docs.google.com/spreadsheets/d/1hvckjcCpxEuDQDPrBMml_I1kBhYyjrgR8qBKC9QGVUc/edit?resourcekey=&amp;gid=230793720#gid=230793720"",""Form Responses 1!B2:B199""),0),1), 0)"),0.0)</f>
        <v>0</v>
      </c>
      <c r="AF38" s="75">
        <f>IFERROR(__xludf.DUMMYFUNCTION("IFERROR(IF(Match(L38,IMPORTRANGE(""https://docs.google.com/spreadsheets/d/1UY0hI2S83Fmafa5P-C1LM9yqe4v4qIKTnVy_CzLzRPs/edit?resourcekey=&amp;gid=1583835601#gid=1583835601"",""Form Responses 1!B2:B194""),0),1), 0)"),0.0)</f>
        <v>0</v>
      </c>
      <c r="AG38" s="75">
        <f>IFERROR(__xludf.DUMMYFUNCTION("IFERROR(IF(Match(L38,IMPORTRANGE(""https://docs.google.com/spreadsheets/d/1hO4mQ22n6cudUygJ2ss_JeJdm2Ua_7hJl_79lWWEtic/edit?resourcekey=&amp;gid=2087212010#gid=2087212010"",""Form Responses 1!B2:B104""),0),1), 0)"),0.0)</f>
        <v>0</v>
      </c>
      <c r="AH38" s="75">
        <f>IFERROR(__xludf.DUMMYFUNCTION("IFERROR(IF(Match(L38,IMPORTRANGE(""https://docs.google.com/spreadsheets/d/1HbfCXhSXbtTODKKY1MOFwJccyhgDKD0J9sO1k5l_6lM/edit?resourcekey=&amp;gid=1616384832#gid=1616384832"",""Form Responses 1!E2:E143""),0),1), 0)"),0.0)</f>
        <v>0</v>
      </c>
    </row>
    <row r="39" ht="22.5" customHeight="1">
      <c r="A39" s="102">
        <v>45917.66205377315</v>
      </c>
      <c r="B39" s="103" t="s">
        <v>57</v>
      </c>
      <c r="C39" s="103" t="s">
        <v>553</v>
      </c>
      <c r="D39" s="103" t="s">
        <v>554</v>
      </c>
      <c r="E39" s="103" t="s">
        <v>494</v>
      </c>
      <c r="F39" s="103" t="s">
        <v>436</v>
      </c>
      <c r="G39" s="103" t="s">
        <v>49</v>
      </c>
      <c r="H39" s="103" t="s">
        <v>520</v>
      </c>
      <c r="I39" s="96"/>
      <c r="J39" s="7"/>
      <c r="K39" s="7" t="s">
        <v>96</v>
      </c>
      <c r="L39" s="7" t="s">
        <v>97</v>
      </c>
      <c r="M39" s="7" t="s">
        <v>98</v>
      </c>
      <c r="N39" s="8" t="s">
        <v>24</v>
      </c>
      <c r="O39" s="7" t="s">
        <v>29</v>
      </c>
      <c r="P39" s="49">
        <v>8.0</v>
      </c>
      <c r="Q39" s="7" t="s">
        <v>456</v>
      </c>
      <c r="R39" s="97">
        <f t="shared" si="23"/>
        <v>1</v>
      </c>
      <c r="S39" s="97">
        <f t="shared" si="30"/>
        <v>1</v>
      </c>
      <c r="T39" s="98">
        <f t="shared" si="32"/>
        <v>0</v>
      </c>
      <c r="U39" s="98">
        <v>1.0</v>
      </c>
      <c r="V39" s="100">
        <f t="shared" si="27"/>
        <v>1</v>
      </c>
      <c r="W39" s="100">
        <f t="shared" si="33"/>
        <v>1</v>
      </c>
      <c r="X39" s="101">
        <f t="shared" si="29"/>
        <v>0</v>
      </c>
      <c r="Y39" s="101">
        <f t="shared" si="31"/>
        <v>0</v>
      </c>
      <c r="Z39" s="100">
        <v>0.5</v>
      </c>
      <c r="AA39" s="101">
        <f t="shared" ref="AA39:AA42" si="35">IF(COUNTIF(B$971:B$1124,L39)=0,0,1)</f>
        <v>1</v>
      </c>
      <c r="AB39" s="101">
        <f>IFERROR(__xludf.DUMMYFUNCTION("IFERROR(IF(Match(L39,IMPORTRANGE(""https://docs.google.com/spreadsheets/d/1n1sT_Q_W3mKmn2Yrd8qcNzuRD4zr4DB9gqARnjQ30B4/edit?gid=1918970062#gid=1918970062"",""Form Responses 1!B2:B49""),0),1), 0)"),0.0)</f>
        <v>0</v>
      </c>
      <c r="AC39" s="101">
        <f t="shared" si="12"/>
        <v>1</v>
      </c>
      <c r="AD39" s="100">
        <v>0.0</v>
      </c>
      <c r="AE39" s="101">
        <f>IFERROR(__xludf.DUMMYFUNCTION("IFERROR(IF(Match(L39,IMPORTRANGE(""https://docs.google.com/spreadsheets/d/1hvckjcCpxEuDQDPrBMml_I1kBhYyjrgR8qBKC9QGVUc/edit?resourcekey=&amp;gid=230793720#gid=230793720"",""Form Responses 1!B2:B199""),0),1), 0)"),0.0)</f>
        <v>0</v>
      </c>
      <c r="AF39" s="75">
        <f>IFERROR(__xludf.DUMMYFUNCTION("IFERROR(IF(Match(L39,IMPORTRANGE(""https://docs.google.com/spreadsheets/d/1UY0hI2S83Fmafa5P-C1LM9yqe4v4qIKTnVy_CzLzRPs/edit?resourcekey=&amp;gid=1583835601#gid=1583835601"",""Form Responses 1!B2:B194""),0),1), 0)"),0.0)</f>
        <v>0</v>
      </c>
      <c r="AG39" s="75">
        <f>IFERROR(__xludf.DUMMYFUNCTION("IFERROR(IF(Match(L39,IMPORTRANGE(""https://docs.google.com/spreadsheets/d/1hO4mQ22n6cudUygJ2ss_JeJdm2Ua_7hJl_79lWWEtic/edit?resourcekey=&amp;gid=2087212010#gid=2087212010"",""Form Responses 1!B2:B104""),0),1), 0)"),0.0)</f>
        <v>0</v>
      </c>
      <c r="AH39" s="75">
        <f>IFERROR(__xludf.DUMMYFUNCTION("IFERROR(IF(Match(L39,IMPORTRANGE(""https://docs.google.com/spreadsheets/d/1HbfCXhSXbtTODKKY1MOFwJccyhgDKD0J9sO1k5l_6lM/edit?resourcekey=&amp;gid=1616384832#gid=1616384832"",""Form Responses 1!E2:E143""),0),1), 0)"),0.0)</f>
        <v>0</v>
      </c>
    </row>
    <row r="40" ht="22.5" customHeight="1">
      <c r="A40" s="102">
        <v>45917.662056076384</v>
      </c>
      <c r="B40" s="103" t="s">
        <v>352</v>
      </c>
      <c r="C40" s="103" t="s">
        <v>555</v>
      </c>
      <c r="D40" s="103" t="s">
        <v>556</v>
      </c>
      <c r="E40" s="103" t="s">
        <v>494</v>
      </c>
      <c r="F40" s="103" t="s">
        <v>436</v>
      </c>
      <c r="G40" s="103" t="s">
        <v>495</v>
      </c>
      <c r="H40" s="103" t="s">
        <v>520</v>
      </c>
      <c r="I40" s="96"/>
      <c r="J40" s="7"/>
      <c r="K40" s="7" t="s">
        <v>99</v>
      </c>
      <c r="L40" s="7" t="s">
        <v>100</v>
      </c>
      <c r="M40" s="7" t="s">
        <v>98</v>
      </c>
      <c r="N40" s="8" t="s">
        <v>24</v>
      </c>
      <c r="O40" s="7" t="s">
        <v>29</v>
      </c>
      <c r="P40" s="49">
        <v>8.0</v>
      </c>
      <c r="Q40" s="7" t="s">
        <v>456</v>
      </c>
      <c r="R40" s="97">
        <f t="shared" si="23"/>
        <v>0</v>
      </c>
      <c r="S40" s="97">
        <f t="shared" si="30"/>
        <v>0</v>
      </c>
      <c r="T40" s="98">
        <f t="shared" si="32"/>
        <v>0</v>
      </c>
      <c r="U40" s="98">
        <v>1.0</v>
      </c>
      <c r="V40" s="100">
        <f t="shared" si="27"/>
        <v>1</v>
      </c>
      <c r="W40" s="100">
        <f t="shared" si="33"/>
        <v>1</v>
      </c>
      <c r="X40" s="101">
        <f t="shared" si="29"/>
        <v>0</v>
      </c>
      <c r="Y40" s="101">
        <f t="shared" si="31"/>
        <v>0</v>
      </c>
      <c r="Z40" s="101">
        <f t="shared" ref="Z40:Z111" si="36">IF(COUNTIF(B$845:B$969,L40)=0,0,1)</f>
        <v>0</v>
      </c>
      <c r="AA40" s="101">
        <f t="shared" si="35"/>
        <v>1</v>
      </c>
      <c r="AB40" s="101">
        <f>IFERROR(__xludf.DUMMYFUNCTION("IFERROR(IF(Match(L40,IMPORTRANGE(""https://docs.google.com/spreadsheets/d/1n1sT_Q_W3mKmn2Yrd8qcNzuRD4zr4DB9gqARnjQ30B4/edit?gid=1918970062#gid=1918970062"",""Form Responses 1!B2:B49""),0),1), 0)"),0.0)</f>
        <v>0</v>
      </c>
      <c r="AC40" s="101">
        <f t="shared" si="12"/>
        <v>1</v>
      </c>
      <c r="AD40" s="100">
        <v>0.0</v>
      </c>
      <c r="AE40" s="101">
        <f>IFERROR(__xludf.DUMMYFUNCTION("IFERROR(IF(Match(L40,IMPORTRANGE(""https://docs.google.com/spreadsheets/d/1hvckjcCpxEuDQDPrBMml_I1kBhYyjrgR8qBKC9QGVUc/edit?resourcekey=&amp;gid=230793720#gid=230793720"",""Form Responses 1!B2:B199""),0),1), 0)"),0.0)</f>
        <v>0</v>
      </c>
      <c r="AF40" s="75">
        <f>IFERROR(__xludf.DUMMYFUNCTION("IFERROR(IF(Match(L40,IMPORTRANGE(""https://docs.google.com/spreadsheets/d/1UY0hI2S83Fmafa5P-C1LM9yqe4v4qIKTnVy_CzLzRPs/edit?resourcekey=&amp;gid=1583835601#gid=1583835601"",""Form Responses 1!B2:B194""),0),1), 0)"),0.0)</f>
        <v>0</v>
      </c>
      <c r="AG40" s="75">
        <f>IFERROR(__xludf.DUMMYFUNCTION("IFERROR(IF(Match(L40,IMPORTRANGE(""https://docs.google.com/spreadsheets/d/1hO4mQ22n6cudUygJ2ss_JeJdm2Ua_7hJl_79lWWEtic/edit?resourcekey=&amp;gid=2087212010#gid=2087212010"",""Form Responses 1!B2:B104""),0),1), 0)"),0.0)</f>
        <v>0</v>
      </c>
      <c r="AH40" s="75">
        <f>IFERROR(__xludf.DUMMYFUNCTION("IFERROR(IF(Match(L40,IMPORTRANGE(""https://docs.google.com/spreadsheets/d/1HbfCXhSXbtTODKKY1MOFwJccyhgDKD0J9sO1k5l_6lM/edit?resourcekey=&amp;gid=1616384832#gid=1616384832"",""Form Responses 1!E2:E143""),0),1), 0)"),0.0)</f>
        <v>0</v>
      </c>
    </row>
    <row r="41" ht="22.5" customHeight="1">
      <c r="A41" s="102">
        <v>45917.66205759259</v>
      </c>
      <c r="B41" s="103" t="s">
        <v>130</v>
      </c>
      <c r="C41" s="103" t="s">
        <v>557</v>
      </c>
      <c r="D41" s="103" t="s">
        <v>558</v>
      </c>
      <c r="E41" s="103" t="s">
        <v>494</v>
      </c>
      <c r="F41" s="103" t="s">
        <v>436</v>
      </c>
      <c r="G41" s="103" t="s">
        <v>124</v>
      </c>
      <c r="H41" s="103" t="s">
        <v>520</v>
      </c>
      <c r="I41" s="96"/>
      <c r="J41" s="7"/>
      <c r="K41" s="7" t="s">
        <v>101</v>
      </c>
      <c r="L41" s="7" t="s">
        <v>102</v>
      </c>
      <c r="M41" s="7" t="s">
        <v>98</v>
      </c>
      <c r="N41" s="8" t="s">
        <v>28</v>
      </c>
      <c r="O41" s="7" t="s">
        <v>29</v>
      </c>
      <c r="P41" s="49">
        <v>8.0</v>
      </c>
      <c r="Q41" s="7" t="s">
        <v>543</v>
      </c>
      <c r="R41" s="97">
        <f t="shared" si="23"/>
        <v>1</v>
      </c>
      <c r="S41" s="97">
        <f t="shared" si="30"/>
        <v>1</v>
      </c>
      <c r="T41" s="98">
        <f t="shared" si="32"/>
        <v>1</v>
      </c>
      <c r="U41" s="99">
        <f>IFERROR(__xludf.DUMMYFUNCTION("IFERROR(IF(Match(L41,IMPORTRANGE(""https://docs.google.com/spreadsheets/d/1CAXKDiOnZb21bZOY_nacH9xI9AiD-nH8ZZQAwYKkVC0/edit?usp=drivesdk"",""Completed Exams!A1:A135""),0),1), 0)"),0.0)</f>
        <v>0</v>
      </c>
      <c r="V41" s="100">
        <f t="shared" si="27"/>
        <v>1</v>
      </c>
      <c r="W41" s="100">
        <f t="shared" si="33"/>
        <v>1</v>
      </c>
      <c r="X41" s="101">
        <f t="shared" si="29"/>
        <v>1</v>
      </c>
      <c r="Y41" s="101">
        <f t="shared" si="31"/>
        <v>0</v>
      </c>
      <c r="Z41" s="101">
        <f t="shared" si="36"/>
        <v>1</v>
      </c>
      <c r="AA41" s="101">
        <f t="shared" si="35"/>
        <v>1</v>
      </c>
      <c r="AB41" s="100">
        <v>1.0</v>
      </c>
      <c r="AC41" s="101">
        <f t="shared" si="12"/>
        <v>1</v>
      </c>
      <c r="AD41" s="100">
        <v>0.0</v>
      </c>
      <c r="AE41" s="101">
        <f>IFERROR(__xludf.DUMMYFUNCTION("IFERROR(IF(Match(L41,IMPORTRANGE(""https://docs.google.com/spreadsheets/d/1hvckjcCpxEuDQDPrBMml_I1kBhYyjrgR8qBKC9QGVUc/edit?resourcekey=&amp;gid=230793720#gid=230793720"",""Form Responses 1!B2:B199""),0),1), 0)"),0.0)</f>
        <v>0</v>
      </c>
      <c r="AF41" s="75">
        <f>IFERROR(__xludf.DUMMYFUNCTION("IFERROR(IF(Match(L41,IMPORTRANGE(""https://docs.google.com/spreadsheets/d/1UY0hI2S83Fmafa5P-C1LM9yqe4v4qIKTnVy_CzLzRPs/edit?resourcekey=&amp;gid=1583835601#gid=1583835601"",""Form Responses 1!B2:B194""),0),1), 0)"),0.0)</f>
        <v>0</v>
      </c>
      <c r="AG41" s="75">
        <f>IFERROR(__xludf.DUMMYFUNCTION("IFERROR(IF(Match(L41,IMPORTRANGE(""https://docs.google.com/spreadsheets/d/1hO4mQ22n6cudUygJ2ss_JeJdm2Ua_7hJl_79lWWEtic/edit?resourcekey=&amp;gid=2087212010#gid=2087212010"",""Form Responses 1!B2:B104""),0),1), 0)"),0.0)</f>
        <v>0</v>
      </c>
      <c r="AH41" s="75">
        <f>IFERROR(__xludf.DUMMYFUNCTION("IFERROR(IF(Match(L41,IMPORTRANGE(""https://docs.google.com/spreadsheets/d/1HbfCXhSXbtTODKKY1MOFwJccyhgDKD0J9sO1k5l_6lM/edit?resourcekey=&amp;gid=1616384832#gid=1616384832"",""Form Responses 1!E2:E143""),0),1), 0)"),0.0)</f>
        <v>0</v>
      </c>
    </row>
    <row r="42" ht="22.5" customHeight="1">
      <c r="A42" s="102">
        <v>45917.662064027776</v>
      </c>
      <c r="B42" s="103" t="s">
        <v>83</v>
      </c>
      <c r="C42" s="103" t="s">
        <v>559</v>
      </c>
      <c r="D42" s="103" t="s">
        <v>560</v>
      </c>
      <c r="E42" s="103" t="s">
        <v>494</v>
      </c>
      <c r="F42" s="103" t="s">
        <v>436</v>
      </c>
      <c r="G42" s="103" t="s">
        <v>84</v>
      </c>
      <c r="H42" s="103" t="s">
        <v>496</v>
      </c>
      <c r="I42" s="96"/>
      <c r="J42" s="7"/>
      <c r="K42" s="7" t="s">
        <v>103</v>
      </c>
      <c r="L42" s="7" t="s">
        <v>104</v>
      </c>
      <c r="M42" s="7" t="s">
        <v>98</v>
      </c>
      <c r="N42" s="8" t="s">
        <v>11</v>
      </c>
      <c r="O42" s="7" t="s">
        <v>12</v>
      </c>
      <c r="P42" s="49">
        <v>8.0</v>
      </c>
      <c r="Q42" s="7" t="s">
        <v>543</v>
      </c>
      <c r="R42" s="97">
        <f t="shared" si="23"/>
        <v>1</v>
      </c>
      <c r="S42" s="97">
        <f t="shared" si="30"/>
        <v>1</v>
      </c>
      <c r="T42" s="98">
        <f t="shared" si="32"/>
        <v>1</v>
      </c>
      <c r="U42" s="99">
        <f>IFERROR(__xludf.DUMMYFUNCTION("IFERROR(IF(Match(L42,IMPORTRANGE(""https://docs.google.com/spreadsheets/d/1CAXKDiOnZb21bZOY_nacH9xI9AiD-nH8ZZQAwYKkVC0/edit?usp=drivesdk"",""Completed Exams!A1:A135""),0),1), 0)"),0.0)</f>
        <v>0</v>
      </c>
      <c r="V42" s="100">
        <f t="shared" si="27"/>
        <v>1</v>
      </c>
      <c r="W42" s="100">
        <f t="shared" si="33"/>
        <v>1</v>
      </c>
      <c r="X42" s="101">
        <f t="shared" si="29"/>
        <v>1</v>
      </c>
      <c r="Y42" s="101">
        <f t="shared" si="31"/>
        <v>1</v>
      </c>
      <c r="Z42" s="101">
        <f t="shared" si="36"/>
        <v>1</v>
      </c>
      <c r="AA42" s="101">
        <f t="shared" si="35"/>
        <v>1</v>
      </c>
      <c r="AB42" s="101">
        <f>IFERROR(__xludf.DUMMYFUNCTION("IFERROR(IF(Match(L42,IMPORTRANGE(""https://docs.google.com/spreadsheets/d/1n1sT_Q_W3mKmn2Yrd8qcNzuRD4zr4DB9gqARnjQ30B4/edit?gid=1918970062#gid=1918970062"",""Form Responses 1!B2:B49""),0),1), 0)"),0.0)</f>
        <v>0</v>
      </c>
      <c r="AC42" s="101">
        <f t="shared" si="12"/>
        <v>1</v>
      </c>
      <c r="AD42" s="100">
        <v>1.0</v>
      </c>
      <c r="AE42" s="101">
        <f>IFERROR(__xludf.DUMMYFUNCTION("IFERROR(IF(Match(L42,IMPORTRANGE(""https://docs.google.com/spreadsheets/d/1hvckjcCpxEuDQDPrBMml_I1kBhYyjrgR8qBKC9QGVUc/edit?resourcekey=&amp;gid=230793720#gid=230793720"",""Form Responses 1!B2:B199""),0),1), 0)"),0.0)</f>
        <v>0</v>
      </c>
      <c r="AF42" s="75">
        <f>IFERROR(__xludf.DUMMYFUNCTION("IFERROR(IF(Match(L42,IMPORTRANGE(""https://docs.google.com/spreadsheets/d/1UY0hI2S83Fmafa5P-C1LM9yqe4v4qIKTnVy_CzLzRPs/edit?resourcekey=&amp;gid=1583835601#gid=1583835601"",""Form Responses 1!B2:B194""),0),1), 0)"),0.0)</f>
        <v>0</v>
      </c>
      <c r="AG42" s="75">
        <f>IFERROR(__xludf.DUMMYFUNCTION("IFERROR(IF(Match(L42,IMPORTRANGE(""https://docs.google.com/spreadsheets/d/1hO4mQ22n6cudUygJ2ss_JeJdm2Ua_7hJl_79lWWEtic/edit?resourcekey=&amp;gid=2087212010#gid=2087212010"",""Form Responses 1!B2:B104""),0),1), 0)"),0.0)</f>
        <v>0</v>
      </c>
      <c r="AH42" s="75">
        <f>IFERROR(__xludf.DUMMYFUNCTION("IFERROR(IF(Match(L42,IMPORTRANGE(""https://docs.google.com/spreadsheets/d/1HbfCXhSXbtTODKKY1MOFwJccyhgDKD0J9sO1k5l_6lM/edit?resourcekey=&amp;gid=1616384832#gid=1616384832"",""Form Responses 1!E2:E143""),0),1), 0)"),0.0)</f>
        <v>0</v>
      </c>
    </row>
    <row r="43" ht="22.5" customHeight="1">
      <c r="A43" s="102">
        <v>45917.662087199074</v>
      </c>
      <c r="B43" s="103" t="s">
        <v>189</v>
      </c>
      <c r="C43" s="103" t="s">
        <v>561</v>
      </c>
      <c r="D43" s="103" t="s">
        <v>431</v>
      </c>
      <c r="E43" s="103" t="s">
        <v>494</v>
      </c>
      <c r="F43" s="103" t="s">
        <v>441</v>
      </c>
      <c r="G43" s="103" t="s">
        <v>503</v>
      </c>
      <c r="H43" s="103" t="s">
        <v>496</v>
      </c>
      <c r="I43" s="96"/>
      <c r="J43" s="7"/>
      <c r="K43" s="7" t="s">
        <v>105</v>
      </c>
      <c r="L43" s="7" t="s">
        <v>106</v>
      </c>
      <c r="M43" s="7" t="s">
        <v>98</v>
      </c>
      <c r="N43" s="8" t="s">
        <v>24</v>
      </c>
      <c r="O43" s="7" t="s">
        <v>25</v>
      </c>
      <c r="P43" s="49">
        <v>8.0</v>
      </c>
      <c r="Q43" s="7" t="s">
        <v>543</v>
      </c>
      <c r="R43" s="97">
        <f t="shared" si="23"/>
        <v>1</v>
      </c>
      <c r="S43" s="97">
        <f t="shared" si="30"/>
        <v>1</v>
      </c>
      <c r="T43" s="98">
        <f t="shared" si="32"/>
        <v>0</v>
      </c>
      <c r="U43" s="98">
        <v>1.0</v>
      </c>
      <c r="V43" s="100">
        <f t="shared" si="27"/>
        <v>1</v>
      </c>
      <c r="W43" s="100">
        <f t="shared" si="33"/>
        <v>0</v>
      </c>
      <c r="X43" s="101">
        <f t="shared" si="29"/>
        <v>1</v>
      </c>
      <c r="Y43" s="101">
        <f t="shared" si="31"/>
        <v>1</v>
      </c>
      <c r="Z43" s="101">
        <f t="shared" si="36"/>
        <v>0</v>
      </c>
      <c r="AA43" s="100">
        <v>0.5</v>
      </c>
      <c r="AB43" s="101">
        <f>IFERROR(__xludf.DUMMYFUNCTION("IFERROR(IF(Match(L43,IMPORTRANGE(""https://docs.google.com/spreadsheets/d/1n1sT_Q_W3mKmn2Yrd8qcNzuRD4zr4DB9gqARnjQ30B4/edit?gid=1918970062#gid=1918970062"",""Form Responses 1!B2:B49""),0),1), 0)"),0.0)</f>
        <v>0</v>
      </c>
      <c r="AC43" s="101">
        <f t="shared" si="12"/>
        <v>1</v>
      </c>
      <c r="AD43" s="100">
        <v>0.0</v>
      </c>
      <c r="AE43" s="101">
        <f>IFERROR(__xludf.DUMMYFUNCTION("IFERROR(IF(Match(L43,IMPORTRANGE(""https://docs.google.com/spreadsheets/d/1hvckjcCpxEuDQDPrBMml_I1kBhYyjrgR8qBKC9QGVUc/edit?resourcekey=&amp;gid=230793720#gid=230793720"",""Form Responses 1!B2:B199""),0),1), 0)"),0.0)</f>
        <v>0</v>
      </c>
      <c r="AF43" s="75">
        <f>IFERROR(__xludf.DUMMYFUNCTION("IFERROR(IF(Match(L43,IMPORTRANGE(""https://docs.google.com/spreadsheets/d/1UY0hI2S83Fmafa5P-C1LM9yqe4v4qIKTnVy_CzLzRPs/edit?resourcekey=&amp;gid=1583835601#gid=1583835601"",""Form Responses 1!B2:B194""),0),1), 0)"),0.0)</f>
        <v>0</v>
      </c>
      <c r="AG43" s="75">
        <f>IFERROR(__xludf.DUMMYFUNCTION("IFERROR(IF(Match(L43,IMPORTRANGE(""https://docs.google.com/spreadsheets/d/1hO4mQ22n6cudUygJ2ss_JeJdm2Ua_7hJl_79lWWEtic/edit?resourcekey=&amp;gid=2087212010#gid=2087212010"",""Form Responses 1!B2:B104""),0),1), 0)"),0.0)</f>
        <v>0</v>
      </c>
      <c r="AH43" s="75">
        <f>IFERROR(__xludf.DUMMYFUNCTION("IFERROR(IF(Match(L43,IMPORTRANGE(""https://docs.google.com/spreadsheets/d/1HbfCXhSXbtTODKKY1MOFwJccyhgDKD0J9sO1k5l_6lM/edit?resourcekey=&amp;gid=1616384832#gid=1616384832"",""Form Responses 1!E2:E143""),0),1), 0)"),0.0)</f>
        <v>0</v>
      </c>
    </row>
    <row r="44" ht="22.5" customHeight="1">
      <c r="A44" s="102">
        <v>45917.6621562037</v>
      </c>
      <c r="B44" s="103" t="s">
        <v>55</v>
      </c>
      <c r="C44" s="103" t="s">
        <v>562</v>
      </c>
      <c r="D44" s="103" t="s">
        <v>563</v>
      </c>
      <c r="E44" s="103" t="s">
        <v>420</v>
      </c>
      <c r="F44" s="103" t="s">
        <v>436</v>
      </c>
      <c r="G44" s="103" t="s">
        <v>537</v>
      </c>
      <c r="H44" s="103" t="s">
        <v>564</v>
      </c>
      <c r="I44" s="96"/>
      <c r="J44" s="22"/>
      <c r="K44" s="22" t="s">
        <v>107</v>
      </c>
      <c r="L44" s="22" t="s">
        <v>108</v>
      </c>
      <c r="M44" s="22" t="s">
        <v>98</v>
      </c>
      <c r="N44" s="8" t="s">
        <v>11</v>
      </c>
      <c r="O44" s="22" t="s">
        <v>12</v>
      </c>
      <c r="P44" s="49">
        <v>8.0</v>
      </c>
      <c r="Q44" s="7" t="s">
        <v>543</v>
      </c>
      <c r="R44" s="97">
        <f t="shared" si="23"/>
        <v>1</v>
      </c>
      <c r="S44" s="97">
        <f t="shared" si="30"/>
        <v>1</v>
      </c>
      <c r="T44" s="98">
        <f t="shared" si="32"/>
        <v>1</v>
      </c>
      <c r="U44" s="99">
        <f>IFERROR(__xludf.DUMMYFUNCTION("IFERROR(IF(Match(L44,IMPORTRANGE(""https://docs.google.com/spreadsheets/d/1CAXKDiOnZb21bZOY_nacH9xI9AiD-nH8ZZQAwYKkVC0/edit?usp=drivesdk"",""Completed Exams!A1:A135""),0),1), 0)"),0.0)</f>
        <v>0</v>
      </c>
      <c r="V44" s="100">
        <f t="shared" si="27"/>
        <v>0</v>
      </c>
      <c r="W44" s="100">
        <f t="shared" si="33"/>
        <v>0</v>
      </c>
      <c r="X44" s="101">
        <f t="shared" si="29"/>
        <v>1</v>
      </c>
      <c r="Y44" s="101">
        <f t="shared" si="31"/>
        <v>0</v>
      </c>
      <c r="Z44" s="101">
        <f t="shared" si="36"/>
        <v>1</v>
      </c>
      <c r="AA44" s="101">
        <f t="shared" ref="AA44:AA93" si="37">IF(COUNTIF(B$971:B$1124,L44)=0,0,1)</f>
        <v>1</v>
      </c>
      <c r="AB44" s="100">
        <v>1.0</v>
      </c>
      <c r="AC44" s="101">
        <f t="shared" si="12"/>
        <v>1</v>
      </c>
      <c r="AD44" s="100">
        <v>1.0</v>
      </c>
      <c r="AE44" s="101">
        <f>IFERROR(__xludf.DUMMYFUNCTION("IFERROR(IF(Match(L44,IMPORTRANGE(""https://docs.google.com/spreadsheets/d/1hvckjcCpxEuDQDPrBMml_I1kBhYyjrgR8qBKC9QGVUc/edit?resourcekey=&amp;gid=230793720#gid=230793720"",""Form Responses 1!B2:B199""),0),1), 0)"),0.0)</f>
        <v>0</v>
      </c>
      <c r="AF44" s="75">
        <f>IFERROR(__xludf.DUMMYFUNCTION("IFERROR(IF(Match(L44,IMPORTRANGE(""https://docs.google.com/spreadsheets/d/1UY0hI2S83Fmafa5P-C1LM9yqe4v4qIKTnVy_CzLzRPs/edit?resourcekey=&amp;gid=1583835601#gid=1583835601"",""Form Responses 1!B2:B194""),0),1), 0)"),0.0)</f>
        <v>0</v>
      </c>
      <c r="AG44" s="75">
        <f>IFERROR(__xludf.DUMMYFUNCTION("IFERROR(IF(Match(L44,IMPORTRANGE(""https://docs.google.com/spreadsheets/d/1hO4mQ22n6cudUygJ2ss_JeJdm2Ua_7hJl_79lWWEtic/edit?resourcekey=&amp;gid=2087212010#gid=2087212010"",""Form Responses 1!B2:B104""),0),1), 0)"),0.0)</f>
        <v>0</v>
      </c>
      <c r="AH44" s="75">
        <f>IFERROR(__xludf.DUMMYFUNCTION("IFERROR(IF(Match(L44,IMPORTRANGE(""https://docs.google.com/spreadsheets/d/1HbfCXhSXbtTODKKY1MOFwJccyhgDKD0J9sO1k5l_6lM/edit?resourcekey=&amp;gid=1616384832#gid=1616384832"",""Form Responses 1!E2:E143""),0),1), 0)"),0.0)</f>
        <v>0</v>
      </c>
    </row>
    <row r="45" ht="22.5" customHeight="1">
      <c r="A45" s="102">
        <v>45917.66226096065</v>
      </c>
      <c r="B45" s="103" t="s">
        <v>254</v>
      </c>
      <c r="C45" s="103" t="s">
        <v>565</v>
      </c>
      <c r="D45" s="103" t="s">
        <v>566</v>
      </c>
      <c r="E45" s="103" t="s">
        <v>494</v>
      </c>
      <c r="F45" s="103" t="s">
        <v>436</v>
      </c>
      <c r="G45" s="103" t="s">
        <v>567</v>
      </c>
      <c r="H45" s="103" t="s">
        <v>568</v>
      </c>
      <c r="I45" s="96"/>
      <c r="J45" s="7"/>
      <c r="K45" s="16" t="s">
        <v>109</v>
      </c>
      <c r="L45" s="16" t="s">
        <v>110</v>
      </c>
      <c r="M45" s="16" t="s">
        <v>98</v>
      </c>
      <c r="N45" s="17" t="s">
        <v>11</v>
      </c>
      <c r="O45" s="16" t="s">
        <v>12</v>
      </c>
      <c r="P45" s="50">
        <v>8.0</v>
      </c>
      <c r="Q45" s="16" t="s">
        <v>543</v>
      </c>
      <c r="R45" s="97">
        <f t="shared" si="23"/>
        <v>1</v>
      </c>
      <c r="S45" s="97">
        <f t="shared" si="30"/>
        <v>1</v>
      </c>
      <c r="T45" s="98">
        <f t="shared" si="32"/>
        <v>1</v>
      </c>
      <c r="U45" s="99">
        <f>IFERROR(__xludf.DUMMYFUNCTION("IFERROR(IF(Match(L45,IMPORTRANGE(""https://docs.google.com/spreadsheets/d/1CAXKDiOnZb21bZOY_nacH9xI9AiD-nH8ZZQAwYKkVC0/edit?usp=drivesdk"",""Completed Exams!A1:A135""),0),1), 0)"),0.0)</f>
        <v>0</v>
      </c>
      <c r="V45" s="100">
        <f t="shared" si="27"/>
        <v>0</v>
      </c>
      <c r="W45" s="100">
        <v>1.0</v>
      </c>
      <c r="X45" s="101">
        <f t="shared" si="29"/>
        <v>1</v>
      </c>
      <c r="Y45" s="101">
        <f t="shared" si="31"/>
        <v>1</v>
      </c>
      <c r="Z45" s="101">
        <f t="shared" si="36"/>
        <v>0</v>
      </c>
      <c r="AA45" s="101">
        <f t="shared" si="37"/>
        <v>1</v>
      </c>
      <c r="AB45" s="101">
        <f>IFERROR(__xludf.DUMMYFUNCTION("IFERROR(IF(Match(L45,IMPORTRANGE(""https://docs.google.com/spreadsheets/d/1n1sT_Q_W3mKmn2Yrd8qcNzuRD4zr4DB9gqARnjQ30B4/edit?gid=1918970062#gid=1918970062"",""Form Responses 1!B2:B49""),0),1), 0)"),0.0)</f>
        <v>0</v>
      </c>
      <c r="AC45" s="101">
        <f t="shared" si="12"/>
        <v>1</v>
      </c>
      <c r="AD45" s="100">
        <v>0.0</v>
      </c>
      <c r="AE45" s="101">
        <f>IFERROR(__xludf.DUMMYFUNCTION("IFERROR(IF(Match(L45,IMPORTRANGE(""https://docs.google.com/spreadsheets/d/1hvckjcCpxEuDQDPrBMml_I1kBhYyjrgR8qBKC9QGVUc/edit?resourcekey=&amp;gid=230793720#gid=230793720"",""Form Responses 1!B2:B199""),0),1), 0)"),0.0)</f>
        <v>0</v>
      </c>
      <c r="AF45" s="75">
        <f>IFERROR(__xludf.DUMMYFUNCTION("IFERROR(IF(Match(L45,IMPORTRANGE(""https://docs.google.com/spreadsheets/d/1UY0hI2S83Fmafa5P-C1LM9yqe4v4qIKTnVy_CzLzRPs/edit?resourcekey=&amp;gid=1583835601#gid=1583835601"",""Form Responses 1!B2:B194""),0),1), 0)"),0.0)</f>
        <v>0</v>
      </c>
      <c r="AG45" s="75">
        <f>IFERROR(__xludf.DUMMYFUNCTION("IFERROR(IF(Match(L45,IMPORTRANGE(""https://docs.google.com/spreadsheets/d/1hO4mQ22n6cudUygJ2ss_JeJdm2Ua_7hJl_79lWWEtic/edit?resourcekey=&amp;gid=2087212010#gid=2087212010"",""Form Responses 1!B2:B104""),0),1), 0)"),0.0)</f>
        <v>0</v>
      </c>
      <c r="AH45" s="75">
        <f>IFERROR(__xludf.DUMMYFUNCTION("IFERROR(IF(Match(L45,IMPORTRANGE(""https://docs.google.com/spreadsheets/d/1HbfCXhSXbtTODKKY1MOFwJccyhgDKD0J9sO1k5l_6lM/edit?resourcekey=&amp;gid=1616384832#gid=1616384832"",""Form Responses 1!E2:E143""),0),1), 0)"),0.0)</f>
        <v>0</v>
      </c>
    </row>
    <row r="46" ht="22.5" customHeight="1">
      <c r="A46" s="102">
        <v>45917.66237002314</v>
      </c>
      <c r="B46" s="103" t="s">
        <v>81</v>
      </c>
      <c r="C46" s="103" t="s">
        <v>569</v>
      </c>
      <c r="D46" s="103" t="s">
        <v>461</v>
      </c>
      <c r="E46" s="103" t="s">
        <v>494</v>
      </c>
      <c r="F46" s="103" t="s">
        <v>436</v>
      </c>
      <c r="G46" s="103" t="s">
        <v>570</v>
      </c>
      <c r="H46" s="103" t="s">
        <v>524</v>
      </c>
      <c r="I46" s="96"/>
      <c r="J46" s="7"/>
      <c r="K46" s="7" t="s">
        <v>111</v>
      </c>
      <c r="L46" s="7" t="s">
        <v>112</v>
      </c>
      <c r="M46" s="7" t="s">
        <v>113</v>
      </c>
      <c r="N46" s="8" t="s">
        <v>28</v>
      </c>
      <c r="O46" s="7" t="s">
        <v>29</v>
      </c>
      <c r="P46" s="51">
        <v>9.0</v>
      </c>
      <c r="Q46" s="7" t="s">
        <v>571</v>
      </c>
      <c r="R46" s="97">
        <f t="shared" si="23"/>
        <v>1</v>
      </c>
      <c r="S46" s="97">
        <f t="shared" si="30"/>
        <v>0</v>
      </c>
      <c r="T46" s="98">
        <f t="shared" si="32"/>
        <v>1</v>
      </c>
      <c r="U46" s="99">
        <f>IFERROR(__xludf.DUMMYFUNCTION("IFERROR(IF(Match(L46,IMPORTRANGE(""https://docs.google.com/spreadsheets/d/1CAXKDiOnZb21bZOY_nacH9xI9AiD-nH8ZZQAwYKkVC0/edit?usp=drivesdk"",""Completed Exams!A1:A135""),0),1), 0)"),0.0)</f>
        <v>0</v>
      </c>
      <c r="V46" s="100">
        <f t="shared" si="27"/>
        <v>1</v>
      </c>
      <c r="W46" s="100">
        <v>1.0</v>
      </c>
      <c r="X46" s="101">
        <f t="shared" si="29"/>
        <v>0</v>
      </c>
      <c r="Y46" s="101">
        <f t="shared" si="31"/>
        <v>1</v>
      </c>
      <c r="Z46" s="101">
        <f t="shared" si="36"/>
        <v>1</v>
      </c>
      <c r="AA46" s="101">
        <f t="shared" si="37"/>
        <v>1</v>
      </c>
      <c r="AB46" s="101">
        <f>IFERROR(__xludf.DUMMYFUNCTION("IFERROR(IF(Match(L46,IMPORTRANGE(""https://docs.google.com/spreadsheets/d/1n1sT_Q_W3mKmn2Yrd8qcNzuRD4zr4DB9gqARnjQ30B4/edit?gid=1918970062#gid=1918970062"",""Form Responses 1!B2:B49""),0),1), 0)"),0.0)</f>
        <v>0</v>
      </c>
      <c r="AC46" s="101">
        <f t="shared" si="12"/>
        <v>1</v>
      </c>
      <c r="AD46" s="100">
        <v>1.0</v>
      </c>
      <c r="AE46" s="101">
        <f>IFERROR(__xludf.DUMMYFUNCTION("IFERROR(IF(Match(L46,IMPORTRANGE(""https://docs.google.com/spreadsheets/d/1hvckjcCpxEuDQDPrBMml_I1kBhYyjrgR8qBKC9QGVUc/edit?resourcekey=&amp;gid=230793720#gid=230793720"",""Form Responses 1!B2:B199""),0),1), 0)"),0.0)</f>
        <v>0</v>
      </c>
      <c r="AF46" s="75">
        <f>IFERROR(__xludf.DUMMYFUNCTION("IFERROR(IF(Match(L46,IMPORTRANGE(""https://docs.google.com/spreadsheets/d/1UY0hI2S83Fmafa5P-C1LM9yqe4v4qIKTnVy_CzLzRPs/edit?resourcekey=&amp;gid=1583835601#gid=1583835601"",""Form Responses 1!B2:B194""),0),1), 0)"),0.0)</f>
        <v>0</v>
      </c>
      <c r="AG46" s="75">
        <f>IFERROR(__xludf.DUMMYFUNCTION("IFERROR(IF(Match(L46,IMPORTRANGE(""https://docs.google.com/spreadsheets/d/1hO4mQ22n6cudUygJ2ss_JeJdm2Ua_7hJl_79lWWEtic/edit?resourcekey=&amp;gid=2087212010#gid=2087212010"",""Form Responses 1!B2:B104""),0),1), 0)"),0.0)</f>
        <v>0</v>
      </c>
      <c r="AH46" s="75">
        <f>IFERROR(__xludf.DUMMYFUNCTION("IFERROR(IF(Match(L46,IMPORTRANGE(""https://docs.google.com/spreadsheets/d/1HbfCXhSXbtTODKKY1MOFwJccyhgDKD0J9sO1k5l_6lM/edit?resourcekey=&amp;gid=1616384832#gid=1616384832"",""Form Responses 1!E2:E143""),0),1), 0)"),0.0)</f>
        <v>0</v>
      </c>
    </row>
    <row r="47" ht="22.5" customHeight="1">
      <c r="A47" s="102">
        <v>45917.66288809028</v>
      </c>
      <c r="B47" s="103" t="s">
        <v>51</v>
      </c>
      <c r="C47" s="103" t="s">
        <v>572</v>
      </c>
      <c r="D47" s="103" t="s">
        <v>573</v>
      </c>
      <c r="E47" s="103" t="s">
        <v>494</v>
      </c>
      <c r="F47" s="103" t="s">
        <v>441</v>
      </c>
      <c r="G47" s="103" t="s">
        <v>574</v>
      </c>
      <c r="H47" s="103" t="s">
        <v>533</v>
      </c>
      <c r="I47" s="96"/>
      <c r="J47" s="7"/>
      <c r="K47" s="7" t="s">
        <v>114</v>
      </c>
      <c r="L47" s="7" t="s">
        <v>115</v>
      </c>
      <c r="M47" s="7" t="s">
        <v>113</v>
      </c>
      <c r="N47" s="8" t="s">
        <v>11</v>
      </c>
      <c r="O47" s="7" t="s">
        <v>29</v>
      </c>
      <c r="P47" s="51">
        <v>9.0</v>
      </c>
      <c r="Q47" s="7" t="s">
        <v>575</v>
      </c>
      <c r="R47" s="97">
        <f t="shared" si="23"/>
        <v>1</v>
      </c>
      <c r="S47" s="97">
        <f t="shared" si="30"/>
        <v>1</v>
      </c>
      <c r="T47" s="98">
        <f t="shared" si="32"/>
        <v>1</v>
      </c>
      <c r="U47" s="99">
        <f>IFERROR(__xludf.DUMMYFUNCTION("IFERROR(IF(Match(L47,IMPORTRANGE(""https://docs.google.com/spreadsheets/d/1CAXKDiOnZb21bZOY_nacH9xI9AiD-nH8ZZQAwYKkVC0/edit?usp=drivesdk"",""Completed Exams!A1:A135""),0),1), 0)"),0.0)</f>
        <v>0</v>
      </c>
      <c r="V47" s="100">
        <f t="shared" si="27"/>
        <v>1</v>
      </c>
      <c r="W47" s="100">
        <f t="shared" ref="W47:W50" si="38">IF(COUNTIF(B$535:B$602,L47)=0,0,1)</f>
        <v>1</v>
      </c>
      <c r="X47" s="101">
        <f t="shared" si="29"/>
        <v>1</v>
      </c>
      <c r="Y47" s="101">
        <f t="shared" si="31"/>
        <v>1</v>
      </c>
      <c r="Z47" s="101">
        <f t="shared" si="36"/>
        <v>1</v>
      </c>
      <c r="AA47" s="101">
        <f t="shared" si="37"/>
        <v>1</v>
      </c>
      <c r="AB47" s="101">
        <f>IFERROR(__xludf.DUMMYFUNCTION("IFERROR(IF(Match(L47,IMPORTRANGE(""https://docs.google.com/spreadsheets/d/1n1sT_Q_W3mKmn2Yrd8qcNzuRD4zr4DB9gqARnjQ30B4/edit?gid=1918970062#gid=1918970062"",""Form Responses 1!B2:B49""),0),1), 0)"),0.0)</f>
        <v>0</v>
      </c>
      <c r="AC47" s="101">
        <f t="shared" si="12"/>
        <v>1</v>
      </c>
      <c r="AD47" s="100">
        <v>1.0</v>
      </c>
      <c r="AE47" s="101">
        <f>IFERROR(__xludf.DUMMYFUNCTION("IFERROR(IF(Match(L47,IMPORTRANGE(""https://docs.google.com/spreadsheets/d/1hvckjcCpxEuDQDPrBMml_I1kBhYyjrgR8qBKC9QGVUc/edit?resourcekey=&amp;gid=230793720#gid=230793720"",""Form Responses 1!B2:B199""),0),1), 0)"),0.0)</f>
        <v>0</v>
      </c>
      <c r="AF47" s="75">
        <f>IFERROR(__xludf.DUMMYFUNCTION("IFERROR(IF(Match(L47,IMPORTRANGE(""https://docs.google.com/spreadsheets/d/1UY0hI2S83Fmafa5P-C1LM9yqe4v4qIKTnVy_CzLzRPs/edit?resourcekey=&amp;gid=1583835601#gid=1583835601"",""Form Responses 1!B2:B194""),0),1), 0)"),0.0)</f>
        <v>0</v>
      </c>
      <c r="AG47" s="75">
        <f>IFERROR(__xludf.DUMMYFUNCTION("IFERROR(IF(Match(L47,IMPORTRANGE(""https://docs.google.com/spreadsheets/d/1hO4mQ22n6cudUygJ2ss_JeJdm2Ua_7hJl_79lWWEtic/edit?resourcekey=&amp;gid=2087212010#gid=2087212010"",""Form Responses 1!B2:B104""),0),1), 0)"),0.0)</f>
        <v>0</v>
      </c>
      <c r="AH47" s="75">
        <f>IFERROR(__xludf.DUMMYFUNCTION("IFERROR(IF(Match(L47,IMPORTRANGE(""https://docs.google.com/spreadsheets/d/1HbfCXhSXbtTODKKY1MOFwJccyhgDKD0J9sO1k5l_6lM/edit?resourcekey=&amp;gid=1616384832#gid=1616384832"",""Form Responses 1!E2:E143""),0),1), 0)"),0.0)</f>
        <v>0</v>
      </c>
    </row>
    <row r="48" ht="22.5" customHeight="1">
      <c r="A48" s="102">
        <v>45917.66486143519</v>
      </c>
      <c r="B48" s="103" t="s">
        <v>9</v>
      </c>
      <c r="C48" s="103" t="s">
        <v>576</v>
      </c>
      <c r="D48" s="103" t="s">
        <v>577</v>
      </c>
      <c r="E48" s="103" t="s">
        <v>578</v>
      </c>
      <c r="F48" s="103" t="s">
        <v>436</v>
      </c>
      <c r="G48" s="103" t="s">
        <v>10</v>
      </c>
      <c r="H48" s="103" t="s">
        <v>579</v>
      </c>
      <c r="I48" s="96"/>
      <c r="J48" s="7"/>
      <c r="K48" s="7" t="s">
        <v>116</v>
      </c>
      <c r="L48" s="7" t="s">
        <v>117</v>
      </c>
      <c r="M48" s="7" t="s">
        <v>113</v>
      </c>
      <c r="N48" s="8" t="s">
        <v>11</v>
      </c>
      <c r="O48" s="7" t="s">
        <v>12</v>
      </c>
      <c r="P48" s="51">
        <v>9.0</v>
      </c>
      <c r="Q48" s="7" t="s">
        <v>539</v>
      </c>
      <c r="R48" s="97">
        <f t="shared" si="23"/>
        <v>1</v>
      </c>
      <c r="S48" s="97">
        <f t="shared" si="30"/>
        <v>1</v>
      </c>
      <c r="T48" s="98">
        <f t="shared" si="32"/>
        <v>1</v>
      </c>
      <c r="U48" s="99">
        <f>IFERROR(__xludf.DUMMYFUNCTION("IFERROR(IF(Match(L48,IMPORTRANGE(""https://docs.google.com/spreadsheets/d/1CAXKDiOnZb21bZOY_nacH9xI9AiD-nH8ZZQAwYKkVC0/edit?usp=drivesdk"",""Completed Exams!A1:A135""),0),1), 0)"),0.0)</f>
        <v>0</v>
      </c>
      <c r="V48" s="100">
        <f t="shared" si="27"/>
        <v>1</v>
      </c>
      <c r="W48" s="100">
        <f t="shared" si="38"/>
        <v>1</v>
      </c>
      <c r="X48" s="101">
        <f t="shared" si="29"/>
        <v>1</v>
      </c>
      <c r="Y48" s="100">
        <v>0.5</v>
      </c>
      <c r="Z48" s="101">
        <f t="shared" si="36"/>
        <v>1</v>
      </c>
      <c r="AA48" s="101">
        <f t="shared" si="37"/>
        <v>1</v>
      </c>
      <c r="AB48" s="101">
        <f>IFERROR(__xludf.DUMMYFUNCTION("IFERROR(IF(Match(L48,IMPORTRANGE(""https://docs.google.com/spreadsheets/d/1n1sT_Q_W3mKmn2Yrd8qcNzuRD4zr4DB9gqARnjQ30B4/edit?gid=1918970062#gid=1918970062"",""Form Responses 1!B2:B49""),0),1), 0)"),0.0)</f>
        <v>0</v>
      </c>
      <c r="AC48" s="101">
        <f t="shared" si="12"/>
        <v>1</v>
      </c>
      <c r="AD48" s="100">
        <v>1.0</v>
      </c>
      <c r="AE48" s="101">
        <f>IFERROR(__xludf.DUMMYFUNCTION("IFERROR(IF(Match(L48,IMPORTRANGE(""https://docs.google.com/spreadsheets/d/1hvckjcCpxEuDQDPrBMml_I1kBhYyjrgR8qBKC9QGVUc/edit?resourcekey=&amp;gid=230793720#gid=230793720"",""Form Responses 1!B2:B199""),0),1), 0)"),0.0)</f>
        <v>0</v>
      </c>
      <c r="AF48" s="75">
        <f>IFERROR(__xludf.DUMMYFUNCTION("IFERROR(IF(Match(L48,IMPORTRANGE(""https://docs.google.com/spreadsheets/d/1UY0hI2S83Fmafa5P-C1LM9yqe4v4qIKTnVy_CzLzRPs/edit?resourcekey=&amp;gid=1583835601#gid=1583835601"",""Form Responses 1!B2:B194""),0),1), 0)"),0.0)</f>
        <v>0</v>
      </c>
      <c r="AG48" s="75">
        <f>IFERROR(__xludf.DUMMYFUNCTION("IFERROR(IF(Match(L48,IMPORTRANGE(""https://docs.google.com/spreadsheets/d/1hO4mQ22n6cudUygJ2ss_JeJdm2Ua_7hJl_79lWWEtic/edit?resourcekey=&amp;gid=2087212010#gid=2087212010"",""Form Responses 1!B2:B104""),0),1), 0)"),0.0)</f>
        <v>0</v>
      </c>
      <c r="AH48" s="75">
        <f>IFERROR(__xludf.DUMMYFUNCTION("IFERROR(IF(Match(L48,IMPORTRANGE(""https://docs.google.com/spreadsheets/d/1HbfCXhSXbtTODKKY1MOFwJccyhgDKD0J9sO1k5l_6lM/edit?resourcekey=&amp;gid=1616384832#gid=1616384832"",""Form Responses 1!E2:E143""),0),1), 0)"),0.0)</f>
        <v>0</v>
      </c>
    </row>
    <row r="49" ht="22.5" customHeight="1">
      <c r="A49" s="102">
        <v>45917.664879247684</v>
      </c>
      <c r="B49" s="103" t="s">
        <v>97</v>
      </c>
      <c r="C49" s="103" t="s">
        <v>580</v>
      </c>
      <c r="D49" s="103" t="s">
        <v>581</v>
      </c>
      <c r="E49" s="103" t="s">
        <v>578</v>
      </c>
      <c r="F49" s="103" t="s">
        <v>441</v>
      </c>
      <c r="G49" s="103" t="s">
        <v>98</v>
      </c>
      <c r="H49" s="103" t="s">
        <v>582</v>
      </c>
      <c r="I49" s="96"/>
      <c r="J49" s="7"/>
      <c r="K49" s="7" t="s">
        <v>118</v>
      </c>
      <c r="L49" s="7" t="s">
        <v>119</v>
      </c>
      <c r="M49" s="7" t="s">
        <v>113</v>
      </c>
      <c r="N49" s="8" t="s">
        <v>11</v>
      </c>
      <c r="O49" s="7" t="s">
        <v>12</v>
      </c>
      <c r="P49" s="51">
        <v>9.0</v>
      </c>
      <c r="Q49" s="7" t="s">
        <v>539</v>
      </c>
      <c r="R49" s="97">
        <f t="shared" si="23"/>
        <v>1</v>
      </c>
      <c r="S49" s="104">
        <v>0.5</v>
      </c>
      <c r="T49" s="98">
        <f t="shared" si="32"/>
        <v>1</v>
      </c>
      <c r="U49" s="99">
        <f>IFERROR(__xludf.DUMMYFUNCTION("IFERROR(IF(Match(L49,IMPORTRANGE(""https://docs.google.com/spreadsheets/d/1CAXKDiOnZb21bZOY_nacH9xI9AiD-nH8ZZQAwYKkVC0/edit?usp=drivesdk"",""Completed Exams!A1:A135""),0),1), 0)"),0.0)</f>
        <v>0</v>
      </c>
      <c r="V49" s="100">
        <f t="shared" si="27"/>
        <v>0</v>
      </c>
      <c r="W49" s="100">
        <f t="shared" si="38"/>
        <v>1</v>
      </c>
      <c r="X49" s="101">
        <f t="shared" si="29"/>
        <v>1</v>
      </c>
      <c r="Y49" s="101">
        <f t="shared" ref="Y49:Y62" si="39">IF(COUNTIF(B$725:B$844,L49)=0,0,1)</f>
        <v>1</v>
      </c>
      <c r="Z49" s="101">
        <f t="shared" si="36"/>
        <v>0</v>
      </c>
      <c r="AA49" s="101">
        <f t="shared" si="37"/>
        <v>1</v>
      </c>
      <c r="AB49" s="101">
        <f>IFERROR(__xludf.DUMMYFUNCTION("IFERROR(IF(Match(L49,IMPORTRANGE(""https://docs.google.com/spreadsheets/d/1n1sT_Q_W3mKmn2Yrd8qcNzuRD4zr4DB9gqARnjQ30B4/edit?gid=1918970062#gid=1918970062"",""Form Responses 1!B2:B49""),0),1), 0)"),0.0)</f>
        <v>0</v>
      </c>
      <c r="AC49" s="101">
        <f t="shared" si="12"/>
        <v>1</v>
      </c>
      <c r="AD49" s="100">
        <v>1.0</v>
      </c>
      <c r="AE49" s="101">
        <f>IFERROR(__xludf.DUMMYFUNCTION("IFERROR(IF(Match(L49,IMPORTRANGE(""https://docs.google.com/spreadsheets/d/1hvckjcCpxEuDQDPrBMml_I1kBhYyjrgR8qBKC9QGVUc/edit?resourcekey=&amp;gid=230793720#gid=230793720"",""Form Responses 1!B2:B199""),0),1), 0)"),0.0)</f>
        <v>0</v>
      </c>
      <c r="AF49" s="75">
        <f>IFERROR(__xludf.DUMMYFUNCTION("IFERROR(IF(Match(L49,IMPORTRANGE(""https://docs.google.com/spreadsheets/d/1UY0hI2S83Fmafa5P-C1LM9yqe4v4qIKTnVy_CzLzRPs/edit?resourcekey=&amp;gid=1583835601#gid=1583835601"",""Form Responses 1!B2:B194""),0),1), 0)"),0.0)</f>
        <v>0</v>
      </c>
      <c r="AG49" s="75">
        <f>IFERROR(__xludf.DUMMYFUNCTION("IFERROR(IF(Match(L49,IMPORTRANGE(""https://docs.google.com/spreadsheets/d/1hO4mQ22n6cudUygJ2ss_JeJdm2Ua_7hJl_79lWWEtic/edit?resourcekey=&amp;gid=2087212010#gid=2087212010"",""Form Responses 1!B2:B104""),0),1), 0)"),0.0)</f>
        <v>0</v>
      </c>
      <c r="AH49" s="75">
        <f>IFERROR(__xludf.DUMMYFUNCTION("IFERROR(IF(Match(L49,IMPORTRANGE(""https://docs.google.com/spreadsheets/d/1HbfCXhSXbtTODKKY1MOFwJccyhgDKD0J9sO1k5l_6lM/edit?resourcekey=&amp;gid=1616384832#gid=1616384832"",""Form Responses 1!E2:E143""),0),1), 0)"),0.0)</f>
        <v>0</v>
      </c>
    </row>
    <row r="50" ht="22.5" customHeight="1">
      <c r="A50" s="102">
        <v>45917.66488913195</v>
      </c>
      <c r="B50" s="103" t="s">
        <v>404</v>
      </c>
      <c r="C50" s="103" t="s">
        <v>583</v>
      </c>
      <c r="D50" s="103" t="s">
        <v>584</v>
      </c>
      <c r="E50" s="103" t="s">
        <v>420</v>
      </c>
      <c r="F50" s="103" t="s">
        <v>441</v>
      </c>
      <c r="G50" s="103" t="s">
        <v>585</v>
      </c>
      <c r="H50" s="103" t="s">
        <v>586</v>
      </c>
      <c r="I50" s="96"/>
      <c r="J50" s="7"/>
      <c r="K50" s="16" t="s">
        <v>120</v>
      </c>
      <c r="L50" s="16" t="s">
        <v>121</v>
      </c>
      <c r="M50" s="16" t="s">
        <v>113</v>
      </c>
      <c r="N50" s="17" t="s">
        <v>11</v>
      </c>
      <c r="O50" s="16" t="s">
        <v>12</v>
      </c>
      <c r="P50" s="52">
        <v>9.0</v>
      </c>
      <c r="Q50" s="16" t="s">
        <v>539</v>
      </c>
      <c r="R50" s="97">
        <f t="shared" si="23"/>
        <v>1</v>
      </c>
      <c r="S50" s="97">
        <f t="shared" ref="S50:S90" si="40">IF(COUNTIF(B$150:B$274,L50)=0,0,1)</f>
        <v>1</v>
      </c>
      <c r="T50" s="98">
        <f t="shared" si="32"/>
        <v>1</v>
      </c>
      <c r="U50" s="99">
        <f>IFERROR(__xludf.DUMMYFUNCTION("IFERROR(IF(Match(L50,IMPORTRANGE(""https://docs.google.com/spreadsheets/d/1CAXKDiOnZb21bZOY_nacH9xI9AiD-nH8ZZQAwYKkVC0/edit?usp=drivesdk"",""Completed Exams!A1:A135""),0),1), 0)"),0.0)</f>
        <v>0</v>
      </c>
      <c r="V50" s="100">
        <f t="shared" si="27"/>
        <v>1</v>
      </c>
      <c r="W50" s="100">
        <f t="shared" si="38"/>
        <v>1</v>
      </c>
      <c r="X50" s="101">
        <f t="shared" si="29"/>
        <v>1</v>
      </c>
      <c r="Y50" s="101">
        <f t="shared" si="39"/>
        <v>1</v>
      </c>
      <c r="Z50" s="101">
        <f t="shared" si="36"/>
        <v>1</v>
      </c>
      <c r="AA50" s="101">
        <f t="shared" si="37"/>
        <v>1</v>
      </c>
      <c r="AB50" s="101">
        <f>IFERROR(__xludf.DUMMYFUNCTION("IFERROR(IF(Match(L50,IMPORTRANGE(""https://docs.google.com/spreadsheets/d/1n1sT_Q_W3mKmn2Yrd8qcNzuRD4zr4DB9gqARnjQ30B4/edit?gid=1918970062#gid=1918970062"",""Form Responses 1!B2:B49""),0),1), 0)"),0.0)</f>
        <v>0</v>
      </c>
      <c r="AC50" s="101">
        <f t="shared" si="12"/>
        <v>0</v>
      </c>
      <c r="AD50" s="100">
        <v>1.0</v>
      </c>
      <c r="AE50" s="101">
        <f>IFERROR(__xludf.DUMMYFUNCTION("IFERROR(IF(Match(L50,IMPORTRANGE(""https://docs.google.com/spreadsheets/d/1hvckjcCpxEuDQDPrBMml_I1kBhYyjrgR8qBKC9QGVUc/edit?resourcekey=&amp;gid=230793720#gid=230793720"",""Form Responses 1!B2:B199""),0),1), 0)"),0.0)</f>
        <v>0</v>
      </c>
      <c r="AF50" s="75">
        <f>IFERROR(__xludf.DUMMYFUNCTION("IFERROR(IF(Match(L50,IMPORTRANGE(""https://docs.google.com/spreadsheets/d/1UY0hI2S83Fmafa5P-C1LM9yqe4v4qIKTnVy_CzLzRPs/edit?resourcekey=&amp;gid=1583835601#gid=1583835601"",""Form Responses 1!B2:B194""),0),1), 0)"),0.0)</f>
        <v>0</v>
      </c>
      <c r="AG50" s="75">
        <f>IFERROR(__xludf.DUMMYFUNCTION("IFERROR(IF(Match(L50,IMPORTRANGE(""https://docs.google.com/spreadsheets/d/1hO4mQ22n6cudUygJ2ss_JeJdm2Ua_7hJl_79lWWEtic/edit?resourcekey=&amp;gid=2087212010#gid=2087212010"",""Form Responses 1!B2:B104""),0),1), 0)"),0.0)</f>
        <v>0</v>
      </c>
      <c r="AH50" s="75">
        <f>IFERROR(__xludf.DUMMYFUNCTION("IFERROR(IF(Match(L50,IMPORTRANGE(""https://docs.google.com/spreadsheets/d/1HbfCXhSXbtTODKKY1MOFwJccyhgDKD0J9sO1k5l_6lM/edit?resourcekey=&amp;gid=1616384832#gid=1616384832"",""Form Responses 1!E2:E143""),0),1), 0)"),0.0)</f>
        <v>0</v>
      </c>
    </row>
    <row r="51" ht="22.5" customHeight="1">
      <c r="A51" s="102">
        <v>45917.664897870374</v>
      </c>
      <c r="B51" s="103" t="s">
        <v>136</v>
      </c>
      <c r="C51" s="103" t="s">
        <v>587</v>
      </c>
      <c r="D51" s="103" t="s">
        <v>588</v>
      </c>
      <c r="E51" s="103" t="s">
        <v>420</v>
      </c>
      <c r="F51" s="103" t="s">
        <v>436</v>
      </c>
      <c r="G51" s="103" t="s">
        <v>137</v>
      </c>
      <c r="H51" s="103" t="s">
        <v>589</v>
      </c>
      <c r="I51" s="96"/>
      <c r="J51" s="7"/>
      <c r="K51" s="7" t="s">
        <v>122</v>
      </c>
      <c r="L51" s="7" t="s">
        <v>123</v>
      </c>
      <c r="M51" s="7" t="s">
        <v>124</v>
      </c>
      <c r="N51" s="8" t="s">
        <v>11</v>
      </c>
      <c r="O51" s="7" t="s">
        <v>12</v>
      </c>
      <c r="P51" s="31">
        <v>10.0</v>
      </c>
      <c r="Q51" s="7" t="s">
        <v>521</v>
      </c>
      <c r="R51" s="97">
        <f t="shared" si="23"/>
        <v>1</v>
      </c>
      <c r="S51" s="97">
        <f t="shared" si="40"/>
        <v>1</v>
      </c>
      <c r="T51" s="98">
        <f t="shared" si="32"/>
        <v>1</v>
      </c>
      <c r="U51" s="99">
        <f>IFERROR(__xludf.DUMMYFUNCTION("IFERROR(IF(Match(L51,IMPORTRANGE(""https://docs.google.com/spreadsheets/d/1CAXKDiOnZb21bZOY_nacH9xI9AiD-nH8ZZQAwYKkVC0/edit?usp=drivesdk"",""Completed Exams!A1:A135""),0),1), 0)"),0.0)</f>
        <v>0</v>
      </c>
      <c r="V51" s="100">
        <f t="shared" si="27"/>
        <v>1</v>
      </c>
      <c r="W51" s="100">
        <v>1.0</v>
      </c>
      <c r="X51" s="101">
        <f t="shared" si="29"/>
        <v>1</v>
      </c>
      <c r="Y51" s="101">
        <f t="shared" si="39"/>
        <v>1</v>
      </c>
      <c r="Z51" s="101">
        <f t="shared" si="36"/>
        <v>1</v>
      </c>
      <c r="AA51" s="101">
        <f t="shared" si="37"/>
        <v>1</v>
      </c>
      <c r="AB51" s="101">
        <f>IFERROR(__xludf.DUMMYFUNCTION("IFERROR(IF(Match(L51,IMPORTRANGE(""https://docs.google.com/spreadsheets/d/1n1sT_Q_W3mKmn2Yrd8qcNzuRD4zr4DB9gqARnjQ30B4/edit?gid=1918970062#gid=1918970062"",""Form Responses 1!B2:B49""),0),1), 0)"),0.0)</f>
        <v>0</v>
      </c>
      <c r="AC51" s="101">
        <f t="shared" si="12"/>
        <v>1</v>
      </c>
      <c r="AD51" s="100">
        <v>1.0</v>
      </c>
      <c r="AE51" s="101">
        <f>IFERROR(__xludf.DUMMYFUNCTION("IFERROR(IF(Match(L51,IMPORTRANGE(""https://docs.google.com/spreadsheets/d/1hvckjcCpxEuDQDPrBMml_I1kBhYyjrgR8qBKC9QGVUc/edit?resourcekey=&amp;gid=230793720#gid=230793720"",""Form Responses 1!B2:B199""),0),1), 0)"),0.0)</f>
        <v>0</v>
      </c>
      <c r="AF51" s="75">
        <f>IFERROR(__xludf.DUMMYFUNCTION("IFERROR(IF(Match(L51,IMPORTRANGE(""https://docs.google.com/spreadsheets/d/1UY0hI2S83Fmafa5P-C1LM9yqe4v4qIKTnVy_CzLzRPs/edit?resourcekey=&amp;gid=1583835601#gid=1583835601"",""Form Responses 1!B2:B194""),0),1), 0)"),0.0)</f>
        <v>0</v>
      </c>
      <c r="AG51" s="75">
        <f>IFERROR(__xludf.DUMMYFUNCTION("IFERROR(IF(Match(L51,IMPORTRANGE(""https://docs.google.com/spreadsheets/d/1hO4mQ22n6cudUygJ2ss_JeJdm2Ua_7hJl_79lWWEtic/edit?resourcekey=&amp;gid=2087212010#gid=2087212010"",""Form Responses 1!B2:B104""),0),1), 0)"),0.0)</f>
        <v>0</v>
      </c>
      <c r="AH51" s="75">
        <f>IFERROR(__xludf.DUMMYFUNCTION("IFERROR(IF(Match(L51,IMPORTRANGE(""https://docs.google.com/spreadsheets/d/1HbfCXhSXbtTODKKY1MOFwJccyhgDKD0J9sO1k5l_6lM/edit?resourcekey=&amp;gid=1616384832#gid=1616384832"",""Form Responses 1!E2:E143""),0),1), 0)"),0.0)</f>
        <v>0</v>
      </c>
    </row>
    <row r="52" ht="22.5" customHeight="1">
      <c r="A52" s="102">
        <v>45917.66496202546</v>
      </c>
      <c r="B52" s="103" t="s">
        <v>324</v>
      </c>
      <c r="C52" s="103" t="s">
        <v>590</v>
      </c>
      <c r="D52" s="103" t="s">
        <v>591</v>
      </c>
      <c r="E52" s="103" t="s">
        <v>578</v>
      </c>
      <c r="F52" s="103" t="s">
        <v>436</v>
      </c>
      <c r="G52" s="103" t="s">
        <v>71</v>
      </c>
      <c r="H52" s="103" t="s">
        <v>592</v>
      </c>
      <c r="I52" s="96"/>
      <c r="J52" s="7"/>
      <c r="K52" s="7" t="s">
        <v>125</v>
      </c>
      <c r="L52" s="7" t="s">
        <v>126</v>
      </c>
      <c r="M52" s="7" t="s">
        <v>124</v>
      </c>
      <c r="N52" s="8" t="s">
        <v>11</v>
      </c>
      <c r="O52" s="7" t="s">
        <v>12</v>
      </c>
      <c r="P52" s="31">
        <v>10.0</v>
      </c>
      <c r="Q52" s="7" t="s">
        <v>521</v>
      </c>
      <c r="R52" s="104">
        <v>0.5</v>
      </c>
      <c r="S52" s="97">
        <f t="shared" si="40"/>
        <v>0</v>
      </c>
      <c r="T52" s="98">
        <f t="shared" si="32"/>
        <v>1</v>
      </c>
      <c r="U52" s="99">
        <f>IFERROR(__xludf.DUMMYFUNCTION("IFERROR(IF(Match(L52,IMPORTRANGE(""https://docs.google.com/spreadsheets/d/1CAXKDiOnZb21bZOY_nacH9xI9AiD-nH8ZZQAwYKkVC0/edit?usp=drivesdk"",""Completed Exams!A1:A135""),0),1), 0)"),0.0)</f>
        <v>0</v>
      </c>
      <c r="V52" s="100">
        <f t="shared" si="27"/>
        <v>1</v>
      </c>
      <c r="W52" s="100">
        <v>1.0</v>
      </c>
      <c r="X52" s="101">
        <f t="shared" si="29"/>
        <v>1</v>
      </c>
      <c r="Y52" s="101">
        <f t="shared" si="39"/>
        <v>1</v>
      </c>
      <c r="Z52" s="101">
        <f t="shared" si="36"/>
        <v>0</v>
      </c>
      <c r="AA52" s="101">
        <f t="shared" si="37"/>
        <v>1</v>
      </c>
      <c r="AB52" s="100">
        <v>0.5</v>
      </c>
      <c r="AC52" s="101">
        <f t="shared" si="12"/>
        <v>1</v>
      </c>
      <c r="AD52" s="100">
        <v>1.0</v>
      </c>
      <c r="AE52" s="101">
        <f>IFERROR(__xludf.DUMMYFUNCTION("IFERROR(IF(Match(L52,IMPORTRANGE(""https://docs.google.com/spreadsheets/d/1hvckjcCpxEuDQDPrBMml_I1kBhYyjrgR8qBKC9QGVUc/edit?resourcekey=&amp;gid=230793720#gid=230793720"",""Form Responses 1!B2:B199""),0),1), 0)"),0.0)</f>
        <v>0</v>
      </c>
      <c r="AF52" s="75">
        <f>IFERROR(__xludf.DUMMYFUNCTION("IFERROR(IF(Match(L52,IMPORTRANGE(""https://docs.google.com/spreadsheets/d/1UY0hI2S83Fmafa5P-C1LM9yqe4v4qIKTnVy_CzLzRPs/edit?resourcekey=&amp;gid=1583835601#gid=1583835601"",""Form Responses 1!B2:B194""),0),1), 0)"),0.0)</f>
        <v>0</v>
      </c>
      <c r="AG52" s="75">
        <f>IFERROR(__xludf.DUMMYFUNCTION("IFERROR(IF(Match(L52,IMPORTRANGE(""https://docs.google.com/spreadsheets/d/1hO4mQ22n6cudUygJ2ss_JeJdm2Ua_7hJl_79lWWEtic/edit?resourcekey=&amp;gid=2087212010#gid=2087212010"",""Form Responses 1!B2:B104""),0),1), 0)"),0.0)</f>
        <v>0</v>
      </c>
      <c r="AH52" s="75">
        <f>IFERROR(__xludf.DUMMYFUNCTION("IFERROR(IF(Match(L52,IMPORTRANGE(""https://docs.google.com/spreadsheets/d/1HbfCXhSXbtTODKKY1MOFwJccyhgDKD0J9sO1k5l_6lM/edit?resourcekey=&amp;gid=1616384832#gid=1616384832"",""Form Responses 1!E2:E143""),0),1), 0)"),0.0)</f>
        <v>0</v>
      </c>
    </row>
    <row r="53" ht="22.5" customHeight="1">
      <c r="A53" s="102">
        <v>45917.664978553235</v>
      </c>
      <c r="B53" s="103" t="s">
        <v>396</v>
      </c>
      <c r="C53" s="103" t="s">
        <v>593</v>
      </c>
      <c r="D53" s="103" t="s">
        <v>594</v>
      </c>
      <c r="E53" s="103" t="s">
        <v>578</v>
      </c>
      <c r="F53" s="103" t="s">
        <v>436</v>
      </c>
      <c r="G53" s="103" t="s">
        <v>568</v>
      </c>
      <c r="H53" s="103" t="s">
        <v>595</v>
      </c>
      <c r="I53" s="96"/>
      <c r="J53" s="7"/>
      <c r="K53" s="7" t="s">
        <v>127</v>
      </c>
      <c r="L53" s="7" t="s">
        <v>128</v>
      </c>
      <c r="M53" s="7" t="s">
        <v>124</v>
      </c>
      <c r="N53" s="8" t="s">
        <v>11</v>
      </c>
      <c r="O53" s="7" t="s">
        <v>12</v>
      </c>
      <c r="P53" s="31">
        <v>10.0</v>
      </c>
      <c r="Q53" s="7" t="s">
        <v>521</v>
      </c>
      <c r="R53" s="97">
        <f t="shared" ref="R53:R103" si="41">IF(COUNTIF(B$2:B$149,L53)=0,0,1)</f>
        <v>1</v>
      </c>
      <c r="S53" s="97">
        <f t="shared" si="40"/>
        <v>1</v>
      </c>
      <c r="T53" s="98">
        <f t="shared" si="32"/>
        <v>1</v>
      </c>
      <c r="U53" s="99">
        <f>IFERROR(__xludf.DUMMYFUNCTION("IFERROR(IF(Match(L53,IMPORTRANGE(""https://docs.google.com/spreadsheets/d/1CAXKDiOnZb21bZOY_nacH9xI9AiD-nH8ZZQAwYKkVC0/edit?usp=drivesdk"",""Completed Exams!A1:A135""),0),1), 0)"),0.0)</f>
        <v>0</v>
      </c>
      <c r="V53" s="100">
        <f t="shared" si="27"/>
        <v>1</v>
      </c>
      <c r="W53" s="100">
        <v>1.0</v>
      </c>
      <c r="X53" s="101">
        <f t="shared" si="29"/>
        <v>1</v>
      </c>
      <c r="Y53" s="101">
        <f t="shared" si="39"/>
        <v>1</v>
      </c>
      <c r="Z53" s="101">
        <f t="shared" si="36"/>
        <v>1</v>
      </c>
      <c r="AA53" s="101">
        <f t="shared" si="37"/>
        <v>1</v>
      </c>
      <c r="AB53" s="101">
        <f>IFERROR(__xludf.DUMMYFUNCTION("IFERROR(IF(Match(L53,IMPORTRANGE(""https://docs.google.com/spreadsheets/d/1n1sT_Q_W3mKmn2Yrd8qcNzuRD4zr4DB9gqARnjQ30B4/edit?gid=1918970062#gid=1918970062"",""Form Responses 1!B2:B49""),0),1), 0)"),0.0)</f>
        <v>0</v>
      </c>
      <c r="AC53" s="101">
        <f t="shared" si="12"/>
        <v>1</v>
      </c>
      <c r="AD53" s="100">
        <v>1.0</v>
      </c>
      <c r="AE53" s="101">
        <f>IFERROR(__xludf.DUMMYFUNCTION("IFERROR(IF(Match(L53,IMPORTRANGE(""https://docs.google.com/spreadsheets/d/1hvckjcCpxEuDQDPrBMml_I1kBhYyjrgR8qBKC9QGVUc/edit?resourcekey=&amp;gid=230793720#gid=230793720"",""Form Responses 1!B2:B199""),0),1), 0)"),0.0)</f>
        <v>0</v>
      </c>
      <c r="AF53" s="75">
        <f>IFERROR(__xludf.DUMMYFUNCTION("IFERROR(IF(Match(L53,IMPORTRANGE(""https://docs.google.com/spreadsheets/d/1UY0hI2S83Fmafa5P-C1LM9yqe4v4qIKTnVy_CzLzRPs/edit?resourcekey=&amp;gid=1583835601#gid=1583835601"",""Form Responses 1!B2:B194""),0),1), 0)"),0.0)</f>
        <v>0</v>
      </c>
      <c r="AG53" s="75">
        <f>IFERROR(__xludf.DUMMYFUNCTION("IFERROR(IF(Match(L53,IMPORTRANGE(""https://docs.google.com/spreadsheets/d/1hO4mQ22n6cudUygJ2ss_JeJdm2Ua_7hJl_79lWWEtic/edit?resourcekey=&amp;gid=2087212010#gid=2087212010"",""Form Responses 1!B2:B104""),0),1), 0)"),0.0)</f>
        <v>0</v>
      </c>
      <c r="AH53" s="75">
        <f>IFERROR(__xludf.DUMMYFUNCTION("IFERROR(IF(Match(L53,IMPORTRANGE(""https://docs.google.com/spreadsheets/d/1HbfCXhSXbtTODKKY1MOFwJccyhgDKD0J9sO1k5l_6lM/edit?resourcekey=&amp;gid=1616384832#gid=1616384832"",""Form Responses 1!E2:E143""),0),1), 0)"),0.0)</f>
        <v>0</v>
      </c>
    </row>
    <row r="54" ht="22.5" customHeight="1">
      <c r="A54" s="102">
        <v>45917.665020659726</v>
      </c>
      <c r="B54" s="103" t="s">
        <v>22</v>
      </c>
      <c r="C54" s="103" t="s">
        <v>596</v>
      </c>
      <c r="D54" s="103" t="s">
        <v>597</v>
      </c>
      <c r="E54" s="103" t="s">
        <v>450</v>
      </c>
      <c r="F54" s="103" t="s">
        <v>441</v>
      </c>
      <c r="G54" s="103" t="s">
        <v>23</v>
      </c>
      <c r="H54" s="103" t="s">
        <v>598</v>
      </c>
      <c r="I54" s="96"/>
      <c r="J54" s="7"/>
      <c r="K54" s="7" t="s">
        <v>129</v>
      </c>
      <c r="L54" s="7" t="s">
        <v>130</v>
      </c>
      <c r="M54" s="7" t="s">
        <v>124</v>
      </c>
      <c r="N54" s="8" t="s">
        <v>11</v>
      </c>
      <c r="O54" s="7" t="s">
        <v>12</v>
      </c>
      <c r="P54" s="31">
        <v>10.0</v>
      </c>
      <c r="Q54" s="7" t="s">
        <v>521</v>
      </c>
      <c r="R54" s="97">
        <f t="shared" si="41"/>
        <v>1</v>
      </c>
      <c r="S54" s="97">
        <f t="shared" si="40"/>
        <v>1</v>
      </c>
      <c r="T54" s="98">
        <f t="shared" si="32"/>
        <v>1</v>
      </c>
      <c r="U54" s="99">
        <f>IFERROR(__xludf.DUMMYFUNCTION("IFERROR(IF(Match(L54,IMPORTRANGE(""https://docs.google.com/spreadsheets/d/1CAXKDiOnZb21bZOY_nacH9xI9AiD-nH8ZZQAwYKkVC0/edit?usp=drivesdk"",""Completed Exams!A1:A135""),0),1), 0)"),0.0)</f>
        <v>0</v>
      </c>
      <c r="V54" s="100">
        <f t="shared" si="27"/>
        <v>1</v>
      </c>
      <c r="W54" s="100">
        <f t="shared" ref="W54:W55" si="42">IF(COUNTIF(B$535:B$602,L54)=0,0,1)</f>
        <v>1</v>
      </c>
      <c r="X54" s="101">
        <f t="shared" si="29"/>
        <v>1</v>
      </c>
      <c r="Y54" s="101">
        <f t="shared" si="39"/>
        <v>1</v>
      </c>
      <c r="Z54" s="101">
        <f t="shared" si="36"/>
        <v>1</v>
      </c>
      <c r="AA54" s="101">
        <f t="shared" si="37"/>
        <v>1</v>
      </c>
      <c r="AB54" s="101">
        <f>IFERROR(__xludf.DUMMYFUNCTION("IFERROR(IF(Match(L54,IMPORTRANGE(""https://docs.google.com/spreadsheets/d/1n1sT_Q_W3mKmn2Yrd8qcNzuRD4zr4DB9gqARnjQ30B4/edit?gid=1918970062#gid=1918970062"",""Form Responses 1!B2:B49""),0),1), 0)"),0.0)</f>
        <v>0</v>
      </c>
      <c r="AC54" s="101">
        <f t="shared" si="12"/>
        <v>1</v>
      </c>
      <c r="AD54" s="100">
        <v>0.0</v>
      </c>
      <c r="AE54" s="101">
        <f>IFERROR(__xludf.DUMMYFUNCTION("IFERROR(IF(Match(L54,IMPORTRANGE(""https://docs.google.com/spreadsheets/d/1hvckjcCpxEuDQDPrBMml_I1kBhYyjrgR8qBKC9QGVUc/edit?resourcekey=&amp;gid=230793720#gid=230793720"",""Form Responses 1!B2:B199""),0),1), 0)"),0.0)</f>
        <v>0</v>
      </c>
      <c r="AF54" s="75">
        <f>IFERROR(__xludf.DUMMYFUNCTION("IFERROR(IF(Match(L54,IMPORTRANGE(""https://docs.google.com/spreadsheets/d/1UY0hI2S83Fmafa5P-C1LM9yqe4v4qIKTnVy_CzLzRPs/edit?resourcekey=&amp;gid=1583835601#gid=1583835601"",""Form Responses 1!B2:B194""),0),1), 0)"),0.0)</f>
        <v>0</v>
      </c>
      <c r="AG54" s="75">
        <f>IFERROR(__xludf.DUMMYFUNCTION("IFERROR(IF(Match(L54,IMPORTRANGE(""https://docs.google.com/spreadsheets/d/1hO4mQ22n6cudUygJ2ss_JeJdm2Ua_7hJl_79lWWEtic/edit?resourcekey=&amp;gid=2087212010#gid=2087212010"",""Form Responses 1!B2:B104""),0),1), 0)"),0.0)</f>
        <v>0</v>
      </c>
      <c r="AH54" s="75">
        <f>IFERROR(__xludf.DUMMYFUNCTION("IFERROR(IF(Match(L54,IMPORTRANGE(""https://docs.google.com/spreadsheets/d/1HbfCXhSXbtTODKKY1MOFwJccyhgDKD0J9sO1k5l_6lM/edit?resourcekey=&amp;gid=1616384832#gid=1616384832"",""Form Responses 1!E2:E143""),0),1), 0)"),0.0)</f>
        <v>0</v>
      </c>
      <c r="AI54" s="10">
        <v>1.0</v>
      </c>
    </row>
    <row r="55" ht="22.5" customHeight="1">
      <c r="A55" s="102">
        <v>45917.66502341435</v>
      </c>
      <c r="B55" s="103" t="s">
        <v>167</v>
      </c>
      <c r="C55" s="103" t="s">
        <v>599</v>
      </c>
      <c r="D55" s="103" t="s">
        <v>600</v>
      </c>
      <c r="E55" s="103" t="s">
        <v>420</v>
      </c>
      <c r="F55" s="103" t="s">
        <v>436</v>
      </c>
      <c r="G55" s="103" t="s">
        <v>161</v>
      </c>
      <c r="H55" s="103" t="s">
        <v>601</v>
      </c>
      <c r="I55" s="96"/>
      <c r="J55" s="7"/>
      <c r="K55" s="7" t="s">
        <v>131</v>
      </c>
      <c r="L55" s="7" t="s">
        <v>132</v>
      </c>
      <c r="M55" s="7" t="s">
        <v>124</v>
      </c>
      <c r="N55" s="8" t="s">
        <v>11</v>
      </c>
      <c r="O55" s="7" t="s">
        <v>12</v>
      </c>
      <c r="P55" s="31">
        <v>10.0</v>
      </c>
      <c r="Q55" s="7" t="s">
        <v>447</v>
      </c>
      <c r="R55" s="97">
        <f t="shared" si="41"/>
        <v>1</v>
      </c>
      <c r="S55" s="97">
        <f t="shared" si="40"/>
        <v>1</v>
      </c>
      <c r="T55" s="98">
        <f t="shared" si="32"/>
        <v>1</v>
      </c>
      <c r="U55" s="99">
        <f>IFERROR(__xludf.DUMMYFUNCTION("IFERROR(IF(Match(L55,IMPORTRANGE(""https://docs.google.com/spreadsheets/d/1CAXKDiOnZb21bZOY_nacH9xI9AiD-nH8ZZQAwYKkVC0/edit?usp=drivesdk"",""Completed Exams!A1:A135""),0),1), 0)"),0.0)</f>
        <v>0</v>
      </c>
      <c r="V55" s="100">
        <f t="shared" si="27"/>
        <v>1</v>
      </c>
      <c r="W55" s="100">
        <f t="shared" si="42"/>
        <v>0</v>
      </c>
      <c r="X55" s="101">
        <f t="shared" si="29"/>
        <v>1</v>
      </c>
      <c r="Y55" s="101">
        <f t="shared" si="39"/>
        <v>1</v>
      </c>
      <c r="Z55" s="101">
        <f t="shared" si="36"/>
        <v>1</v>
      </c>
      <c r="AA55" s="101">
        <f t="shared" si="37"/>
        <v>1</v>
      </c>
      <c r="AB55" s="101">
        <f>IFERROR(__xludf.DUMMYFUNCTION("IFERROR(IF(Match(L55,IMPORTRANGE(""https://docs.google.com/spreadsheets/d/1n1sT_Q_W3mKmn2Yrd8qcNzuRD4zr4DB9gqARnjQ30B4/edit?gid=1918970062#gid=1918970062"",""Form Responses 1!B2:B49""),0),1), 0)"),0.0)</f>
        <v>0</v>
      </c>
      <c r="AC55" s="101">
        <f t="shared" si="12"/>
        <v>1</v>
      </c>
      <c r="AD55" s="100">
        <v>1.0</v>
      </c>
      <c r="AE55" s="101">
        <f>IFERROR(__xludf.DUMMYFUNCTION("IFERROR(IF(Match(L55,IMPORTRANGE(""https://docs.google.com/spreadsheets/d/1hvckjcCpxEuDQDPrBMml_I1kBhYyjrgR8qBKC9QGVUc/edit?resourcekey=&amp;gid=230793720#gid=230793720"",""Form Responses 1!B2:B199""),0),1), 0)"),0.0)</f>
        <v>0</v>
      </c>
      <c r="AF55" s="10">
        <v>0.5</v>
      </c>
      <c r="AG55" s="75">
        <f>IFERROR(__xludf.DUMMYFUNCTION("IFERROR(IF(Match(L55,IMPORTRANGE(""https://docs.google.com/spreadsheets/d/1hO4mQ22n6cudUygJ2ss_JeJdm2Ua_7hJl_79lWWEtic/edit?resourcekey=&amp;gid=2087212010#gid=2087212010"",""Form Responses 1!B2:B104""),0),1), 0)"),0.0)</f>
        <v>0</v>
      </c>
      <c r="AH55" s="75">
        <f>IFERROR(__xludf.DUMMYFUNCTION("IFERROR(IF(Match(L55,IMPORTRANGE(""https://docs.google.com/spreadsheets/d/1HbfCXhSXbtTODKKY1MOFwJccyhgDKD0J9sO1k5l_6lM/edit?resourcekey=&amp;gid=1616384832#gid=1616384832"",""Form Responses 1!E2:E143""),0),1), 0)"),0.0)</f>
        <v>0</v>
      </c>
    </row>
    <row r="56" ht="22.5" customHeight="1">
      <c r="A56" s="102">
        <v>45917.66503525463</v>
      </c>
      <c r="B56" s="103" t="s">
        <v>274</v>
      </c>
      <c r="C56" s="103" t="s">
        <v>602</v>
      </c>
      <c r="D56" s="103" t="s">
        <v>603</v>
      </c>
      <c r="E56" s="103" t="s">
        <v>450</v>
      </c>
      <c r="F56" s="103" t="s">
        <v>436</v>
      </c>
      <c r="G56" s="103" t="s">
        <v>604</v>
      </c>
      <c r="H56" s="103" t="s">
        <v>605</v>
      </c>
      <c r="I56" s="96"/>
      <c r="J56" s="7"/>
      <c r="K56" s="16" t="s">
        <v>133</v>
      </c>
      <c r="L56" s="16" t="s">
        <v>134</v>
      </c>
      <c r="M56" s="16" t="s">
        <v>124</v>
      </c>
      <c r="N56" s="17" t="s">
        <v>11</v>
      </c>
      <c r="O56" s="16" t="s">
        <v>12</v>
      </c>
      <c r="P56" s="33">
        <v>10.0</v>
      </c>
      <c r="Q56" s="16" t="s">
        <v>447</v>
      </c>
      <c r="R56" s="97">
        <f t="shared" si="41"/>
        <v>1</v>
      </c>
      <c r="S56" s="97">
        <f t="shared" si="40"/>
        <v>1</v>
      </c>
      <c r="T56" s="98">
        <f t="shared" si="32"/>
        <v>1</v>
      </c>
      <c r="U56" s="99">
        <f>IFERROR(__xludf.DUMMYFUNCTION("IFERROR(IF(Match(L56,IMPORTRANGE(""https://docs.google.com/spreadsheets/d/1CAXKDiOnZb21bZOY_nacH9xI9AiD-nH8ZZQAwYKkVC0/edit?usp=drivesdk"",""Completed Exams!A1:A135""),0),1), 0)"),0.0)</f>
        <v>0</v>
      </c>
      <c r="V56" s="100">
        <f t="shared" si="27"/>
        <v>0</v>
      </c>
      <c r="W56" s="100">
        <v>1.0</v>
      </c>
      <c r="X56" s="101">
        <f t="shared" si="29"/>
        <v>1</v>
      </c>
      <c r="Y56" s="101">
        <f t="shared" si="39"/>
        <v>1</v>
      </c>
      <c r="Z56" s="101">
        <f t="shared" si="36"/>
        <v>1</v>
      </c>
      <c r="AA56" s="101">
        <f t="shared" si="37"/>
        <v>1</v>
      </c>
      <c r="AB56" s="100">
        <v>1.0</v>
      </c>
      <c r="AC56" s="101">
        <f t="shared" si="12"/>
        <v>1</v>
      </c>
      <c r="AD56" s="100">
        <v>1.0</v>
      </c>
      <c r="AE56" s="101">
        <f>IFERROR(__xludf.DUMMYFUNCTION("IFERROR(IF(Match(L56,IMPORTRANGE(""https://docs.google.com/spreadsheets/d/1hvckjcCpxEuDQDPrBMml_I1kBhYyjrgR8qBKC9QGVUc/edit?resourcekey=&amp;gid=230793720#gid=230793720"",""Form Responses 1!B2:B199""),0),1), 0)"),0.0)</f>
        <v>0</v>
      </c>
      <c r="AF56" s="75">
        <f>IFERROR(__xludf.DUMMYFUNCTION("IFERROR(IF(Match(L56,IMPORTRANGE(""https://docs.google.com/spreadsheets/d/1UY0hI2S83Fmafa5P-C1LM9yqe4v4qIKTnVy_CzLzRPs/edit?resourcekey=&amp;gid=1583835601#gid=1583835601"",""Form Responses 1!B2:B194""),0),1), 0)"),0.0)</f>
        <v>0</v>
      </c>
      <c r="AG56" s="75">
        <f>IFERROR(__xludf.DUMMYFUNCTION("IFERROR(IF(Match(L56,IMPORTRANGE(""https://docs.google.com/spreadsheets/d/1hO4mQ22n6cudUygJ2ss_JeJdm2Ua_7hJl_79lWWEtic/edit?resourcekey=&amp;gid=2087212010#gid=2087212010"",""Form Responses 1!B2:B104""),0),1), 0)"),0.0)</f>
        <v>0</v>
      </c>
      <c r="AH56" s="75">
        <f>IFERROR(__xludf.DUMMYFUNCTION("IFERROR(IF(Match(L56,IMPORTRANGE(""https://docs.google.com/spreadsheets/d/1HbfCXhSXbtTODKKY1MOFwJccyhgDKD0J9sO1k5l_6lM/edit?resourcekey=&amp;gid=1616384832#gid=1616384832"",""Form Responses 1!E2:E143""),0),1), 0)"),0.0)</f>
        <v>0</v>
      </c>
    </row>
    <row r="57" ht="22.5" customHeight="1">
      <c r="A57" s="102">
        <v>45917.66503552083</v>
      </c>
      <c r="B57" s="103" t="s">
        <v>259</v>
      </c>
      <c r="C57" s="103" t="s">
        <v>606</v>
      </c>
      <c r="D57" s="103" t="s">
        <v>607</v>
      </c>
      <c r="E57" s="103" t="s">
        <v>450</v>
      </c>
      <c r="F57" s="103" t="s">
        <v>441</v>
      </c>
      <c r="G57" s="103" t="s">
        <v>608</v>
      </c>
      <c r="H57" s="103" t="s">
        <v>598</v>
      </c>
      <c r="I57" s="96"/>
      <c r="J57" s="7"/>
      <c r="K57" s="7" t="s">
        <v>135</v>
      </c>
      <c r="L57" s="7" t="s">
        <v>136</v>
      </c>
      <c r="M57" s="7" t="s">
        <v>137</v>
      </c>
      <c r="N57" s="8" t="s">
        <v>11</v>
      </c>
      <c r="O57" s="7" t="s">
        <v>12</v>
      </c>
      <c r="P57" s="9">
        <v>11.0</v>
      </c>
      <c r="Q57" s="7" t="s">
        <v>424</v>
      </c>
      <c r="R57" s="97">
        <f t="shared" si="41"/>
        <v>1</v>
      </c>
      <c r="S57" s="97">
        <f t="shared" si="40"/>
        <v>1</v>
      </c>
      <c r="T57" s="98">
        <f t="shared" si="32"/>
        <v>1</v>
      </c>
      <c r="U57" s="99">
        <f>IFERROR(__xludf.DUMMYFUNCTION("IFERROR(IF(Match(L57,IMPORTRANGE(""https://docs.google.com/spreadsheets/d/1CAXKDiOnZb21bZOY_nacH9xI9AiD-nH8ZZQAwYKkVC0/edit?usp=drivesdk"",""Completed Exams!A1:A135""),0),1), 0)"),0.0)</f>
        <v>0</v>
      </c>
      <c r="V57" s="100">
        <f t="shared" si="27"/>
        <v>0</v>
      </c>
      <c r="W57" s="100">
        <f t="shared" ref="W57:W58" si="43">IF(COUNTIF(B$535:B$602,L57)=0,0,1)</f>
        <v>0</v>
      </c>
      <c r="X57" s="101">
        <f t="shared" si="29"/>
        <v>0</v>
      </c>
      <c r="Y57" s="101">
        <f t="shared" si="39"/>
        <v>1</v>
      </c>
      <c r="Z57" s="101">
        <f t="shared" si="36"/>
        <v>1</v>
      </c>
      <c r="AA57" s="101">
        <f t="shared" si="37"/>
        <v>1</v>
      </c>
      <c r="AB57" s="101">
        <f>IFERROR(__xludf.DUMMYFUNCTION("IFERROR(IF(Match(L57,IMPORTRANGE(""https://docs.google.com/spreadsheets/d/1n1sT_Q_W3mKmn2Yrd8qcNzuRD4zr4DB9gqARnjQ30B4/edit?gid=1918970062#gid=1918970062"",""Form Responses 1!B2:B49""),0),1), 0)"),0.0)</f>
        <v>0</v>
      </c>
      <c r="AC57" s="101">
        <f t="shared" si="12"/>
        <v>0</v>
      </c>
      <c r="AD57" s="100">
        <v>0.0</v>
      </c>
      <c r="AE57" s="101">
        <f>IFERROR(__xludf.DUMMYFUNCTION("IFERROR(IF(Match(L57,IMPORTRANGE(""https://docs.google.com/spreadsheets/d/1hvckjcCpxEuDQDPrBMml_I1kBhYyjrgR8qBKC9QGVUc/edit?resourcekey=&amp;gid=230793720#gid=230793720"",""Form Responses 1!B2:B199""),0),1), 0)"),0.0)</f>
        <v>0</v>
      </c>
      <c r="AF57" s="75">
        <f>IFERROR(__xludf.DUMMYFUNCTION("IFERROR(IF(Match(L57,IMPORTRANGE(""https://docs.google.com/spreadsheets/d/1UY0hI2S83Fmafa5P-C1LM9yqe4v4qIKTnVy_CzLzRPs/edit?resourcekey=&amp;gid=1583835601#gid=1583835601"",""Form Responses 1!B2:B194""),0),1), 0)"),0.0)</f>
        <v>0</v>
      </c>
      <c r="AG57" s="75">
        <f>IFERROR(__xludf.DUMMYFUNCTION("IFERROR(IF(Match(L57,IMPORTRANGE(""https://docs.google.com/spreadsheets/d/1hO4mQ22n6cudUygJ2ss_JeJdm2Ua_7hJl_79lWWEtic/edit?resourcekey=&amp;gid=2087212010#gid=2087212010"",""Form Responses 1!B2:B104""),0),1), 0)"),0.0)</f>
        <v>0</v>
      </c>
      <c r="AH57" s="75">
        <f>IFERROR(__xludf.DUMMYFUNCTION("IFERROR(IF(Match(L57,IMPORTRANGE(""https://docs.google.com/spreadsheets/d/1HbfCXhSXbtTODKKY1MOFwJccyhgDKD0J9sO1k5l_6lM/edit?resourcekey=&amp;gid=1616384832#gid=1616384832"",""Form Responses 1!E2:E143""),0),1), 0)"),0.0)</f>
        <v>0</v>
      </c>
    </row>
    <row r="58" ht="22.5" customHeight="1">
      <c r="A58" s="102">
        <v>45917.66504291666</v>
      </c>
      <c r="B58" s="103" t="s">
        <v>171</v>
      </c>
      <c r="C58" s="103" t="s">
        <v>609</v>
      </c>
      <c r="D58" s="103" t="s">
        <v>610</v>
      </c>
      <c r="E58" s="103" t="s">
        <v>578</v>
      </c>
      <c r="F58" s="103" t="s">
        <v>436</v>
      </c>
      <c r="G58" s="103" t="s">
        <v>172</v>
      </c>
      <c r="H58" s="103" t="s">
        <v>611</v>
      </c>
      <c r="I58" s="96"/>
      <c r="J58" s="7"/>
      <c r="K58" s="7" t="s">
        <v>138</v>
      </c>
      <c r="L58" s="7" t="s">
        <v>139</v>
      </c>
      <c r="M58" s="7" t="s">
        <v>137</v>
      </c>
      <c r="N58" s="8" t="s">
        <v>24</v>
      </c>
      <c r="O58" s="7" t="s">
        <v>29</v>
      </c>
      <c r="P58" s="9">
        <v>11.0</v>
      </c>
      <c r="Q58" s="7" t="s">
        <v>612</v>
      </c>
      <c r="R58" s="97">
        <f t="shared" si="41"/>
        <v>0</v>
      </c>
      <c r="S58" s="97">
        <f t="shared" si="40"/>
        <v>0</v>
      </c>
      <c r="T58" s="98">
        <f t="shared" si="32"/>
        <v>0</v>
      </c>
      <c r="U58" s="98">
        <v>1.0</v>
      </c>
      <c r="V58" s="100">
        <f t="shared" si="27"/>
        <v>0</v>
      </c>
      <c r="W58" s="100">
        <f t="shared" si="43"/>
        <v>1</v>
      </c>
      <c r="X58" s="101">
        <f t="shared" si="29"/>
        <v>0</v>
      </c>
      <c r="Y58" s="101">
        <f t="shared" si="39"/>
        <v>0</v>
      </c>
      <c r="Z58" s="101">
        <f t="shared" si="36"/>
        <v>0</v>
      </c>
      <c r="AA58" s="101">
        <f t="shared" si="37"/>
        <v>0</v>
      </c>
      <c r="AB58" s="100">
        <v>1.0</v>
      </c>
      <c r="AC58" s="101">
        <f t="shared" si="12"/>
        <v>1</v>
      </c>
      <c r="AD58" s="100">
        <v>1.0</v>
      </c>
      <c r="AE58" s="101">
        <f>IFERROR(__xludf.DUMMYFUNCTION("IFERROR(IF(Match(L58,IMPORTRANGE(""https://docs.google.com/spreadsheets/d/1hvckjcCpxEuDQDPrBMml_I1kBhYyjrgR8qBKC9QGVUc/edit?resourcekey=&amp;gid=230793720#gid=230793720"",""Form Responses 1!B2:B199""),0),1), 0)"),0.0)</f>
        <v>0</v>
      </c>
      <c r="AF58" s="75">
        <f>IFERROR(__xludf.DUMMYFUNCTION("IFERROR(IF(Match(L58,IMPORTRANGE(""https://docs.google.com/spreadsheets/d/1UY0hI2S83Fmafa5P-C1LM9yqe4v4qIKTnVy_CzLzRPs/edit?resourcekey=&amp;gid=1583835601#gid=1583835601"",""Form Responses 1!B2:B194""),0),1), 0)"),0.0)</f>
        <v>0</v>
      </c>
      <c r="AG58" s="75">
        <f>IFERROR(__xludf.DUMMYFUNCTION("IFERROR(IF(Match(L58,IMPORTRANGE(""https://docs.google.com/spreadsheets/d/1hO4mQ22n6cudUygJ2ss_JeJdm2Ua_7hJl_79lWWEtic/edit?resourcekey=&amp;gid=2087212010#gid=2087212010"",""Form Responses 1!B2:B104""),0),1), 0)"),0.0)</f>
        <v>0</v>
      </c>
      <c r="AH58" s="75">
        <f>IFERROR(__xludf.DUMMYFUNCTION("IFERROR(IF(Match(L58,IMPORTRANGE(""https://docs.google.com/spreadsheets/d/1HbfCXhSXbtTODKKY1MOFwJccyhgDKD0J9sO1k5l_6lM/edit?resourcekey=&amp;gid=1616384832#gid=1616384832"",""Form Responses 1!E2:E143""),0),1), 0)"),0.0)</f>
        <v>0</v>
      </c>
    </row>
    <row r="59" ht="22.5" customHeight="1">
      <c r="A59" s="102">
        <v>45917.66505372685</v>
      </c>
      <c r="B59" s="103" t="s">
        <v>252</v>
      </c>
      <c r="C59" s="103" t="s">
        <v>613</v>
      </c>
      <c r="D59" s="103" t="s">
        <v>614</v>
      </c>
      <c r="E59" s="103" t="s">
        <v>578</v>
      </c>
      <c r="F59" s="103" t="s">
        <v>436</v>
      </c>
      <c r="G59" s="103" t="s">
        <v>615</v>
      </c>
      <c r="H59" s="103" t="s">
        <v>616</v>
      </c>
      <c r="I59" s="96"/>
      <c r="J59" s="7"/>
      <c r="K59" s="7" t="s">
        <v>140</v>
      </c>
      <c r="L59" s="7" t="s">
        <v>141</v>
      </c>
      <c r="M59" s="7" t="s">
        <v>137</v>
      </c>
      <c r="N59" s="11" t="s">
        <v>28</v>
      </c>
      <c r="O59" s="7" t="s">
        <v>12</v>
      </c>
      <c r="P59" s="9">
        <v>11.0</v>
      </c>
      <c r="Q59" s="7" t="s">
        <v>617</v>
      </c>
      <c r="R59" s="97">
        <f t="shared" si="41"/>
        <v>1</v>
      </c>
      <c r="S59" s="97">
        <f t="shared" si="40"/>
        <v>1</v>
      </c>
      <c r="T59" s="98">
        <f t="shared" si="32"/>
        <v>1</v>
      </c>
      <c r="U59" s="99">
        <f>IFERROR(__xludf.DUMMYFUNCTION("IFERROR(IF(Match(L59,IMPORTRANGE(""https://docs.google.com/spreadsheets/d/1CAXKDiOnZb21bZOY_nacH9xI9AiD-nH8ZZQAwYKkVC0/edit?usp=drivesdk"",""Completed Exams!A1:A135""),0),1), 0)"),0.0)</f>
        <v>0</v>
      </c>
      <c r="V59" s="100">
        <f t="shared" si="27"/>
        <v>1</v>
      </c>
      <c r="W59" s="100">
        <v>1.0</v>
      </c>
      <c r="X59" s="101">
        <f t="shared" si="29"/>
        <v>1</v>
      </c>
      <c r="Y59" s="101">
        <f t="shared" si="39"/>
        <v>1</v>
      </c>
      <c r="Z59" s="101">
        <f t="shared" si="36"/>
        <v>1</v>
      </c>
      <c r="AA59" s="101">
        <f t="shared" si="37"/>
        <v>1</v>
      </c>
      <c r="AB59" s="101">
        <f>IFERROR(__xludf.DUMMYFUNCTION("IFERROR(IF(Match(L59,IMPORTRANGE(""https://docs.google.com/spreadsheets/d/1n1sT_Q_W3mKmn2Yrd8qcNzuRD4zr4DB9gqARnjQ30B4/edit?gid=1918970062#gid=1918970062"",""Form Responses 1!B2:B49""),0),1), 0)"),0.0)</f>
        <v>0</v>
      </c>
      <c r="AC59" s="101">
        <f t="shared" si="12"/>
        <v>1</v>
      </c>
      <c r="AD59" s="100">
        <v>1.0</v>
      </c>
      <c r="AE59" s="101">
        <f>IFERROR(__xludf.DUMMYFUNCTION("IFERROR(IF(Match(L59,IMPORTRANGE(""https://docs.google.com/spreadsheets/d/1hvckjcCpxEuDQDPrBMml_I1kBhYyjrgR8qBKC9QGVUc/edit?resourcekey=&amp;gid=230793720#gid=230793720"",""Form Responses 1!B2:B199""),0),1), 0)"),0.0)</f>
        <v>0</v>
      </c>
      <c r="AF59" s="75">
        <f>IFERROR(__xludf.DUMMYFUNCTION("IFERROR(IF(Match(L59,IMPORTRANGE(""https://docs.google.com/spreadsheets/d/1UY0hI2S83Fmafa5P-C1LM9yqe4v4qIKTnVy_CzLzRPs/edit?resourcekey=&amp;gid=1583835601#gid=1583835601"",""Form Responses 1!B2:B194""),0),1), 0)"),0.0)</f>
        <v>0</v>
      </c>
      <c r="AG59" s="75">
        <f>IFERROR(__xludf.DUMMYFUNCTION("IFERROR(IF(Match(L59,IMPORTRANGE(""https://docs.google.com/spreadsheets/d/1hO4mQ22n6cudUygJ2ss_JeJdm2Ua_7hJl_79lWWEtic/edit?resourcekey=&amp;gid=2087212010#gid=2087212010"",""Form Responses 1!B2:B104""),0),1), 0)"),0.0)</f>
        <v>0</v>
      </c>
      <c r="AH59" s="75">
        <f>IFERROR(__xludf.DUMMYFUNCTION("IFERROR(IF(Match(L59,IMPORTRANGE(""https://docs.google.com/spreadsheets/d/1HbfCXhSXbtTODKKY1MOFwJccyhgDKD0J9sO1k5l_6lM/edit?resourcekey=&amp;gid=1616384832#gid=1616384832"",""Form Responses 1!E2:E143""),0),1), 0)"),0.0)</f>
        <v>0</v>
      </c>
      <c r="AI59" s="10">
        <v>1.0</v>
      </c>
    </row>
    <row r="60" ht="22.5" customHeight="1">
      <c r="A60" s="102">
        <v>45917.66506298611</v>
      </c>
      <c r="B60" s="103" t="s">
        <v>197</v>
      </c>
      <c r="C60" s="103" t="s">
        <v>618</v>
      </c>
      <c r="D60" s="103" t="s">
        <v>619</v>
      </c>
      <c r="E60" s="103" t="s">
        <v>578</v>
      </c>
      <c r="F60" s="103" t="s">
        <v>436</v>
      </c>
      <c r="G60" s="103" t="s">
        <v>620</v>
      </c>
      <c r="H60" s="103" t="s">
        <v>621</v>
      </c>
      <c r="I60" s="96"/>
      <c r="J60" s="54"/>
      <c r="K60" s="54" t="s">
        <v>142</v>
      </c>
      <c r="L60" s="54" t="s">
        <v>143</v>
      </c>
      <c r="M60" s="7" t="s">
        <v>137</v>
      </c>
      <c r="N60" s="55" t="s">
        <v>24</v>
      </c>
      <c r="O60" s="56" t="s">
        <v>25</v>
      </c>
      <c r="P60" s="9">
        <v>11.0</v>
      </c>
      <c r="Q60" s="54" t="s">
        <v>485</v>
      </c>
      <c r="R60" s="97">
        <f t="shared" si="41"/>
        <v>0</v>
      </c>
      <c r="S60" s="97">
        <f t="shared" si="40"/>
        <v>0</v>
      </c>
      <c r="T60" s="98">
        <f t="shared" si="32"/>
        <v>0</v>
      </c>
      <c r="U60" s="99">
        <f>IFERROR(__xludf.DUMMYFUNCTION("IFERROR(IF(Match(L60,IMPORTRANGE(""https://docs.google.com/spreadsheets/d/1CAXKDiOnZb21bZOY_nacH9xI9AiD-nH8ZZQAwYKkVC0/edit?usp=drivesdk"",""Completed Exams!A1:A135""),0),1), 0)"),0.0)</f>
        <v>0</v>
      </c>
      <c r="V60" s="100">
        <f t="shared" si="27"/>
        <v>0</v>
      </c>
      <c r="W60" s="100">
        <v>1.0</v>
      </c>
      <c r="X60" s="101">
        <f t="shared" si="29"/>
        <v>1</v>
      </c>
      <c r="Y60" s="101">
        <f t="shared" si="39"/>
        <v>0</v>
      </c>
      <c r="Z60" s="101">
        <f t="shared" si="36"/>
        <v>1</v>
      </c>
      <c r="AA60" s="101">
        <f t="shared" si="37"/>
        <v>0</v>
      </c>
      <c r="AB60" s="100">
        <v>1.0</v>
      </c>
      <c r="AC60" s="101">
        <f t="shared" si="12"/>
        <v>1</v>
      </c>
      <c r="AD60" s="100">
        <v>1.0</v>
      </c>
      <c r="AE60" s="101">
        <f>IFERROR(__xludf.DUMMYFUNCTION("IFERROR(IF(Match(L60,IMPORTRANGE(""https://docs.google.com/spreadsheets/d/1hvckjcCpxEuDQDPrBMml_I1kBhYyjrgR8qBKC9QGVUc/edit?resourcekey=&amp;gid=230793720#gid=230793720"",""Form Responses 1!B2:B199""),0),1), 0)"),0.0)</f>
        <v>0</v>
      </c>
      <c r="AF60" s="75">
        <f>IFERROR(__xludf.DUMMYFUNCTION("IFERROR(IF(Match(L60,IMPORTRANGE(""https://docs.google.com/spreadsheets/d/1UY0hI2S83Fmafa5P-C1LM9yqe4v4qIKTnVy_CzLzRPs/edit?resourcekey=&amp;gid=1583835601#gid=1583835601"",""Form Responses 1!B2:B194""),0),1), 0)"),0.0)</f>
        <v>0</v>
      </c>
      <c r="AG60" s="75">
        <f>IFERROR(__xludf.DUMMYFUNCTION("IFERROR(IF(Match(L60,IMPORTRANGE(""https://docs.google.com/spreadsheets/d/1hO4mQ22n6cudUygJ2ss_JeJdm2Ua_7hJl_79lWWEtic/edit?resourcekey=&amp;gid=2087212010#gid=2087212010"",""Form Responses 1!B2:B104""),0),1), 0)"),0.0)</f>
        <v>0</v>
      </c>
      <c r="AH60" s="75">
        <f>IFERROR(__xludf.DUMMYFUNCTION("IFERROR(IF(Match(L60,IMPORTRANGE(""https://docs.google.com/spreadsheets/d/1HbfCXhSXbtTODKKY1MOFwJccyhgDKD0J9sO1k5l_6lM/edit?resourcekey=&amp;gid=1616384832#gid=1616384832"",""Form Responses 1!E2:E143""),0),1), 0)"),0.0)</f>
        <v>0</v>
      </c>
      <c r="AI60" s="10">
        <v>1.0</v>
      </c>
    </row>
    <row r="61" ht="22.5" customHeight="1">
      <c r="A61" s="102">
        <v>45917.6650997338</v>
      </c>
      <c r="B61" s="103" t="s">
        <v>278</v>
      </c>
      <c r="C61" s="103" t="s">
        <v>622</v>
      </c>
      <c r="D61" s="103" t="s">
        <v>623</v>
      </c>
      <c r="E61" s="103" t="s">
        <v>450</v>
      </c>
      <c r="F61" s="103" t="s">
        <v>436</v>
      </c>
      <c r="G61" s="103" t="s">
        <v>604</v>
      </c>
      <c r="H61" s="103" t="s">
        <v>624</v>
      </c>
      <c r="I61" s="96"/>
      <c r="J61" s="115"/>
      <c r="K61" s="59" t="s">
        <v>144</v>
      </c>
      <c r="L61" s="16" t="s">
        <v>145</v>
      </c>
      <c r="M61" s="16" t="s">
        <v>137</v>
      </c>
      <c r="N61" s="17" t="s">
        <v>28</v>
      </c>
      <c r="O61" s="16" t="s">
        <v>29</v>
      </c>
      <c r="P61" s="34">
        <v>11.0</v>
      </c>
      <c r="Q61" s="16" t="s">
        <v>612</v>
      </c>
      <c r="R61" s="97">
        <f t="shared" si="41"/>
        <v>1</v>
      </c>
      <c r="S61" s="97">
        <f t="shared" si="40"/>
        <v>1</v>
      </c>
      <c r="T61" s="98">
        <f t="shared" si="32"/>
        <v>1</v>
      </c>
      <c r="U61" s="99">
        <f>IFERROR(__xludf.DUMMYFUNCTION("IFERROR(IF(Match(L61,IMPORTRANGE(""https://docs.google.com/spreadsheets/d/1CAXKDiOnZb21bZOY_nacH9xI9AiD-nH8ZZQAwYKkVC0/edit?usp=drivesdk"",""Completed Exams!A1:A135""),0),1), 0)"),0.0)</f>
        <v>0</v>
      </c>
      <c r="V61" s="100">
        <f t="shared" si="27"/>
        <v>1</v>
      </c>
      <c r="W61" s="100">
        <f t="shared" ref="W61:W69" si="44">IF(COUNTIF(B$535:B$602,L61)=0,0,1)</f>
        <v>1</v>
      </c>
      <c r="X61" s="101">
        <f t="shared" si="29"/>
        <v>1</v>
      </c>
      <c r="Y61" s="101">
        <f t="shared" si="39"/>
        <v>1</v>
      </c>
      <c r="Z61" s="101">
        <f t="shared" si="36"/>
        <v>0</v>
      </c>
      <c r="AA61" s="101">
        <f t="shared" si="37"/>
        <v>1</v>
      </c>
      <c r="AB61" s="100">
        <v>1.0</v>
      </c>
      <c r="AC61" s="101">
        <f t="shared" si="12"/>
        <v>1</v>
      </c>
      <c r="AD61" s="100">
        <v>1.0</v>
      </c>
      <c r="AE61" s="101">
        <f>IFERROR(__xludf.DUMMYFUNCTION("IFERROR(IF(Match(L61,IMPORTRANGE(""https://docs.google.com/spreadsheets/d/1hvckjcCpxEuDQDPrBMml_I1kBhYyjrgR8qBKC9QGVUc/edit?resourcekey=&amp;gid=230793720#gid=230793720"",""Form Responses 1!B2:B199""),0),1), 0)"),0.0)</f>
        <v>0</v>
      </c>
      <c r="AF61" s="75">
        <f>IFERROR(__xludf.DUMMYFUNCTION("IFERROR(IF(Match(L61,IMPORTRANGE(""https://docs.google.com/spreadsheets/d/1UY0hI2S83Fmafa5P-C1LM9yqe4v4qIKTnVy_CzLzRPs/edit?resourcekey=&amp;gid=1583835601#gid=1583835601"",""Form Responses 1!B2:B194""),0),1), 0)"),0.0)</f>
        <v>0</v>
      </c>
      <c r="AG61" s="75">
        <f>IFERROR(__xludf.DUMMYFUNCTION("IFERROR(IF(Match(L61,IMPORTRANGE(""https://docs.google.com/spreadsheets/d/1hO4mQ22n6cudUygJ2ss_JeJdm2Ua_7hJl_79lWWEtic/edit?resourcekey=&amp;gid=2087212010#gid=2087212010"",""Form Responses 1!B2:B104""),0),1), 0)"),0.0)</f>
        <v>0</v>
      </c>
      <c r="AH61" s="75">
        <f>IFERROR(__xludf.DUMMYFUNCTION("IFERROR(IF(Match(L61,IMPORTRANGE(""https://docs.google.com/spreadsheets/d/1HbfCXhSXbtTODKKY1MOFwJccyhgDKD0J9sO1k5l_6lM/edit?resourcekey=&amp;gid=1616384832#gid=1616384832"",""Form Responses 1!E2:E143""),0),1), 0)"),0.0)</f>
        <v>0</v>
      </c>
    </row>
    <row r="62" ht="22.5" customHeight="1">
      <c r="A62" s="102">
        <v>45917.66510615741</v>
      </c>
      <c r="B62" s="103" t="s">
        <v>361</v>
      </c>
      <c r="C62" s="103" t="s">
        <v>625</v>
      </c>
      <c r="D62" s="103" t="s">
        <v>626</v>
      </c>
      <c r="E62" s="103" t="s">
        <v>450</v>
      </c>
      <c r="F62" s="103" t="s">
        <v>436</v>
      </c>
      <c r="G62" s="103" t="s">
        <v>359</v>
      </c>
      <c r="H62" s="103" t="s">
        <v>627</v>
      </c>
      <c r="I62" s="96"/>
      <c r="J62" s="7"/>
      <c r="K62" s="7" t="s">
        <v>146</v>
      </c>
      <c r="L62" s="7" t="s">
        <v>147</v>
      </c>
      <c r="M62" s="7" t="s">
        <v>148</v>
      </c>
      <c r="N62" s="8" t="s">
        <v>11</v>
      </c>
      <c r="O62" s="7" t="s">
        <v>12</v>
      </c>
      <c r="P62" s="49">
        <v>12.0</v>
      </c>
      <c r="Q62" s="7" t="s">
        <v>521</v>
      </c>
      <c r="R62" s="97">
        <f t="shared" si="41"/>
        <v>1</v>
      </c>
      <c r="S62" s="97">
        <f t="shared" si="40"/>
        <v>0</v>
      </c>
      <c r="T62" s="98">
        <f t="shared" si="32"/>
        <v>1</v>
      </c>
      <c r="U62" s="99">
        <f>IFERROR(__xludf.DUMMYFUNCTION("IFERROR(IF(Match(L62,IMPORTRANGE(""https://docs.google.com/spreadsheets/d/1CAXKDiOnZb21bZOY_nacH9xI9AiD-nH8ZZQAwYKkVC0/edit?usp=drivesdk"",""Completed Exams!A1:A135""),0),1), 0)"),0.0)</f>
        <v>0</v>
      </c>
      <c r="V62" s="100">
        <f t="shared" si="27"/>
        <v>1</v>
      </c>
      <c r="W62" s="100">
        <f t="shared" si="44"/>
        <v>0</v>
      </c>
      <c r="X62" s="101">
        <f t="shared" si="29"/>
        <v>1</v>
      </c>
      <c r="Y62" s="101">
        <f t="shared" si="39"/>
        <v>1</v>
      </c>
      <c r="Z62" s="101">
        <f t="shared" si="36"/>
        <v>0</v>
      </c>
      <c r="AA62" s="101">
        <f t="shared" si="37"/>
        <v>1</v>
      </c>
      <c r="AB62" s="101">
        <f>IFERROR(__xludf.DUMMYFUNCTION("IFERROR(IF(Match(L62,IMPORTRANGE(""https://docs.google.com/spreadsheets/d/1n1sT_Q_W3mKmn2Yrd8qcNzuRD4zr4DB9gqARnjQ30B4/edit?gid=1918970062#gid=1918970062"",""Form Responses 1!B2:B49""),0),1), 0)"),0.0)</f>
        <v>0</v>
      </c>
      <c r="AC62" s="101">
        <f t="shared" si="12"/>
        <v>0</v>
      </c>
      <c r="AD62" s="100">
        <v>1.0</v>
      </c>
      <c r="AE62" s="101">
        <f>IFERROR(__xludf.DUMMYFUNCTION("IFERROR(IF(Match(L62,IMPORTRANGE(""https://docs.google.com/spreadsheets/d/1hvckjcCpxEuDQDPrBMml_I1kBhYyjrgR8qBKC9QGVUc/edit?resourcekey=&amp;gid=230793720#gid=230793720"",""Form Responses 1!B2:B199""),0),1), 0)"),0.0)</f>
        <v>0</v>
      </c>
      <c r="AF62" s="75">
        <f>IFERROR(__xludf.DUMMYFUNCTION("IFERROR(IF(Match(L62,IMPORTRANGE(""https://docs.google.com/spreadsheets/d/1UY0hI2S83Fmafa5P-C1LM9yqe4v4qIKTnVy_CzLzRPs/edit?resourcekey=&amp;gid=1583835601#gid=1583835601"",""Form Responses 1!B2:B194""),0),1), 0)"),0.0)</f>
        <v>0</v>
      </c>
      <c r="AG62" s="75">
        <f>IFERROR(__xludf.DUMMYFUNCTION("IFERROR(IF(Match(L62,IMPORTRANGE(""https://docs.google.com/spreadsheets/d/1hO4mQ22n6cudUygJ2ss_JeJdm2Ua_7hJl_79lWWEtic/edit?resourcekey=&amp;gid=2087212010#gid=2087212010"",""Form Responses 1!B2:B104""),0),1), 0)"),0.0)</f>
        <v>0</v>
      </c>
      <c r="AH62" s="75">
        <f>IFERROR(__xludf.DUMMYFUNCTION("IFERROR(IF(Match(L62,IMPORTRANGE(""https://docs.google.com/spreadsheets/d/1HbfCXhSXbtTODKKY1MOFwJccyhgDKD0J9sO1k5l_6lM/edit?resourcekey=&amp;gid=1616384832#gid=1616384832"",""Form Responses 1!E2:E143""),0),1), 0)"),0.0)</f>
        <v>0</v>
      </c>
    </row>
    <row r="63" ht="22.5" customHeight="1">
      <c r="A63" s="102">
        <v>45917.6651158912</v>
      </c>
      <c r="B63" s="103" t="s">
        <v>200</v>
      </c>
      <c r="C63" s="103" t="s">
        <v>628</v>
      </c>
      <c r="D63" s="103" t="s">
        <v>588</v>
      </c>
      <c r="E63" s="103" t="s">
        <v>578</v>
      </c>
      <c r="F63" s="103" t="s">
        <v>436</v>
      </c>
      <c r="G63" s="103" t="s">
        <v>629</v>
      </c>
      <c r="H63" s="103" t="s">
        <v>630</v>
      </c>
      <c r="I63" s="96"/>
      <c r="J63" s="7"/>
      <c r="K63" s="7" t="s">
        <v>149</v>
      </c>
      <c r="L63" s="7" t="s">
        <v>150</v>
      </c>
      <c r="M63" s="7" t="s">
        <v>148</v>
      </c>
      <c r="N63" s="8" t="s">
        <v>11</v>
      </c>
      <c r="O63" s="7" t="s">
        <v>12</v>
      </c>
      <c r="P63" s="49">
        <v>12.0</v>
      </c>
      <c r="Q63" s="7" t="s">
        <v>521</v>
      </c>
      <c r="R63" s="97">
        <f t="shared" si="41"/>
        <v>1</v>
      </c>
      <c r="S63" s="97">
        <f t="shared" si="40"/>
        <v>1</v>
      </c>
      <c r="T63" s="98">
        <f t="shared" si="32"/>
        <v>0</v>
      </c>
      <c r="U63" s="99">
        <f>IFERROR(__xludf.DUMMYFUNCTION("IFERROR(IF(Match(L63,IMPORTRANGE(""https://docs.google.com/spreadsheets/d/1CAXKDiOnZb21bZOY_nacH9xI9AiD-nH8ZZQAwYKkVC0/edit?usp=drivesdk"",""Completed Exams!A1:A135""),0),1), 0)"),0.0)</f>
        <v>0</v>
      </c>
      <c r="V63" s="100">
        <f t="shared" si="27"/>
        <v>1</v>
      </c>
      <c r="W63" s="100">
        <f t="shared" si="44"/>
        <v>0</v>
      </c>
      <c r="X63" s="100">
        <v>0.5</v>
      </c>
      <c r="Y63" s="100">
        <v>0.5</v>
      </c>
      <c r="Z63" s="101">
        <f t="shared" si="36"/>
        <v>0</v>
      </c>
      <c r="AA63" s="101">
        <f t="shared" si="37"/>
        <v>1</v>
      </c>
      <c r="AB63" s="101">
        <f>IFERROR(__xludf.DUMMYFUNCTION("IFERROR(IF(Match(L63,IMPORTRANGE(""https://docs.google.com/spreadsheets/d/1n1sT_Q_W3mKmn2Yrd8qcNzuRD4zr4DB9gqARnjQ30B4/edit?gid=1918970062#gid=1918970062"",""Form Responses 1!B2:B49""),0),1), 0)"),0.0)</f>
        <v>0</v>
      </c>
      <c r="AC63" s="101">
        <f t="shared" si="12"/>
        <v>1</v>
      </c>
      <c r="AD63" s="100">
        <v>1.0</v>
      </c>
      <c r="AE63" s="101">
        <f>IFERROR(__xludf.DUMMYFUNCTION("IFERROR(IF(Match(L63,IMPORTRANGE(""https://docs.google.com/spreadsheets/d/1hvckjcCpxEuDQDPrBMml_I1kBhYyjrgR8qBKC9QGVUc/edit?resourcekey=&amp;gid=230793720#gid=230793720"",""Form Responses 1!B2:B199""),0),1), 0)"),0.0)</f>
        <v>0</v>
      </c>
      <c r="AF63" s="75">
        <f>IFERROR(__xludf.DUMMYFUNCTION("IFERROR(IF(Match(L63,IMPORTRANGE(""https://docs.google.com/spreadsheets/d/1UY0hI2S83Fmafa5P-C1LM9yqe4v4qIKTnVy_CzLzRPs/edit?resourcekey=&amp;gid=1583835601#gid=1583835601"",""Form Responses 1!B2:B194""),0),1), 0)"),0.0)</f>
        <v>0</v>
      </c>
      <c r="AG63" s="75">
        <f>IFERROR(__xludf.DUMMYFUNCTION("IFERROR(IF(Match(L63,IMPORTRANGE(""https://docs.google.com/spreadsheets/d/1hO4mQ22n6cudUygJ2ss_JeJdm2Ua_7hJl_79lWWEtic/edit?resourcekey=&amp;gid=2087212010#gid=2087212010"",""Form Responses 1!B2:B104""),0),1), 0)"),0.0)</f>
        <v>0</v>
      </c>
      <c r="AH63" s="75">
        <f>IFERROR(__xludf.DUMMYFUNCTION("IFERROR(IF(Match(L63,IMPORTRANGE(""https://docs.google.com/spreadsheets/d/1HbfCXhSXbtTODKKY1MOFwJccyhgDKD0J9sO1k5l_6lM/edit?resourcekey=&amp;gid=1616384832#gid=1616384832"",""Form Responses 1!E2:E143""),0),1), 0)"),0.0)</f>
        <v>0</v>
      </c>
    </row>
    <row r="64" ht="22.5" customHeight="1">
      <c r="A64" s="102">
        <v>45917.665122986116</v>
      </c>
      <c r="B64" s="103" t="s">
        <v>322</v>
      </c>
      <c r="C64" s="103" t="s">
        <v>631</v>
      </c>
      <c r="D64" s="103" t="s">
        <v>632</v>
      </c>
      <c r="E64" s="103" t="s">
        <v>578</v>
      </c>
      <c r="F64" s="103" t="s">
        <v>436</v>
      </c>
      <c r="G64" s="103" t="s">
        <v>198</v>
      </c>
      <c r="H64" s="103" t="s">
        <v>633</v>
      </c>
      <c r="I64" s="96"/>
      <c r="J64" s="7"/>
      <c r="K64" s="7" t="s">
        <v>151</v>
      </c>
      <c r="L64" s="7" t="s">
        <v>152</v>
      </c>
      <c r="M64" s="7" t="s">
        <v>148</v>
      </c>
      <c r="N64" s="8" t="s">
        <v>11</v>
      </c>
      <c r="O64" s="7" t="s">
        <v>12</v>
      </c>
      <c r="P64" s="49">
        <v>12.0</v>
      </c>
      <c r="Q64" s="7" t="s">
        <v>521</v>
      </c>
      <c r="R64" s="97">
        <f t="shared" si="41"/>
        <v>1</v>
      </c>
      <c r="S64" s="97">
        <f t="shared" si="40"/>
        <v>1</v>
      </c>
      <c r="T64" s="98">
        <f t="shared" si="32"/>
        <v>1</v>
      </c>
      <c r="U64" s="99">
        <f>IFERROR(__xludf.DUMMYFUNCTION("IFERROR(IF(Match(L64,IMPORTRANGE(""https://docs.google.com/spreadsheets/d/1CAXKDiOnZb21bZOY_nacH9xI9AiD-nH8ZZQAwYKkVC0/edit?usp=drivesdk"",""Completed Exams!A1:A135""),0),1), 0)"),0.0)</f>
        <v>0</v>
      </c>
      <c r="V64" s="100">
        <f t="shared" si="27"/>
        <v>1</v>
      </c>
      <c r="W64" s="100">
        <f t="shared" si="44"/>
        <v>0</v>
      </c>
      <c r="X64" s="101">
        <f t="shared" ref="X64:X67" si="45">IF(COUNTIF(B$603:B$725,L64)=0,0,1)</f>
        <v>1</v>
      </c>
      <c r="Y64" s="100">
        <v>0.5</v>
      </c>
      <c r="Z64" s="101">
        <f t="shared" si="36"/>
        <v>0</v>
      </c>
      <c r="AA64" s="101">
        <f t="shared" si="37"/>
        <v>1</v>
      </c>
      <c r="AB64" s="101">
        <f>IFERROR(__xludf.DUMMYFUNCTION("IFERROR(IF(Match(L64,IMPORTRANGE(""https://docs.google.com/spreadsheets/d/1n1sT_Q_W3mKmn2Yrd8qcNzuRD4zr4DB9gqARnjQ30B4/edit?gid=1918970062#gid=1918970062"",""Form Responses 1!B2:B49""),0),1), 0)"),0.0)</f>
        <v>0</v>
      </c>
      <c r="AC64" s="100">
        <v>0.5</v>
      </c>
      <c r="AD64" s="100">
        <v>0.0</v>
      </c>
      <c r="AE64" s="101">
        <f>IFERROR(__xludf.DUMMYFUNCTION("IFERROR(IF(Match(L64,IMPORTRANGE(""https://docs.google.com/spreadsheets/d/1hvckjcCpxEuDQDPrBMml_I1kBhYyjrgR8qBKC9QGVUc/edit?resourcekey=&amp;gid=230793720#gid=230793720"",""Form Responses 1!B2:B199""),0),1), 0)"),0.0)</f>
        <v>0</v>
      </c>
      <c r="AF64" s="75">
        <f>IFERROR(__xludf.DUMMYFUNCTION("IFERROR(IF(Match(L64,IMPORTRANGE(""https://docs.google.com/spreadsheets/d/1UY0hI2S83Fmafa5P-C1LM9yqe4v4qIKTnVy_CzLzRPs/edit?resourcekey=&amp;gid=1583835601#gid=1583835601"",""Form Responses 1!B2:B194""),0),1), 0)"),0.0)</f>
        <v>0</v>
      </c>
      <c r="AG64" s="75">
        <f>IFERROR(__xludf.DUMMYFUNCTION("IFERROR(IF(Match(L64,IMPORTRANGE(""https://docs.google.com/spreadsheets/d/1hO4mQ22n6cudUygJ2ss_JeJdm2Ua_7hJl_79lWWEtic/edit?resourcekey=&amp;gid=2087212010#gid=2087212010"",""Form Responses 1!B2:B104""),0),1), 0)"),0.0)</f>
        <v>0</v>
      </c>
      <c r="AH64" s="75">
        <f>IFERROR(__xludf.DUMMYFUNCTION("IFERROR(IF(Match(L64,IMPORTRANGE(""https://docs.google.com/spreadsheets/d/1HbfCXhSXbtTODKKY1MOFwJccyhgDKD0J9sO1k5l_6lM/edit?resourcekey=&amp;gid=1616384832#gid=1616384832"",""Form Responses 1!E2:E143""),0),1), 0)"),0.0)</f>
        <v>0</v>
      </c>
    </row>
    <row r="65" ht="22.5" customHeight="1">
      <c r="A65" s="102">
        <v>45917.66515538194</v>
      </c>
      <c r="B65" s="103" t="s">
        <v>202</v>
      </c>
      <c r="C65" s="103" t="s">
        <v>634</v>
      </c>
      <c r="D65" s="103" t="s">
        <v>635</v>
      </c>
      <c r="E65" s="103" t="s">
        <v>578</v>
      </c>
      <c r="F65" s="103" t="s">
        <v>436</v>
      </c>
      <c r="G65" s="103" t="s">
        <v>198</v>
      </c>
      <c r="H65" s="103" t="s">
        <v>636</v>
      </c>
      <c r="I65" s="96"/>
      <c r="J65" s="7"/>
      <c r="K65" s="7" t="s">
        <v>153</v>
      </c>
      <c r="L65" s="7" t="s">
        <v>154</v>
      </c>
      <c r="M65" s="7" t="s">
        <v>148</v>
      </c>
      <c r="N65" s="8" t="s">
        <v>11</v>
      </c>
      <c r="O65" s="7" t="s">
        <v>12</v>
      </c>
      <c r="P65" s="49">
        <v>12.0</v>
      </c>
      <c r="Q65" s="7" t="s">
        <v>543</v>
      </c>
      <c r="R65" s="97">
        <f t="shared" si="41"/>
        <v>1</v>
      </c>
      <c r="S65" s="97">
        <f t="shared" si="40"/>
        <v>1</v>
      </c>
      <c r="T65" s="98">
        <f t="shared" si="32"/>
        <v>1</v>
      </c>
      <c r="U65" s="99">
        <f>IFERROR(__xludf.DUMMYFUNCTION("IFERROR(IF(Match(L65,IMPORTRANGE(""https://docs.google.com/spreadsheets/d/1CAXKDiOnZb21bZOY_nacH9xI9AiD-nH8ZZQAwYKkVC0/edit?usp=drivesdk"",""Completed Exams!A1:A135""),0),1), 0)"),0.0)</f>
        <v>0</v>
      </c>
      <c r="V65" s="100">
        <f t="shared" si="27"/>
        <v>1</v>
      </c>
      <c r="W65" s="100">
        <f t="shared" si="44"/>
        <v>0</v>
      </c>
      <c r="X65" s="101">
        <f t="shared" si="45"/>
        <v>0</v>
      </c>
      <c r="Y65" s="101">
        <f t="shared" ref="Y65:Y78" si="46">IF(COUNTIF(B$725:B$844,L65)=0,0,1)</f>
        <v>1</v>
      </c>
      <c r="Z65" s="101">
        <f t="shared" si="36"/>
        <v>1</v>
      </c>
      <c r="AA65" s="101">
        <f t="shared" si="37"/>
        <v>1</v>
      </c>
      <c r="AB65" s="101">
        <f>IFERROR(__xludf.DUMMYFUNCTION("IFERROR(IF(Match(L65,IMPORTRANGE(""https://docs.google.com/spreadsheets/d/1n1sT_Q_W3mKmn2Yrd8qcNzuRD4zr4DB9gqARnjQ30B4/edit?gid=1918970062#gid=1918970062"",""Form Responses 1!B2:B49""),0),1), 0)"),0.0)</f>
        <v>0</v>
      </c>
      <c r="AC65" s="101">
        <f t="shared" ref="AC65:AC72" si="47">IF(COUNTIF(B$1145:B$1305,L65)=0,0,1)</f>
        <v>1</v>
      </c>
      <c r="AD65" s="100">
        <v>1.0</v>
      </c>
      <c r="AE65" s="101">
        <f>IFERROR(__xludf.DUMMYFUNCTION("IFERROR(IF(Match(L65,IMPORTRANGE(""https://docs.google.com/spreadsheets/d/1hvckjcCpxEuDQDPrBMml_I1kBhYyjrgR8qBKC9QGVUc/edit?resourcekey=&amp;gid=230793720#gid=230793720"",""Form Responses 1!B2:B199""),0),1), 0)"),0.0)</f>
        <v>0</v>
      </c>
      <c r="AF65" s="75">
        <f>IFERROR(__xludf.DUMMYFUNCTION("IFERROR(IF(Match(L65,IMPORTRANGE(""https://docs.google.com/spreadsheets/d/1UY0hI2S83Fmafa5P-C1LM9yqe4v4qIKTnVy_CzLzRPs/edit?resourcekey=&amp;gid=1583835601#gid=1583835601"",""Form Responses 1!B2:B194""),0),1), 0)"),0.0)</f>
        <v>0</v>
      </c>
      <c r="AG65" s="75">
        <f>IFERROR(__xludf.DUMMYFUNCTION("IFERROR(IF(Match(L65,IMPORTRANGE(""https://docs.google.com/spreadsheets/d/1hO4mQ22n6cudUygJ2ss_JeJdm2Ua_7hJl_79lWWEtic/edit?resourcekey=&amp;gid=2087212010#gid=2087212010"",""Form Responses 1!B2:B104""),0),1), 0)"),0.0)</f>
        <v>0</v>
      </c>
      <c r="AH65" s="75">
        <f>IFERROR(__xludf.DUMMYFUNCTION("IFERROR(IF(Match(L65,IMPORTRANGE(""https://docs.google.com/spreadsheets/d/1HbfCXhSXbtTODKKY1MOFwJccyhgDKD0J9sO1k5l_6lM/edit?resourcekey=&amp;gid=1616384832#gid=1616384832"",""Form Responses 1!E2:E143""),0),1), 0)"),0.0)</f>
        <v>0</v>
      </c>
    </row>
    <row r="66" ht="22.5" customHeight="1">
      <c r="A66" s="102">
        <v>45917.66515631945</v>
      </c>
      <c r="B66" s="103" t="s">
        <v>174</v>
      </c>
      <c r="C66" s="103" t="s">
        <v>637</v>
      </c>
      <c r="D66" s="103" t="s">
        <v>638</v>
      </c>
      <c r="E66" s="103" t="s">
        <v>639</v>
      </c>
      <c r="F66" s="103" t="s">
        <v>436</v>
      </c>
      <c r="G66" s="103" t="s">
        <v>172</v>
      </c>
      <c r="H66" s="103" t="s">
        <v>640</v>
      </c>
      <c r="I66" s="96"/>
      <c r="J66" s="7"/>
      <c r="K66" s="7" t="s">
        <v>155</v>
      </c>
      <c r="L66" s="7" t="s">
        <v>156</v>
      </c>
      <c r="M66" s="7" t="s">
        <v>148</v>
      </c>
      <c r="N66" s="8" t="s">
        <v>11</v>
      </c>
      <c r="O66" s="7" t="s">
        <v>12</v>
      </c>
      <c r="P66" s="49">
        <v>12.0</v>
      </c>
      <c r="Q66" s="7" t="s">
        <v>500</v>
      </c>
      <c r="R66" s="97">
        <f t="shared" si="41"/>
        <v>1</v>
      </c>
      <c r="S66" s="97">
        <f t="shared" si="40"/>
        <v>1</v>
      </c>
      <c r="T66" s="98">
        <f t="shared" si="32"/>
        <v>1</v>
      </c>
      <c r="U66" s="99">
        <f>IFERROR(__xludf.DUMMYFUNCTION("IFERROR(IF(Match(L66,IMPORTRANGE(""https://docs.google.com/spreadsheets/d/1CAXKDiOnZb21bZOY_nacH9xI9AiD-nH8ZZQAwYKkVC0/edit?usp=drivesdk"",""Completed Exams!A1:A135""),0),1), 0)"),0.0)</f>
        <v>0</v>
      </c>
      <c r="V66" s="100">
        <f t="shared" si="27"/>
        <v>1</v>
      </c>
      <c r="W66" s="100">
        <f t="shared" si="44"/>
        <v>0</v>
      </c>
      <c r="X66" s="101">
        <f t="shared" si="45"/>
        <v>1</v>
      </c>
      <c r="Y66" s="101">
        <f t="shared" si="46"/>
        <v>1</v>
      </c>
      <c r="Z66" s="101">
        <f t="shared" si="36"/>
        <v>1</v>
      </c>
      <c r="AA66" s="101">
        <f t="shared" si="37"/>
        <v>1</v>
      </c>
      <c r="AB66" s="101">
        <f>IFERROR(__xludf.DUMMYFUNCTION("IFERROR(IF(Match(L66,IMPORTRANGE(""https://docs.google.com/spreadsheets/d/1n1sT_Q_W3mKmn2Yrd8qcNzuRD4zr4DB9gqARnjQ30B4/edit?gid=1918970062#gid=1918970062"",""Form Responses 1!B2:B49""),0),1), 0)"),0.0)</f>
        <v>0</v>
      </c>
      <c r="AC66" s="101">
        <f t="shared" si="47"/>
        <v>1</v>
      </c>
      <c r="AD66" s="100">
        <v>0.0</v>
      </c>
      <c r="AE66" s="101">
        <f>IFERROR(__xludf.DUMMYFUNCTION("IFERROR(IF(Match(L66,IMPORTRANGE(""https://docs.google.com/spreadsheets/d/1hvckjcCpxEuDQDPrBMml_I1kBhYyjrgR8qBKC9QGVUc/edit?resourcekey=&amp;gid=230793720#gid=230793720"",""Form Responses 1!B2:B199""),0),1), 0)"),0.0)</f>
        <v>0</v>
      </c>
      <c r="AF66" s="75">
        <f>IFERROR(__xludf.DUMMYFUNCTION("IFERROR(IF(Match(L66,IMPORTRANGE(""https://docs.google.com/spreadsheets/d/1UY0hI2S83Fmafa5P-C1LM9yqe4v4qIKTnVy_CzLzRPs/edit?resourcekey=&amp;gid=1583835601#gid=1583835601"",""Form Responses 1!B2:B194""),0),1), 0)"),0.0)</f>
        <v>0</v>
      </c>
      <c r="AG66" s="75">
        <f>IFERROR(__xludf.DUMMYFUNCTION("IFERROR(IF(Match(L66,IMPORTRANGE(""https://docs.google.com/spreadsheets/d/1hO4mQ22n6cudUygJ2ss_JeJdm2Ua_7hJl_79lWWEtic/edit?resourcekey=&amp;gid=2087212010#gid=2087212010"",""Form Responses 1!B2:B104""),0),1), 0)"),0.0)</f>
        <v>0</v>
      </c>
      <c r="AH66" s="75">
        <f>IFERROR(__xludf.DUMMYFUNCTION("IFERROR(IF(Match(L66,IMPORTRANGE(""https://docs.google.com/spreadsheets/d/1HbfCXhSXbtTODKKY1MOFwJccyhgDKD0J9sO1k5l_6lM/edit?resourcekey=&amp;gid=1616384832#gid=1616384832"",""Form Responses 1!E2:E143""),0),1), 0)"),0.0)</f>
        <v>0</v>
      </c>
    </row>
    <row r="67" ht="22.5" customHeight="1">
      <c r="A67" s="102">
        <v>45917.665156400464</v>
      </c>
      <c r="B67" s="103" t="s">
        <v>400</v>
      </c>
      <c r="C67" s="103" t="s">
        <v>445</v>
      </c>
      <c r="D67" s="103" t="s">
        <v>641</v>
      </c>
      <c r="E67" s="103" t="s">
        <v>494</v>
      </c>
      <c r="F67" s="103" t="s">
        <v>436</v>
      </c>
      <c r="G67" s="103" t="s">
        <v>568</v>
      </c>
      <c r="H67" s="103" t="s">
        <v>642</v>
      </c>
      <c r="I67" s="96"/>
      <c r="J67" s="7"/>
      <c r="K67" s="16" t="s">
        <v>157</v>
      </c>
      <c r="L67" s="16" t="s">
        <v>158</v>
      </c>
      <c r="M67" s="16" t="s">
        <v>148</v>
      </c>
      <c r="N67" s="17" t="s">
        <v>11</v>
      </c>
      <c r="O67" s="16" t="s">
        <v>12</v>
      </c>
      <c r="P67" s="50">
        <v>12.0</v>
      </c>
      <c r="Q67" s="16" t="s">
        <v>500</v>
      </c>
      <c r="R67" s="97">
        <f t="shared" si="41"/>
        <v>1</v>
      </c>
      <c r="S67" s="97">
        <f t="shared" si="40"/>
        <v>1</v>
      </c>
      <c r="T67" s="98">
        <f t="shared" si="32"/>
        <v>1</v>
      </c>
      <c r="U67" s="99">
        <f>IFERROR(__xludf.DUMMYFUNCTION("IFERROR(IF(Match(L67,IMPORTRANGE(""https://docs.google.com/spreadsheets/d/1CAXKDiOnZb21bZOY_nacH9xI9AiD-nH8ZZQAwYKkVC0/edit?usp=drivesdk"",""Completed Exams!A1:A135""),0),1), 0)"),0.0)</f>
        <v>0</v>
      </c>
      <c r="V67" s="100">
        <f t="shared" si="27"/>
        <v>1</v>
      </c>
      <c r="W67" s="100">
        <f t="shared" si="44"/>
        <v>1</v>
      </c>
      <c r="X67" s="101">
        <f t="shared" si="45"/>
        <v>1</v>
      </c>
      <c r="Y67" s="101">
        <f t="shared" si="46"/>
        <v>1</v>
      </c>
      <c r="Z67" s="101">
        <f t="shared" si="36"/>
        <v>1</v>
      </c>
      <c r="AA67" s="101">
        <f t="shared" si="37"/>
        <v>1</v>
      </c>
      <c r="AB67" s="100">
        <v>1.0</v>
      </c>
      <c r="AC67" s="101">
        <f t="shared" si="47"/>
        <v>1</v>
      </c>
      <c r="AD67" s="100">
        <v>1.0</v>
      </c>
      <c r="AE67" s="101">
        <f>IFERROR(__xludf.DUMMYFUNCTION("IFERROR(IF(Match(L67,IMPORTRANGE(""https://docs.google.com/spreadsheets/d/1hvckjcCpxEuDQDPrBMml_I1kBhYyjrgR8qBKC9QGVUc/edit?resourcekey=&amp;gid=230793720#gid=230793720"",""Form Responses 1!B2:B199""),0),1), 0)"),0.0)</f>
        <v>0</v>
      </c>
      <c r="AF67" s="75">
        <f>IFERROR(__xludf.DUMMYFUNCTION("IFERROR(IF(Match(L67,IMPORTRANGE(""https://docs.google.com/spreadsheets/d/1UY0hI2S83Fmafa5P-C1LM9yqe4v4qIKTnVy_CzLzRPs/edit?resourcekey=&amp;gid=1583835601#gid=1583835601"",""Form Responses 1!B2:B194""),0),1), 0)"),0.0)</f>
        <v>0</v>
      </c>
      <c r="AG67" s="75">
        <f>IFERROR(__xludf.DUMMYFUNCTION("IFERROR(IF(Match(L67,IMPORTRANGE(""https://docs.google.com/spreadsheets/d/1hO4mQ22n6cudUygJ2ss_JeJdm2Ua_7hJl_79lWWEtic/edit?resourcekey=&amp;gid=2087212010#gid=2087212010"",""Form Responses 1!B2:B104""),0),1), 0)"),0.0)</f>
        <v>0</v>
      </c>
      <c r="AH67" s="75">
        <f>IFERROR(__xludf.DUMMYFUNCTION("IFERROR(IF(Match(L67,IMPORTRANGE(""https://docs.google.com/spreadsheets/d/1HbfCXhSXbtTODKKY1MOFwJccyhgDKD0J9sO1k5l_6lM/edit?resourcekey=&amp;gid=1616384832#gid=1616384832"",""Form Responses 1!E2:E143""),0),1), 0)"),0.0)</f>
        <v>0</v>
      </c>
    </row>
    <row r="68" ht="22.5" customHeight="1">
      <c r="A68" s="102">
        <v>45917.665162986115</v>
      </c>
      <c r="B68" s="103" t="s">
        <v>134</v>
      </c>
      <c r="C68" s="103" t="s">
        <v>643</v>
      </c>
      <c r="D68" s="103" t="s">
        <v>644</v>
      </c>
      <c r="E68" s="103" t="s">
        <v>450</v>
      </c>
      <c r="F68" s="103" t="s">
        <v>436</v>
      </c>
      <c r="G68" s="103" t="s">
        <v>124</v>
      </c>
      <c r="H68" s="103" t="s">
        <v>645</v>
      </c>
      <c r="I68" s="96"/>
      <c r="J68" s="7"/>
      <c r="K68" s="7" t="s">
        <v>159</v>
      </c>
      <c r="L68" s="7" t="s">
        <v>160</v>
      </c>
      <c r="M68" s="7" t="s">
        <v>161</v>
      </c>
      <c r="N68" s="8" t="s">
        <v>24</v>
      </c>
      <c r="O68" s="7" t="s">
        <v>93</v>
      </c>
      <c r="P68" s="31">
        <v>13.0</v>
      </c>
      <c r="Q68" s="7" t="s">
        <v>507</v>
      </c>
      <c r="R68" s="97">
        <f t="shared" si="41"/>
        <v>0</v>
      </c>
      <c r="S68" s="97">
        <f t="shared" si="40"/>
        <v>1</v>
      </c>
      <c r="T68" s="98">
        <f t="shared" si="32"/>
        <v>1</v>
      </c>
      <c r="U68" s="99">
        <f>IFERROR(__xludf.DUMMYFUNCTION("IFERROR(IF(Match(L68,IMPORTRANGE(""https://docs.google.com/spreadsheets/d/1CAXKDiOnZb21bZOY_nacH9xI9AiD-nH8ZZQAwYKkVC0/edit?usp=drivesdk"",""Completed Exams!A1:A135""),0),1), 0)"),0.0)</f>
        <v>0</v>
      </c>
      <c r="V68" s="100">
        <f t="shared" si="27"/>
        <v>0</v>
      </c>
      <c r="W68" s="100">
        <f t="shared" si="44"/>
        <v>0</v>
      </c>
      <c r="X68" s="100">
        <v>0.5</v>
      </c>
      <c r="Y68" s="101">
        <f t="shared" si="46"/>
        <v>0</v>
      </c>
      <c r="Z68" s="101">
        <f t="shared" si="36"/>
        <v>0</v>
      </c>
      <c r="AA68" s="101">
        <f t="shared" si="37"/>
        <v>1</v>
      </c>
      <c r="AB68" s="101">
        <f>IFERROR(__xludf.DUMMYFUNCTION("IFERROR(IF(Match(L68,IMPORTRANGE(""https://docs.google.com/spreadsheets/d/1n1sT_Q_W3mKmn2Yrd8qcNzuRD4zr4DB9gqARnjQ30B4/edit?gid=1918970062#gid=1918970062"",""Form Responses 1!B2:B49""),0),1), 0)"),0.0)</f>
        <v>0</v>
      </c>
      <c r="AC68" s="101">
        <f t="shared" si="47"/>
        <v>1</v>
      </c>
      <c r="AD68" s="100">
        <v>1.0</v>
      </c>
      <c r="AE68" s="100">
        <v>0.5</v>
      </c>
      <c r="AF68" s="75">
        <f>IFERROR(__xludf.DUMMYFUNCTION("IFERROR(IF(Match(L68,IMPORTRANGE(""https://docs.google.com/spreadsheets/d/1UY0hI2S83Fmafa5P-C1LM9yqe4v4qIKTnVy_CzLzRPs/edit?resourcekey=&amp;gid=1583835601#gid=1583835601"",""Form Responses 1!B2:B194""),0),1), 0)"),0.0)</f>
        <v>0</v>
      </c>
      <c r="AG68" s="10">
        <v>0.5</v>
      </c>
      <c r="AH68" s="75">
        <f>IFERROR(__xludf.DUMMYFUNCTION("IFERROR(IF(Match(L68,IMPORTRANGE(""https://docs.google.com/spreadsheets/d/1HbfCXhSXbtTODKKY1MOFwJccyhgDKD0J9sO1k5l_6lM/edit?resourcekey=&amp;gid=1616384832#gid=1616384832"",""Form Responses 1!E2:E143""),0),1), 0)"),0.0)</f>
        <v>0</v>
      </c>
    </row>
    <row r="69" ht="22.5" customHeight="1">
      <c r="A69" s="102">
        <v>45917.665180625</v>
      </c>
      <c r="B69" s="103" t="s">
        <v>270</v>
      </c>
      <c r="C69" s="103" t="s">
        <v>646</v>
      </c>
      <c r="D69" s="103" t="s">
        <v>647</v>
      </c>
      <c r="E69" s="103" t="s">
        <v>450</v>
      </c>
      <c r="F69" s="103" t="s">
        <v>436</v>
      </c>
      <c r="G69" s="103" t="s">
        <v>648</v>
      </c>
      <c r="H69" s="103" t="s">
        <v>649</v>
      </c>
      <c r="I69" s="96"/>
      <c r="J69" s="7"/>
      <c r="K69" s="7" t="s">
        <v>162</v>
      </c>
      <c r="L69" s="7" t="s">
        <v>163</v>
      </c>
      <c r="M69" s="7" t="s">
        <v>161</v>
      </c>
      <c r="N69" s="8" t="s">
        <v>24</v>
      </c>
      <c r="O69" s="7" t="s">
        <v>29</v>
      </c>
      <c r="P69" s="31">
        <v>13.0</v>
      </c>
      <c r="Q69" s="22" t="s">
        <v>539</v>
      </c>
      <c r="R69" s="97">
        <f t="shared" si="41"/>
        <v>0</v>
      </c>
      <c r="S69" s="97">
        <f t="shared" si="40"/>
        <v>1</v>
      </c>
      <c r="T69" s="98">
        <f t="shared" si="32"/>
        <v>0</v>
      </c>
      <c r="U69" s="99">
        <f>IFERROR(__xludf.DUMMYFUNCTION("IFERROR(IF(Match(L69,IMPORTRANGE(""https://docs.google.com/spreadsheets/d/1CAXKDiOnZb21bZOY_nacH9xI9AiD-nH8ZZQAwYKkVC0/edit?usp=drivesdk"",""Completed Exams!A1:A135""),0),1), 0)"),0.0)</f>
        <v>0</v>
      </c>
      <c r="V69" s="100">
        <f t="shared" si="27"/>
        <v>1</v>
      </c>
      <c r="W69" s="100">
        <f t="shared" si="44"/>
        <v>1</v>
      </c>
      <c r="X69" s="101">
        <f t="shared" ref="X69:X83" si="48">IF(COUNTIF(B$603:B$725,L69)=0,0,1)</f>
        <v>1</v>
      </c>
      <c r="Y69" s="101">
        <f t="shared" si="46"/>
        <v>1</v>
      </c>
      <c r="Z69" s="101">
        <f t="shared" si="36"/>
        <v>0</v>
      </c>
      <c r="AA69" s="101">
        <f t="shared" si="37"/>
        <v>1</v>
      </c>
      <c r="AB69" s="100">
        <v>1.0</v>
      </c>
      <c r="AC69" s="101">
        <f t="shared" si="47"/>
        <v>1</v>
      </c>
      <c r="AD69" s="100">
        <v>0.0</v>
      </c>
      <c r="AE69" s="101">
        <f>IFERROR(__xludf.DUMMYFUNCTION("IFERROR(IF(Match(L69,IMPORTRANGE(""https://docs.google.com/spreadsheets/d/1hvckjcCpxEuDQDPrBMml_I1kBhYyjrgR8qBKC9QGVUc/edit?resourcekey=&amp;gid=230793720#gid=230793720"",""Form Responses 1!B2:B199""),0),1), 0)"),0.0)</f>
        <v>0</v>
      </c>
      <c r="AF69" s="75">
        <f>IFERROR(__xludf.DUMMYFUNCTION("IFERROR(IF(Match(L69,IMPORTRANGE(""https://docs.google.com/spreadsheets/d/1UY0hI2S83Fmafa5P-C1LM9yqe4v4qIKTnVy_CzLzRPs/edit?resourcekey=&amp;gid=1583835601#gid=1583835601"",""Form Responses 1!B2:B194""),0),1), 0)"),0.0)</f>
        <v>0</v>
      </c>
      <c r="AG69" s="75">
        <f>IFERROR(__xludf.DUMMYFUNCTION("IFERROR(IF(Match(L69,IMPORTRANGE(""https://docs.google.com/spreadsheets/d/1hO4mQ22n6cudUygJ2ss_JeJdm2Ua_7hJl_79lWWEtic/edit?resourcekey=&amp;gid=2087212010#gid=2087212010"",""Form Responses 1!B2:B104""),0),1), 0)"),0.0)</f>
        <v>0</v>
      </c>
      <c r="AH69" s="10">
        <v>0.5</v>
      </c>
    </row>
    <row r="70" ht="22.5" customHeight="1">
      <c r="A70" s="102">
        <v>45917.66519181713</v>
      </c>
      <c r="B70" s="103" t="s">
        <v>406</v>
      </c>
      <c r="C70" s="103" t="s">
        <v>650</v>
      </c>
      <c r="D70" s="103" t="s">
        <v>651</v>
      </c>
      <c r="E70" s="103" t="s">
        <v>420</v>
      </c>
      <c r="F70" s="103" t="s">
        <v>441</v>
      </c>
      <c r="G70" s="103" t="s">
        <v>568</v>
      </c>
      <c r="H70" s="103" t="s">
        <v>652</v>
      </c>
      <c r="I70" s="96"/>
      <c r="J70" s="7"/>
      <c r="K70" s="7" t="s">
        <v>164</v>
      </c>
      <c r="L70" s="7" t="s">
        <v>165</v>
      </c>
      <c r="M70" s="7" t="s">
        <v>161</v>
      </c>
      <c r="N70" s="8" t="s">
        <v>28</v>
      </c>
      <c r="O70" s="7" t="s">
        <v>29</v>
      </c>
      <c r="P70" s="31">
        <v>13.0</v>
      </c>
      <c r="Q70" s="22" t="s">
        <v>539</v>
      </c>
      <c r="R70" s="97">
        <f t="shared" si="41"/>
        <v>1</v>
      </c>
      <c r="S70" s="97">
        <f t="shared" si="40"/>
        <v>1</v>
      </c>
      <c r="T70" s="98">
        <f t="shared" si="32"/>
        <v>1</v>
      </c>
      <c r="U70" s="99">
        <f>IFERROR(__xludf.DUMMYFUNCTION("IFERROR(IF(Match(L70,IMPORTRANGE(""https://docs.google.com/spreadsheets/d/1CAXKDiOnZb21bZOY_nacH9xI9AiD-nH8ZZQAwYKkVC0/edit?usp=drivesdk"",""Completed Exams!A1:A135""),0),1), 0)"),0.0)</f>
        <v>0</v>
      </c>
      <c r="V70" s="100">
        <f t="shared" si="27"/>
        <v>1</v>
      </c>
      <c r="W70" s="100">
        <v>0.5</v>
      </c>
      <c r="X70" s="101">
        <f t="shared" si="48"/>
        <v>1</v>
      </c>
      <c r="Y70" s="101">
        <f t="shared" si="46"/>
        <v>0</v>
      </c>
      <c r="Z70" s="101">
        <f t="shared" si="36"/>
        <v>1</v>
      </c>
      <c r="AA70" s="101">
        <f t="shared" si="37"/>
        <v>1</v>
      </c>
      <c r="AB70" s="101">
        <f>IFERROR(__xludf.DUMMYFUNCTION("IFERROR(IF(Match(L70,IMPORTRANGE(""https://docs.google.com/spreadsheets/d/1n1sT_Q_W3mKmn2Yrd8qcNzuRD4zr4DB9gqARnjQ30B4/edit?gid=1918970062#gid=1918970062"",""Form Responses 1!B2:B49""),0),1), 0)"),0.0)</f>
        <v>0</v>
      </c>
      <c r="AC70" s="101">
        <f t="shared" si="47"/>
        <v>1</v>
      </c>
      <c r="AD70" s="100">
        <v>0.0</v>
      </c>
      <c r="AE70" s="101">
        <f>IFERROR(__xludf.DUMMYFUNCTION("IFERROR(IF(Match(L70,IMPORTRANGE(""https://docs.google.com/spreadsheets/d/1hvckjcCpxEuDQDPrBMml_I1kBhYyjrgR8qBKC9QGVUc/edit?resourcekey=&amp;gid=230793720#gid=230793720"",""Form Responses 1!B2:B199""),0),1), 0)"),0.0)</f>
        <v>0</v>
      </c>
      <c r="AF70" s="75">
        <f>IFERROR(__xludf.DUMMYFUNCTION("IFERROR(IF(Match(L70,IMPORTRANGE(""https://docs.google.com/spreadsheets/d/1UY0hI2S83Fmafa5P-C1LM9yqe4v4qIKTnVy_CzLzRPs/edit?resourcekey=&amp;gid=1583835601#gid=1583835601"",""Form Responses 1!B2:B194""),0),1), 0)"),0.0)</f>
        <v>0</v>
      </c>
      <c r="AG70" s="75">
        <f>IFERROR(__xludf.DUMMYFUNCTION("IFERROR(IF(Match(L70,IMPORTRANGE(""https://docs.google.com/spreadsheets/d/1hO4mQ22n6cudUygJ2ss_JeJdm2Ua_7hJl_79lWWEtic/edit?resourcekey=&amp;gid=2087212010#gid=2087212010"",""Form Responses 1!B2:B104""),0),1), 0)"),0.0)</f>
        <v>0</v>
      </c>
      <c r="AH70" s="10">
        <v>0.5</v>
      </c>
    </row>
    <row r="71" ht="22.5" customHeight="1">
      <c r="A71" s="102">
        <v>45917.66521141204</v>
      </c>
      <c r="B71" s="103" t="s">
        <v>365</v>
      </c>
      <c r="C71" s="103" t="s">
        <v>653</v>
      </c>
      <c r="D71" s="103" t="s">
        <v>654</v>
      </c>
      <c r="E71" s="103" t="s">
        <v>420</v>
      </c>
      <c r="F71" s="103" t="s">
        <v>436</v>
      </c>
      <c r="G71" s="103" t="s">
        <v>655</v>
      </c>
      <c r="H71" s="103" t="s">
        <v>656</v>
      </c>
      <c r="I71" s="96"/>
      <c r="J71" s="7"/>
      <c r="K71" s="7" t="s">
        <v>166</v>
      </c>
      <c r="L71" s="7" t="s">
        <v>167</v>
      </c>
      <c r="M71" s="7" t="s">
        <v>161</v>
      </c>
      <c r="N71" s="8" t="s">
        <v>28</v>
      </c>
      <c r="O71" s="7" t="s">
        <v>29</v>
      </c>
      <c r="P71" s="31">
        <v>13.0</v>
      </c>
      <c r="Q71" s="7" t="s">
        <v>617</v>
      </c>
      <c r="R71" s="97">
        <f t="shared" si="41"/>
        <v>1</v>
      </c>
      <c r="S71" s="97">
        <f t="shared" si="40"/>
        <v>1</v>
      </c>
      <c r="T71" s="98">
        <f t="shared" si="32"/>
        <v>1</v>
      </c>
      <c r="U71" s="98">
        <v>0.5</v>
      </c>
      <c r="V71" s="100">
        <v>0.5</v>
      </c>
      <c r="W71" s="100">
        <f>IF(COUNTIF(B$535:B$602,L71)=0,0,1)</f>
        <v>1</v>
      </c>
      <c r="X71" s="101">
        <f t="shared" si="48"/>
        <v>1</v>
      </c>
      <c r="Y71" s="101">
        <f t="shared" si="46"/>
        <v>1</v>
      </c>
      <c r="Z71" s="101">
        <f t="shared" si="36"/>
        <v>1</v>
      </c>
      <c r="AA71" s="101">
        <f t="shared" si="37"/>
        <v>1</v>
      </c>
      <c r="AB71" s="101">
        <f>IFERROR(__xludf.DUMMYFUNCTION("IFERROR(IF(Match(L71,IMPORTRANGE(""https://docs.google.com/spreadsheets/d/1n1sT_Q_W3mKmn2Yrd8qcNzuRD4zr4DB9gqARnjQ30B4/edit?gid=1918970062#gid=1918970062"",""Form Responses 1!B2:B49""),0),1), 0)"),0.0)</f>
        <v>0</v>
      </c>
      <c r="AC71" s="101">
        <f t="shared" si="47"/>
        <v>1</v>
      </c>
      <c r="AD71" s="100">
        <v>1.0</v>
      </c>
      <c r="AE71" s="101">
        <f>IFERROR(__xludf.DUMMYFUNCTION("IFERROR(IF(Match(L71,IMPORTRANGE(""https://docs.google.com/spreadsheets/d/1hvckjcCpxEuDQDPrBMml_I1kBhYyjrgR8qBKC9QGVUc/edit?resourcekey=&amp;gid=230793720#gid=230793720"",""Form Responses 1!B2:B199""),0),1), 0)"),0.0)</f>
        <v>0</v>
      </c>
      <c r="AF71" s="75">
        <f>IFERROR(__xludf.DUMMYFUNCTION("IFERROR(IF(Match(L71,IMPORTRANGE(""https://docs.google.com/spreadsheets/d/1UY0hI2S83Fmafa5P-C1LM9yqe4v4qIKTnVy_CzLzRPs/edit?resourcekey=&amp;gid=1583835601#gid=1583835601"",""Form Responses 1!B2:B194""),0),1), 0)"),0.0)</f>
        <v>0</v>
      </c>
      <c r="AG71" s="75">
        <f>IFERROR(__xludf.DUMMYFUNCTION("IFERROR(IF(Match(L71,IMPORTRANGE(""https://docs.google.com/spreadsheets/d/1hO4mQ22n6cudUygJ2ss_JeJdm2Ua_7hJl_79lWWEtic/edit?resourcekey=&amp;gid=2087212010#gid=2087212010"",""Form Responses 1!B2:B104""),0),1), 0)"),0.0)</f>
        <v>0</v>
      </c>
      <c r="AH71" s="75">
        <f>IFERROR(__xludf.DUMMYFUNCTION("IFERROR(IF(Match(L71,IMPORTRANGE(""https://docs.google.com/spreadsheets/d/1HbfCXhSXbtTODKKY1MOFwJccyhgDKD0J9sO1k5l_6lM/edit?resourcekey=&amp;gid=1616384832#gid=1616384832"",""Form Responses 1!E2:E143""),0),1), 0)"),0.0)</f>
        <v>0</v>
      </c>
    </row>
    <row r="72" ht="22.5" customHeight="1">
      <c r="A72" s="102">
        <v>45917.66524148148</v>
      </c>
      <c r="B72" s="103" t="s">
        <v>393</v>
      </c>
      <c r="C72" s="103" t="s">
        <v>657</v>
      </c>
      <c r="D72" s="103" t="s">
        <v>658</v>
      </c>
      <c r="E72" s="103" t="s">
        <v>578</v>
      </c>
      <c r="F72" s="103" t="s">
        <v>436</v>
      </c>
      <c r="G72" s="103" t="s">
        <v>568</v>
      </c>
      <c r="H72" s="103" t="s">
        <v>659</v>
      </c>
      <c r="I72" s="96"/>
      <c r="J72" s="7"/>
      <c r="K72" s="16" t="s">
        <v>168</v>
      </c>
      <c r="L72" s="16" t="s">
        <v>169</v>
      </c>
      <c r="M72" s="16" t="s">
        <v>161</v>
      </c>
      <c r="N72" s="17" t="s">
        <v>28</v>
      </c>
      <c r="O72" s="16" t="s">
        <v>29</v>
      </c>
      <c r="P72" s="33">
        <v>13.0</v>
      </c>
      <c r="Q72" s="16" t="s">
        <v>521</v>
      </c>
      <c r="R72" s="97">
        <f t="shared" si="41"/>
        <v>1</v>
      </c>
      <c r="S72" s="97">
        <f t="shared" si="40"/>
        <v>1</v>
      </c>
      <c r="T72" s="98">
        <f t="shared" si="32"/>
        <v>1</v>
      </c>
      <c r="U72" s="99">
        <f>IFERROR(__xludf.DUMMYFUNCTION("IFERROR(IF(Match(L72,IMPORTRANGE(""https://docs.google.com/spreadsheets/d/1CAXKDiOnZb21bZOY_nacH9xI9AiD-nH8ZZQAwYKkVC0/edit?usp=drivesdk"",""Completed Exams!A1:A135""),0),1), 0)"),0.0)</f>
        <v>0</v>
      </c>
      <c r="V72" s="100">
        <f t="shared" ref="V72:V98" si="49">IF(COUNTIF(B$416:B$535,L72)=0,0,1)</f>
        <v>1</v>
      </c>
      <c r="W72" s="100">
        <v>1.0</v>
      </c>
      <c r="X72" s="101">
        <f t="shared" si="48"/>
        <v>1</v>
      </c>
      <c r="Y72" s="101">
        <f t="shared" si="46"/>
        <v>0</v>
      </c>
      <c r="Z72" s="101">
        <f t="shared" si="36"/>
        <v>1</v>
      </c>
      <c r="AA72" s="101">
        <f t="shared" si="37"/>
        <v>1</v>
      </c>
      <c r="AB72" s="101">
        <f>IFERROR(__xludf.DUMMYFUNCTION("IFERROR(IF(Match(L72,IMPORTRANGE(""https://docs.google.com/spreadsheets/d/1n1sT_Q_W3mKmn2Yrd8qcNzuRD4zr4DB9gqARnjQ30B4/edit?gid=1918970062#gid=1918970062"",""Form Responses 1!B2:B49""),0),1), 0)"),0.0)</f>
        <v>0</v>
      </c>
      <c r="AC72" s="101">
        <f t="shared" si="47"/>
        <v>1</v>
      </c>
      <c r="AD72" s="100">
        <v>0.5</v>
      </c>
      <c r="AE72" s="100">
        <v>0.5</v>
      </c>
      <c r="AF72" s="75">
        <f>IFERROR(__xludf.DUMMYFUNCTION("IFERROR(IF(Match(L72,IMPORTRANGE(""https://docs.google.com/spreadsheets/d/1UY0hI2S83Fmafa5P-C1LM9yqe4v4qIKTnVy_CzLzRPs/edit?resourcekey=&amp;gid=1583835601#gid=1583835601"",""Form Responses 1!B2:B194""),0),1), 0)"),0.0)</f>
        <v>0</v>
      </c>
      <c r="AG72" s="75">
        <f>IFERROR(__xludf.DUMMYFUNCTION("IFERROR(IF(Match(L72,IMPORTRANGE(""https://docs.google.com/spreadsheets/d/1hO4mQ22n6cudUygJ2ss_JeJdm2Ua_7hJl_79lWWEtic/edit?resourcekey=&amp;gid=2087212010#gid=2087212010"",""Form Responses 1!B2:B104""),0),1), 0)"),0.0)</f>
        <v>0</v>
      </c>
      <c r="AH72" s="10">
        <v>0.5</v>
      </c>
    </row>
    <row r="73" ht="22.5" customHeight="1">
      <c r="A73" s="102">
        <v>45917.66524537037</v>
      </c>
      <c r="B73" s="103" t="s">
        <v>132</v>
      </c>
      <c r="C73" s="103" t="s">
        <v>657</v>
      </c>
      <c r="D73" s="103" t="s">
        <v>660</v>
      </c>
      <c r="E73" s="103" t="s">
        <v>450</v>
      </c>
      <c r="F73" s="103" t="s">
        <v>436</v>
      </c>
      <c r="G73" s="103" t="s">
        <v>124</v>
      </c>
      <c r="H73" s="103" t="s">
        <v>661</v>
      </c>
      <c r="I73" s="96"/>
      <c r="J73" s="7"/>
      <c r="K73" s="7" t="s">
        <v>170</v>
      </c>
      <c r="L73" s="7" t="s">
        <v>171</v>
      </c>
      <c r="M73" s="7" t="s">
        <v>172</v>
      </c>
      <c r="N73" s="8" t="s">
        <v>28</v>
      </c>
      <c r="O73" s="7" t="s">
        <v>29</v>
      </c>
      <c r="P73" s="21">
        <v>14.0</v>
      </c>
      <c r="Q73" s="7" t="s">
        <v>617</v>
      </c>
      <c r="R73" s="97">
        <f t="shared" si="41"/>
        <v>1</v>
      </c>
      <c r="S73" s="97">
        <f t="shared" si="40"/>
        <v>1</v>
      </c>
      <c r="T73" s="98">
        <v>0.5</v>
      </c>
      <c r="U73" s="99">
        <f>IFERROR(__xludf.DUMMYFUNCTION("IFERROR(IF(Match(L73,IMPORTRANGE(""https://docs.google.com/spreadsheets/d/1CAXKDiOnZb21bZOY_nacH9xI9AiD-nH8ZZQAwYKkVC0/edit?usp=drivesdk"",""Completed Exams!A1:A135""),0),1), 0)"),0.0)</f>
        <v>0</v>
      </c>
      <c r="V73" s="100">
        <f t="shared" si="49"/>
        <v>1</v>
      </c>
      <c r="W73" s="100">
        <f t="shared" ref="W73:W77" si="50">IF(COUNTIF(B$535:B$602,L73)=0,0,1)</f>
        <v>1</v>
      </c>
      <c r="X73" s="101">
        <f t="shared" si="48"/>
        <v>1</v>
      </c>
      <c r="Y73" s="101">
        <f t="shared" si="46"/>
        <v>1</v>
      </c>
      <c r="Z73" s="101">
        <f t="shared" si="36"/>
        <v>1</v>
      </c>
      <c r="AA73" s="101">
        <f t="shared" si="37"/>
        <v>1</v>
      </c>
      <c r="AB73" s="100">
        <v>1.0</v>
      </c>
      <c r="AC73" s="100">
        <v>1.0</v>
      </c>
      <c r="AD73" s="100">
        <v>1.0</v>
      </c>
      <c r="AE73" s="101">
        <f>IFERROR(__xludf.DUMMYFUNCTION("IFERROR(IF(Match(L73,IMPORTRANGE(""https://docs.google.com/spreadsheets/d/1hvckjcCpxEuDQDPrBMml_I1kBhYyjrgR8qBKC9QGVUc/edit?resourcekey=&amp;gid=230793720#gid=230793720"",""Form Responses 1!B2:B199""),0),1), 0)"),0.0)</f>
        <v>0</v>
      </c>
      <c r="AF73" s="75">
        <f>IFERROR(__xludf.DUMMYFUNCTION("IFERROR(IF(Match(L73,IMPORTRANGE(""https://docs.google.com/spreadsheets/d/1UY0hI2S83Fmafa5P-C1LM9yqe4v4qIKTnVy_CzLzRPs/edit?resourcekey=&amp;gid=1583835601#gid=1583835601"",""Form Responses 1!B2:B194""),0),1), 0)"),0.0)</f>
        <v>0</v>
      </c>
      <c r="AG73" s="75">
        <f>IFERROR(__xludf.DUMMYFUNCTION("IFERROR(IF(Match(L73,IMPORTRANGE(""https://docs.google.com/spreadsheets/d/1hO4mQ22n6cudUygJ2ss_JeJdm2Ua_7hJl_79lWWEtic/edit?resourcekey=&amp;gid=2087212010#gid=2087212010"",""Form Responses 1!B2:B104""),0),1), 0)"),0.0)</f>
        <v>0</v>
      </c>
      <c r="AH73" s="75">
        <f>IFERROR(__xludf.DUMMYFUNCTION("IFERROR(IF(Match(L73,IMPORTRANGE(""https://docs.google.com/spreadsheets/d/1HbfCXhSXbtTODKKY1MOFwJccyhgDKD0J9sO1k5l_6lM/edit?resourcekey=&amp;gid=1616384832#gid=1616384832"",""Form Responses 1!E2:E143""),0),1), 0)"),0.0)</f>
        <v>0</v>
      </c>
    </row>
    <row r="74" ht="22.5" customHeight="1">
      <c r="A74" s="102">
        <v>45917.665261180555</v>
      </c>
      <c r="B74" s="103" t="s">
        <v>330</v>
      </c>
      <c r="C74" s="103" t="s">
        <v>662</v>
      </c>
      <c r="D74" s="103" t="s">
        <v>663</v>
      </c>
      <c r="E74" s="103" t="s">
        <v>420</v>
      </c>
      <c r="F74" s="103" t="s">
        <v>436</v>
      </c>
      <c r="G74" s="103" t="s">
        <v>320</v>
      </c>
      <c r="H74" s="103" t="s">
        <v>664</v>
      </c>
      <c r="I74" s="96"/>
      <c r="J74" s="7"/>
      <c r="K74" s="7" t="s">
        <v>173</v>
      </c>
      <c r="L74" s="7" t="s">
        <v>174</v>
      </c>
      <c r="M74" s="7" t="s">
        <v>172</v>
      </c>
      <c r="N74" s="8" t="s">
        <v>28</v>
      </c>
      <c r="O74" s="7" t="s">
        <v>29</v>
      </c>
      <c r="P74" s="21">
        <v>14.0</v>
      </c>
      <c r="Q74" s="7" t="s">
        <v>539</v>
      </c>
      <c r="R74" s="97">
        <f t="shared" si="41"/>
        <v>1</v>
      </c>
      <c r="S74" s="97">
        <f t="shared" si="40"/>
        <v>1</v>
      </c>
      <c r="T74" s="98">
        <f t="shared" ref="T74:T88" si="51">IF(COUNTIF(B$275:B$401,L74)=0,0,1)</f>
        <v>1</v>
      </c>
      <c r="U74" s="99">
        <f>IFERROR(__xludf.DUMMYFUNCTION("IFERROR(IF(Match(L74,IMPORTRANGE(""https://docs.google.com/spreadsheets/d/1CAXKDiOnZb21bZOY_nacH9xI9AiD-nH8ZZQAwYKkVC0/edit?usp=drivesdk"",""Completed Exams!A1:A135""),0),1), 0)"),0.0)</f>
        <v>0</v>
      </c>
      <c r="V74" s="100">
        <f t="shared" si="49"/>
        <v>1</v>
      </c>
      <c r="W74" s="100">
        <f t="shared" si="50"/>
        <v>1</v>
      </c>
      <c r="X74" s="101">
        <f t="shared" si="48"/>
        <v>1</v>
      </c>
      <c r="Y74" s="101">
        <f t="shared" si="46"/>
        <v>1</v>
      </c>
      <c r="Z74" s="101">
        <f t="shared" si="36"/>
        <v>1</v>
      </c>
      <c r="AA74" s="101">
        <f t="shared" si="37"/>
        <v>1</v>
      </c>
      <c r="AB74" s="101">
        <f>IFERROR(__xludf.DUMMYFUNCTION("IFERROR(IF(Match(L74,IMPORTRANGE(""https://docs.google.com/spreadsheets/d/1n1sT_Q_W3mKmn2Yrd8qcNzuRD4zr4DB9gqARnjQ30B4/edit?gid=1918970062#gid=1918970062"",""Form Responses 1!B2:B49""),0),1), 0)"),0.0)</f>
        <v>0</v>
      </c>
      <c r="AC74" s="101">
        <f t="shared" ref="AC74:AC75" si="52">IF(COUNTIF(B$1145:B$1305,L74)=0,0,1)</f>
        <v>1</v>
      </c>
      <c r="AD74" s="100">
        <v>1.0</v>
      </c>
      <c r="AE74" s="101">
        <f>IFERROR(__xludf.DUMMYFUNCTION("IFERROR(IF(Match(L74,IMPORTRANGE(""https://docs.google.com/spreadsheets/d/1hvckjcCpxEuDQDPrBMml_I1kBhYyjrgR8qBKC9QGVUc/edit?resourcekey=&amp;gid=230793720#gid=230793720"",""Form Responses 1!B2:B199""),0),1), 0)"),0.0)</f>
        <v>0</v>
      </c>
      <c r="AF74" s="75">
        <f>IFERROR(__xludf.DUMMYFUNCTION("IFERROR(IF(Match(L74,IMPORTRANGE(""https://docs.google.com/spreadsheets/d/1UY0hI2S83Fmafa5P-C1LM9yqe4v4qIKTnVy_CzLzRPs/edit?resourcekey=&amp;gid=1583835601#gid=1583835601"",""Form Responses 1!B2:B194""),0),1), 0)"),0.0)</f>
        <v>0</v>
      </c>
      <c r="AG74" s="75">
        <f>IFERROR(__xludf.DUMMYFUNCTION("IFERROR(IF(Match(L74,IMPORTRANGE(""https://docs.google.com/spreadsheets/d/1hO4mQ22n6cudUygJ2ss_JeJdm2Ua_7hJl_79lWWEtic/edit?resourcekey=&amp;gid=2087212010#gid=2087212010"",""Form Responses 1!B2:B104""),0),1), 0)"),0.0)</f>
        <v>0</v>
      </c>
      <c r="AH74" s="75">
        <f>IFERROR(__xludf.DUMMYFUNCTION("IFERROR(IF(Match(L74,IMPORTRANGE(""https://docs.google.com/spreadsheets/d/1HbfCXhSXbtTODKKY1MOFwJccyhgDKD0J9sO1k5l_6lM/edit?resourcekey=&amp;gid=1616384832#gid=1616384832"",""Form Responses 1!E2:E143""),0),1), 0)"),0.0)</f>
        <v>0</v>
      </c>
    </row>
    <row r="75" ht="22.5" customHeight="1">
      <c r="A75" s="102">
        <v>45917.665262002316</v>
      </c>
      <c r="B75" s="103" t="s">
        <v>387</v>
      </c>
      <c r="C75" s="103" t="s">
        <v>665</v>
      </c>
      <c r="D75" s="103" t="s">
        <v>666</v>
      </c>
      <c r="E75" s="103" t="s">
        <v>450</v>
      </c>
      <c r="F75" s="103" t="s">
        <v>436</v>
      </c>
      <c r="G75" s="103" t="s">
        <v>211</v>
      </c>
      <c r="H75" s="103" t="s">
        <v>667</v>
      </c>
      <c r="I75" s="96"/>
      <c r="J75" s="7"/>
      <c r="K75" s="7" t="s">
        <v>175</v>
      </c>
      <c r="L75" s="7" t="s">
        <v>176</v>
      </c>
      <c r="M75" s="7" t="s">
        <v>172</v>
      </c>
      <c r="N75" s="8" t="s">
        <v>24</v>
      </c>
      <c r="O75" s="7" t="s">
        <v>93</v>
      </c>
      <c r="P75" s="21">
        <v>14.0</v>
      </c>
      <c r="Q75" s="7" t="s">
        <v>539</v>
      </c>
      <c r="R75" s="97">
        <f t="shared" si="41"/>
        <v>0</v>
      </c>
      <c r="S75" s="97">
        <f t="shared" si="40"/>
        <v>0</v>
      </c>
      <c r="T75" s="98">
        <f t="shared" si="51"/>
        <v>0</v>
      </c>
      <c r="U75" s="99">
        <f>IFERROR(__xludf.DUMMYFUNCTION("IFERROR(IF(Match(L75,IMPORTRANGE(""https://docs.google.com/spreadsheets/d/1CAXKDiOnZb21bZOY_nacH9xI9AiD-nH8ZZQAwYKkVC0/edit?usp=drivesdk"",""Completed Exams!A1:A135""),0),1), 0)"),0.0)</f>
        <v>0</v>
      </c>
      <c r="V75" s="100">
        <f t="shared" si="49"/>
        <v>0</v>
      </c>
      <c r="W75" s="100">
        <f t="shared" si="50"/>
        <v>1</v>
      </c>
      <c r="X75" s="101">
        <f t="shared" si="48"/>
        <v>0</v>
      </c>
      <c r="Y75" s="101">
        <f t="shared" si="46"/>
        <v>1</v>
      </c>
      <c r="Z75" s="101">
        <f t="shared" si="36"/>
        <v>0</v>
      </c>
      <c r="AA75" s="101">
        <f t="shared" si="37"/>
        <v>1</v>
      </c>
      <c r="AB75" s="101">
        <f>IFERROR(__xludf.DUMMYFUNCTION("IFERROR(IF(Match(L75,IMPORTRANGE(""https://docs.google.com/spreadsheets/d/1n1sT_Q_W3mKmn2Yrd8qcNzuRD4zr4DB9gqARnjQ30B4/edit?gid=1918970062#gid=1918970062"",""Form Responses 1!B2:B49""),0),1), 0)"),0.0)</f>
        <v>0</v>
      </c>
      <c r="AC75" s="101">
        <f t="shared" si="52"/>
        <v>1</v>
      </c>
      <c r="AD75" s="100">
        <v>0.0</v>
      </c>
      <c r="AE75" s="101">
        <f>IFERROR(__xludf.DUMMYFUNCTION("IFERROR(IF(Match(L75,IMPORTRANGE(""https://docs.google.com/spreadsheets/d/1hvckjcCpxEuDQDPrBMml_I1kBhYyjrgR8qBKC9QGVUc/edit?resourcekey=&amp;gid=230793720#gid=230793720"",""Form Responses 1!B2:B199""),0),1), 0)"),0.0)</f>
        <v>0</v>
      </c>
      <c r="AF75" s="75">
        <f>IFERROR(__xludf.DUMMYFUNCTION("IFERROR(IF(Match(L75,IMPORTRANGE(""https://docs.google.com/spreadsheets/d/1UY0hI2S83Fmafa5P-C1LM9yqe4v4qIKTnVy_CzLzRPs/edit?resourcekey=&amp;gid=1583835601#gid=1583835601"",""Form Responses 1!B2:B194""),0),1), 0)"),0.0)</f>
        <v>0</v>
      </c>
      <c r="AG75" s="10">
        <v>1.0</v>
      </c>
      <c r="AH75" s="10">
        <v>1.0</v>
      </c>
    </row>
    <row r="76" ht="22.5" customHeight="1">
      <c r="A76" s="102">
        <v>45917.665280057874</v>
      </c>
      <c r="B76" s="103" t="s">
        <v>226</v>
      </c>
      <c r="C76" s="103" t="s">
        <v>668</v>
      </c>
      <c r="D76" s="103" t="s">
        <v>581</v>
      </c>
      <c r="E76" s="103" t="s">
        <v>578</v>
      </c>
      <c r="F76" s="103" t="s">
        <v>436</v>
      </c>
      <c r="G76" s="103" t="s">
        <v>669</v>
      </c>
      <c r="H76" s="103" t="s">
        <v>670</v>
      </c>
      <c r="I76" s="96"/>
      <c r="J76" s="7"/>
      <c r="K76" s="7" t="s">
        <v>177</v>
      </c>
      <c r="L76" s="7" t="s">
        <v>178</v>
      </c>
      <c r="M76" s="7" t="s">
        <v>172</v>
      </c>
      <c r="N76" s="8" t="s">
        <v>24</v>
      </c>
      <c r="O76" s="7" t="s">
        <v>29</v>
      </c>
      <c r="P76" s="21">
        <v>14.0</v>
      </c>
      <c r="Q76" s="7" t="s">
        <v>456</v>
      </c>
      <c r="R76" s="97">
        <f t="shared" si="41"/>
        <v>0</v>
      </c>
      <c r="S76" s="97">
        <f t="shared" si="40"/>
        <v>0</v>
      </c>
      <c r="T76" s="98">
        <f t="shared" si="51"/>
        <v>0</v>
      </c>
      <c r="U76" s="98">
        <v>1.0</v>
      </c>
      <c r="V76" s="100">
        <f t="shared" si="49"/>
        <v>0</v>
      </c>
      <c r="W76" s="100">
        <f t="shared" si="50"/>
        <v>0</v>
      </c>
      <c r="X76" s="101">
        <f t="shared" si="48"/>
        <v>0</v>
      </c>
      <c r="Y76" s="101">
        <f t="shared" si="46"/>
        <v>0</v>
      </c>
      <c r="Z76" s="101">
        <f t="shared" si="36"/>
        <v>0</v>
      </c>
      <c r="AA76" s="101">
        <f t="shared" si="37"/>
        <v>1</v>
      </c>
      <c r="AB76" s="101">
        <f>IFERROR(__xludf.DUMMYFUNCTION("IFERROR(IF(Match(L76,IMPORTRANGE(""https://docs.google.com/spreadsheets/d/1n1sT_Q_W3mKmn2Yrd8qcNzuRD4zr4DB9gqARnjQ30B4/edit?gid=1918970062#gid=1918970062"",""Form Responses 1!B2:B49""),0),1), 0)"),0.0)</f>
        <v>0</v>
      </c>
      <c r="AC76" s="100">
        <v>1.0</v>
      </c>
      <c r="AD76" s="100">
        <v>0.0</v>
      </c>
      <c r="AE76" s="101">
        <f>IFERROR(__xludf.DUMMYFUNCTION("IFERROR(IF(Match(L76,IMPORTRANGE(""https://docs.google.com/spreadsheets/d/1hvckjcCpxEuDQDPrBMml_I1kBhYyjrgR8qBKC9QGVUc/edit?resourcekey=&amp;gid=230793720#gid=230793720"",""Form Responses 1!B2:B199""),0),1), 0)"),0.0)</f>
        <v>0</v>
      </c>
      <c r="AF76" s="75">
        <f>IFERROR(__xludf.DUMMYFUNCTION("IFERROR(IF(Match(L76,IMPORTRANGE(""https://docs.google.com/spreadsheets/d/1UY0hI2S83Fmafa5P-C1LM9yqe4v4qIKTnVy_CzLzRPs/edit?resourcekey=&amp;gid=1583835601#gid=1583835601"",""Form Responses 1!B2:B194""),0),1), 0)"),0.0)</f>
        <v>0</v>
      </c>
      <c r="AG76" s="75">
        <f>IFERROR(__xludf.DUMMYFUNCTION("IFERROR(IF(Match(L76,IMPORTRANGE(""https://docs.google.com/spreadsheets/d/1hO4mQ22n6cudUygJ2ss_JeJdm2Ua_7hJl_79lWWEtic/edit?resourcekey=&amp;gid=2087212010#gid=2087212010"",""Form Responses 1!B2:B104""),0),1), 0)"),0.0)</f>
        <v>0</v>
      </c>
      <c r="AH76" s="75">
        <f>IFERROR(__xludf.DUMMYFUNCTION("IFERROR(IF(Match(L76,IMPORTRANGE(""https://docs.google.com/spreadsheets/d/1HbfCXhSXbtTODKKY1MOFwJccyhgDKD0J9sO1k5l_6lM/edit?resourcekey=&amp;gid=1616384832#gid=1616384832"",""Form Responses 1!E2:E143""),0),1), 0)"),0.0)</f>
        <v>0</v>
      </c>
    </row>
    <row r="77" ht="22.5" customHeight="1">
      <c r="A77" s="102">
        <v>45917.665283483795</v>
      </c>
      <c r="B77" s="103" t="s">
        <v>272</v>
      </c>
      <c r="C77" s="103" t="s">
        <v>671</v>
      </c>
      <c r="D77" s="103" t="s">
        <v>509</v>
      </c>
      <c r="E77" s="103" t="s">
        <v>450</v>
      </c>
      <c r="F77" s="103" t="s">
        <v>436</v>
      </c>
      <c r="G77" s="103" t="s">
        <v>604</v>
      </c>
      <c r="H77" s="103" t="s">
        <v>672</v>
      </c>
      <c r="I77" s="96"/>
      <c r="J77" s="7"/>
      <c r="K77" s="7" t="s">
        <v>179</v>
      </c>
      <c r="L77" s="7" t="s">
        <v>180</v>
      </c>
      <c r="M77" s="7" t="s">
        <v>172</v>
      </c>
      <c r="N77" s="8" t="s">
        <v>24</v>
      </c>
      <c r="O77" s="7" t="s">
        <v>25</v>
      </c>
      <c r="P77" s="21">
        <v>14.0</v>
      </c>
      <c r="Q77" s="7" t="s">
        <v>456</v>
      </c>
      <c r="R77" s="97">
        <f t="shared" si="41"/>
        <v>0</v>
      </c>
      <c r="S77" s="97">
        <f t="shared" si="40"/>
        <v>0</v>
      </c>
      <c r="T77" s="98">
        <f t="shared" si="51"/>
        <v>0</v>
      </c>
      <c r="U77" s="98">
        <v>1.0</v>
      </c>
      <c r="V77" s="100">
        <f t="shared" si="49"/>
        <v>0</v>
      </c>
      <c r="W77" s="100">
        <f t="shared" si="50"/>
        <v>0</v>
      </c>
      <c r="X77" s="101">
        <f t="shared" si="48"/>
        <v>0</v>
      </c>
      <c r="Y77" s="101">
        <f t="shared" si="46"/>
        <v>1</v>
      </c>
      <c r="Z77" s="101">
        <f t="shared" si="36"/>
        <v>0</v>
      </c>
      <c r="AA77" s="101">
        <f t="shared" si="37"/>
        <v>1</v>
      </c>
      <c r="AB77" s="101">
        <f>IFERROR(__xludf.DUMMYFUNCTION("IFERROR(IF(Match(L77,IMPORTRANGE(""https://docs.google.com/spreadsheets/d/1n1sT_Q_W3mKmn2Yrd8qcNzuRD4zr4DB9gqARnjQ30B4/edit?gid=1918970062#gid=1918970062"",""Form Responses 1!B2:B49""),0),1), 0)"),0.0)</f>
        <v>0</v>
      </c>
      <c r="AC77" s="100">
        <v>1.0</v>
      </c>
      <c r="AD77" s="100">
        <v>0.0</v>
      </c>
      <c r="AE77" s="101">
        <f>IFERROR(__xludf.DUMMYFUNCTION("IFERROR(IF(Match(L77,IMPORTRANGE(""https://docs.google.com/spreadsheets/d/1hvckjcCpxEuDQDPrBMml_I1kBhYyjrgR8qBKC9QGVUc/edit?resourcekey=&amp;gid=230793720#gid=230793720"",""Form Responses 1!B2:B199""),0),1), 0)"),0.0)</f>
        <v>0</v>
      </c>
      <c r="AF77" s="75">
        <f>IFERROR(__xludf.DUMMYFUNCTION("IFERROR(IF(Match(L77,IMPORTRANGE(""https://docs.google.com/spreadsheets/d/1UY0hI2S83Fmafa5P-C1LM9yqe4v4qIKTnVy_CzLzRPs/edit?resourcekey=&amp;gid=1583835601#gid=1583835601"",""Form Responses 1!B2:B194""),0),1), 0)"),0.0)</f>
        <v>0</v>
      </c>
      <c r="AG77" s="75">
        <f>IFERROR(__xludf.DUMMYFUNCTION("IFERROR(IF(Match(L77,IMPORTRANGE(""https://docs.google.com/spreadsheets/d/1hO4mQ22n6cudUygJ2ss_JeJdm2Ua_7hJl_79lWWEtic/edit?resourcekey=&amp;gid=2087212010#gid=2087212010"",""Form Responses 1!B2:B104""),0),1), 0)"),0.0)</f>
        <v>0</v>
      </c>
      <c r="AH77" s="75">
        <f>IFERROR(__xludf.DUMMYFUNCTION("IFERROR(IF(Match(L77,IMPORTRANGE(""https://docs.google.com/spreadsheets/d/1HbfCXhSXbtTODKKY1MOFwJccyhgDKD0J9sO1k5l_6lM/edit?resourcekey=&amp;gid=1616384832#gid=1616384832"",""Form Responses 1!E2:E143""),0),1), 0)"),0.0)</f>
        <v>0</v>
      </c>
    </row>
    <row r="78" ht="22.5" customHeight="1">
      <c r="A78" s="102">
        <v>45917.6652890625</v>
      </c>
      <c r="B78" s="103" t="s">
        <v>673</v>
      </c>
      <c r="C78" s="103" t="s">
        <v>674</v>
      </c>
      <c r="D78" s="103" t="s">
        <v>581</v>
      </c>
      <c r="E78" s="103" t="s">
        <v>450</v>
      </c>
      <c r="F78" s="103" t="s">
        <v>436</v>
      </c>
      <c r="G78" s="103" t="s">
        <v>359</v>
      </c>
      <c r="H78" s="103" t="s">
        <v>675</v>
      </c>
      <c r="I78" s="96"/>
      <c r="J78" s="7"/>
      <c r="K78" s="16" t="s">
        <v>181</v>
      </c>
      <c r="L78" s="16" t="s">
        <v>182</v>
      </c>
      <c r="M78" s="16" t="s">
        <v>172</v>
      </c>
      <c r="N78" s="17" t="s">
        <v>24</v>
      </c>
      <c r="O78" s="16" t="s">
        <v>25</v>
      </c>
      <c r="P78" s="24">
        <v>14.0</v>
      </c>
      <c r="Q78" s="16" t="s">
        <v>456</v>
      </c>
      <c r="R78" s="97">
        <f t="shared" si="41"/>
        <v>0</v>
      </c>
      <c r="S78" s="97">
        <f t="shared" si="40"/>
        <v>0</v>
      </c>
      <c r="T78" s="98">
        <f t="shared" si="51"/>
        <v>0</v>
      </c>
      <c r="U78" s="99">
        <f>IFERROR(__xludf.DUMMYFUNCTION("IFERROR(IF(Match(L78,IMPORTRANGE(""https://docs.google.com/spreadsheets/d/1CAXKDiOnZb21bZOY_nacH9xI9AiD-nH8ZZQAwYKkVC0/edit?usp=drivesdk"",""Completed Exams!A1:A135""),0),1), 0)"),0.0)</f>
        <v>0</v>
      </c>
      <c r="V78" s="100">
        <f t="shared" si="49"/>
        <v>1</v>
      </c>
      <c r="W78" s="100">
        <v>0.5</v>
      </c>
      <c r="X78" s="101">
        <f t="shared" si="48"/>
        <v>1</v>
      </c>
      <c r="Y78" s="101">
        <f t="shared" si="46"/>
        <v>0</v>
      </c>
      <c r="Z78" s="101">
        <f t="shared" si="36"/>
        <v>0</v>
      </c>
      <c r="AA78" s="101">
        <f t="shared" si="37"/>
        <v>1</v>
      </c>
      <c r="AB78" s="101">
        <f>IFERROR(__xludf.DUMMYFUNCTION("IFERROR(IF(Match(L78,IMPORTRANGE(""https://docs.google.com/spreadsheets/d/1n1sT_Q_W3mKmn2Yrd8qcNzuRD4zr4DB9gqARnjQ30B4/edit?gid=1918970062#gid=1918970062"",""Form Responses 1!B2:B49""),0),1), 0)"),0.0)</f>
        <v>0</v>
      </c>
      <c r="AC78" s="100">
        <v>1.0</v>
      </c>
      <c r="AD78" s="100">
        <v>0.0</v>
      </c>
      <c r="AE78" s="101">
        <f>IFERROR(__xludf.DUMMYFUNCTION("IFERROR(IF(Match(L78,IMPORTRANGE(""https://docs.google.com/spreadsheets/d/1hvckjcCpxEuDQDPrBMml_I1kBhYyjrgR8qBKC9QGVUc/edit?resourcekey=&amp;gid=230793720#gid=230793720"",""Form Responses 1!B2:B199""),0),1), 0)"),0.0)</f>
        <v>0</v>
      </c>
      <c r="AF78" s="75">
        <f>IFERROR(__xludf.DUMMYFUNCTION("IFERROR(IF(Match(L78,IMPORTRANGE(""https://docs.google.com/spreadsheets/d/1UY0hI2S83Fmafa5P-C1LM9yqe4v4qIKTnVy_CzLzRPs/edit?resourcekey=&amp;gid=1583835601#gid=1583835601"",""Form Responses 1!B2:B194""),0),1), 0)"),0.0)</f>
        <v>0</v>
      </c>
      <c r="AG78" s="75">
        <f>IFERROR(__xludf.DUMMYFUNCTION("IFERROR(IF(Match(L78,IMPORTRANGE(""https://docs.google.com/spreadsheets/d/1hO4mQ22n6cudUygJ2ss_JeJdm2Ua_7hJl_79lWWEtic/edit?resourcekey=&amp;gid=2087212010#gid=2087212010"",""Form Responses 1!B2:B104""),0),1), 0)"),0.0)</f>
        <v>0</v>
      </c>
      <c r="AH78" s="75">
        <f>IFERROR(__xludf.DUMMYFUNCTION("IFERROR(IF(Match(L78,IMPORTRANGE(""https://docs.google.com/spreadsheets/d/1HbfCXhSXbtTODKKY1MOFwJccyhgDKD0J9sO1k5l_6lM/edit?resourcekey=&amp;gid=1616384832#gid=1616384832"",""Form Responses 1!E2:E143""),0),1), 0)"),0.0)</f>
        <v>0</v>
      </c>
    </row>
    <row r="79" ht="22.5" customHeight="1">
      <c r="A79" s="102">
        <v>45917.665291944446</v>
      </c>
      <c r="B79" s="103" t="s">
        <v>169</v>
      </c>
      <c r="C79" s="103" t="s">
        <v>676</v>
      </c>
      <c r="D79" s="103" t="s">
        <v>677</v>
      </c>
      <c r="E79" s="103" t="s">
        <v>450</v>
      </c>
      <c r="F79" s="103" t="s">
        <v>436</v>
      </c>
      <c r="G79" s="103" t="s">
        <v>161</v>
      </c>
      <c r="H79" s="103" t="s">
        <v>678</v>
      </c>
      <c r="I79" s="96"/>
      <c r="J79" s="116"/>
      <c r="K79" s="116" t="s">
        <v>183</v>
      </c>
      <c r="L79" s="116" t="s">
        <v>184</v>
      </c>
      <c r="M79" s="7" t="s">
        <v>185</v>
      </c>
      <c r="N79" s="117" t="s">
        <v>11</v>
      </c>
      <c r="O79" s="116" t="s">
        <v>12</v>
      </c>
      <c r="P79" s="118">
        <v>1.0</v>
      </c>
      <c r="Q79" s="116" t="s">
        <v>617</v>
      </c>
      <c r="R79" s="97">
        <f t="shared" si="41"/>
        <v>1</v>
      </c>
      <c r="S79" s="97">
        <f t="shared" si="40"/>
        <v>1</v>
      </c>
      <c r="T79" s="98">
        <f t="shared" si="51"/>
        <v>1</v>
      </c>
      <c r="U79" s="119">
        <f>IFERROR(__xludf.DUMMYFUNCTION("IFERROR(IF(Match(L79,IMPORTRANGE(""https://docs.google.com/spreadsheets/d/1CAXKDiOnZb21bZOY_nacH9xI9AiD-nH8ZZQAwYKkVC0/edit?usp=drivesdk"",""Completed Exams!A1:A135""),0),1), 0)"),0.0)</f>
        <v>0</v>
      </c>
      <c r="V79" s="100">
        <f t="shared" si="49"/>
        <v>1</v>
      </c>
      <c r="W79" s="100">
        <f t="shared" ref="W79:W82" si="53">IF(COUNTIF(B$535:B$602,L79)=0,0,1)</f>
        <v>1</v>
      </c>
      <c r="X79" s="101">
        <f t="shared" si="48"/>
        <v>0</v>
      </c>
      <c r="Y79" s="100">
        <v>1.0</v>
      </c>
      <c r="Z79" s="101">
        <f t="shared" si="36"/>
        <v>1</v>
      </c>
      <c r="AA79" s="101">
        <f t="shared" si="37"/>
        <v>1</v>
      </c>
      <c r="AB79" s="101">
        <f>IFERROR(__xludf.DUMMYFUNCTION("IFERROR(IF(Match(L79,IMPORTRANGE(""https://docs.google.com/spreadsheets/d/1n1sT_Q_W3mKmn2Yrd8qcNzuRD4zr4DB9gqARnjQ30B4/edit?gid=1918970062#gid=1918970062"",""Form Responses 1!B2:B49""),0),1), 0)"),0.0)</f>
        <v>0</v>
      </c>
      <c r="AC79" s="101">
        <f t="shared" ref="AC79:AC150" si="54">IF(COUNTIF(B$1145:B$1305,L79)=0,0,1)</f>
        <v>1</v>
      </c>
      <c r="AD79" s="120">
        <v>1.0</v>
      </c>
      <c r="AE79" s="101">
        <f>IFERROR(__xludf.DUMMYFUNCTION("IFERROR(IF(Match(L79,IMPORTRANGE(""https://docs.google.com/spreadsheets/d/1hvckjcCpxEuDQDPrBMml_I1kBhYyjrgR8qBKC9QGVUc/edit?resourcekey=&amp;gid=230793720#gid=230793720"",""Form Responses 1!B2:B199""),0),1), 0)"),0.0)</f>
        <v>0</v>
      </c>
      <c r="AF79" s="75">
        <f>IFERROR(__xludf.DUMMYFUNCTION("IFERROR(IF(Match(L79,IMPORTRANGE(""https://docs.google.com/spreadsheets/d/1UY0hI2S83Fmafa5P-C1LM9yqe4v4qIKTnVy_CzLzRPs/edit?resourcekey=&amp;gid=1583835601#gid=1583835601"",""Form Responses 1!B2:B194""),0),1), 0)"),0.0)</f>
        <v>0</v>
      </c>
      <c r="AG79" s="75">
        <f>IFERROR(__xludf.DUMMYFUNCTION("IFERROR(IF(Match(L79,IMPORTRANGE(""https://docs.google.com/spreadsheets/d/1hO4mQ22n6cudUygJ2ss_JeJdm2Ua_7hJl_79lWWEtic/edit?resourcekey=&amp;gid=2087212010#gid=2087212010"",""Form Responses 1!B2:B104""),0),1), 0)"),0.0)</f>
        <v>0</v>
      </c>
      <c r="AH79" s="75">
        <f>IFERROR(__xludf.DUMMYFUNCTION("IFERROR(IF(Match(L79,IMPORTRANGE(""https://docs.google.com/spreadsheets/d/1HbfCXhSXbtTODKKY1MOFwJccyhgDKD0J9sO1k5l_6lM/edit?resourcekey=&amp;gid=1616384832#gid=1616384832"",""Form Responses 1!E2:E143""),0),1), 0)"),0.0)</f>
        <v>0</v>
      </c>
      <c r="AI79" s="14"/>
      <c r="AJ79" s="14"/>
      <c r="AK79" s="14"/>
      <c r="AL79" s="14"/>
      <c r="AM79" s="14"/>
      <c r="AN79" s="14"/>
      <c r="AO79" s="14"/>
      <c r="AP79" s="14"/>
      <c r="AQ79" s="14"/>
    </row>
    <row r="80" ht="22.5" customHeight="1">
      <c r="A80" s="102">
        <v>45917.66530587963</v>
      </c>
      <c r="B80" s="103" t="s">
        <v>242</v>
      </c>
      <c r="C80" s="103" t="s">
        <v>679</v>
      </c>
      <c r="D80" s="103" t="s">
        <v>680</v>
      </c>
      <c r="E80" s="103" t="s">
        <v>578</v>
      </c>
      <c r="F80" s="103" t="s">
        <v>436</v>
      </c>
      <c r="G80" s="103" t="s">
        <v>615</v>
      </c>
      <c r="H80" s="103" t="s">
        <v>681</v>
      </c>
      <c r="I80" s="96"/>
      <c r="J80" s="7"/>
      <c r="K80" s="7" t="s">
        <v>186</v>
      </c>
      <c r="L80" s="7" t="s">
        <v>187</v>
      </c>
      <c r="M80" s="7" t="s">
        <v>185</v>
      </c>
      <c r="N80" s="8" t="s">
        <v>28</v>
      </c>
      <c r="O80" s="7"/>
      <c r="P80" s="60">
        <v>15.0</v>
      </c>
      <c r="Q80" s="7"/>
      <c r="R80" s="97">
        <f t="shared" si="41"/>
        <v>1</v>
      </c>
      <c r="S80" s="97">
        <f t="shared" si="40"/>
        <v>0</v>
      </c>
      <c r="T80" s="98">
        <f t="shared" si="51"/>
        <v>1</v>
      </c>
      <c r="U80" s="99">
        <f>IFERROR(__xludf.DUMMYFUNCTION("IFERROR(IF(Match(L80,IMPORTRANGE(""https://docs.google.com/spreadsheets/d/1CAXKDiOnZb21bZOY_nacH9xI9AiD-nH8ZZQAwYKkVC0/edit?usp=drivesdk"",""Completed Exams!A1:A135""),0),1), 0)"),0.0)</f>
        <v>0</v>
      </c>
      <c r="V80" s="100">
        <f t="shared" si="49"/>
        <v>1</v>
      </c>
      <c r="W80" s="100">
        <f t="shared" si="53"/>
        <v>1</v>
      </c>
      <c r="X80" s="101">
        <f t="shared" si="48"/>
        <v>1</v>
      </c>
      <c r="Y80" s="101">
        <f t="shared" ref="Y80:Y86" si="55">IF(COUNTIF(B$725:B$844,L80)=0,0,1)</f>
        <v>1</v>
      </c>
      <c r="Z80" s="101">
        <f t="shared" si="36"/>
        <v>1</v>
      </c>
      <c r="AA80" s="101">
        <f t="shared" si="37"/>
        <v>1</v>
      </c>
      <c r="AB80" s="101">
        <f>IFERROR(__xludf.DUMMYFUNCTION("IFERROR(IF(Match(L80,IMPORTRANGE(""https://docs.google.com/spreadsheets/d/1n1sT_Q_W3mKmn2Yrd8qcNzuRD4zr4DB9gqARnjQ30B4/edit?gid=1918970062#gid=1918970062"",""Form Responses 1!B2:B49""),0),1), 0)"),0.0)</f>
        <v>0</v>
      </c>
      <c r="AC80" s="101">
        <f t="shared" si="54"/>
        <v>1</v>
      </c>
      <c r="AD80" s="100">
        <v>1.0</v>
      </c>
      <c r="AE80" s="101">
        <f>IFERROR(__xludf.DUMMYFUNCTION("IFERROR(IF(Match(L80,IMPORTRANGE(""https://docs.google.com/spreadsheets/d/1hvckjcCpxEuDQDPrBMml_I1kBhYyjrgR8qBKC9QGVUc/edit?resourcekey=&amp;gid=230793720#gid=230793720"",""Form Responses 1!B2:B199""),0),1), 0)"),0.0)</f>
        <v>0</v>
      </c>
      <c r="AF80" s="75">
        <f>IFERROR(__xludf.DUMMYFUNCTION("IFERROR(IF(Match(L80,IMPORTRANGE(""https://docs.google.com/spreadsheets/d/1UY0hI2S83Fmafa5P-C1LM9yqe4v4qIKTnVy_CzLzRPs/edit?resourcekey=&amp;gid=1583835601#gid=1583835601"",""Form Responses 1!B2:B194""),0),1), 0)"),0.0)</f>
        <v>0</v>
      </c>
      <c r="AG80" s="75">
        <f>IFERROR(__xludf.DUMMYFUNCTION("IFERROR(IF(Match(L80,IMPORTRANGE(""https://docs.google.com/spreadsheets/d/1hO4mQ22n6cudUygJ2ss_JeJdm2Ua_7hJl_79lWWEtic/edit?resourcekey=&amp;gid=2087212010#gid=2087212010"",""Form Responses 1!B2:B104""),0),1), 0)"),0.0)</f>
        <v>0</v>
      </c>
      <c r="AH80" s="75">
        <f>IFERROR(__xludf.DUMMYFUNCTION("IFERROR(IF(Match(L80,IMPORTRANGE(""https://docs.google.com/spreadsheets/d/1HbfCXhSXbtTODKKY1MOFwJccyhgDKD0J9sO1k5l_6lM/edit?resourcekey=&amp;gid=1616384832#gid=1616384832"",""Form Responses 1!E2:E143""),0),1), 0)"),0.0)</f>
        <v>0</v>
      </c>
    </row>
    <row r="81" ht="22.5" customHeight="1">
      <c r="A81" s="102">
        <v>45917.66530890046</v>
      </c>
      <c r="B81" s="103" t="s">
        <v>291</v>
      </c>
      <c r="C81" s="103" t="s">
        <v>682</v>
      </c>
      <c r="D81" s="103" t="s">
        <v>683</v>
      </c>
      <c r="E81" s="103" t="s">
        <v>450</v>
      </c>
      <c r="F81" s="103" t="s">
        <v>436</v>
      </c>
      <c r="G81" s="103" t="s">
        <v>478</v>
      </c>
      <c r="H81" s="103" t="s">
        <v>684</v>
      </c>
      <c r="I81" s="96"/>
      <c r="J81" s="7"/>
      <c r="K81" s="7" t="s">
        <v>188</v>
      </c>
      <c r="L81" s="7" t="s">
        <v>189</v>
      </c>
      <c r="M81" s="7" t="s">
        <v>185</v>
      </c>
      <c r="N81" s="8" t="s">
        <v>24</v>
      </c>
      <c r="O81" s="7" t="s">
        <v>25</v>
      </c>
      <c r="P81" s="60">
        <v>15.0</v>
      </c>
      <c r="Q81" s="7" t="s">
        <v>543</v>
      </c>
      <c r="R81" s="97">
        <f t="shared" si="41"/>
        <v>1</v>
      </c>
      <c r="S81" s="97">
        <f t="shared" si="40"/>
        <v>1</v>
      </c>
      <c r="T81" s="98">
        <f t="shared" si="51"/>
        <v>0</v>
      </c>
      <c r="U81" s="99">
        <f>IFERROR(__xludf.DUMMYFUNCTION("IFERROR(IF(Match(L81,IMPORTRANGE(""https://docs.google.com/spreadsheets/d/1CAXKDiOnZb21bZOY_nacH9xI9AiD-nH8ZZQAwYKkVC0/edit?usp=drivesdk"",""Completed Exams!A1:A135""),0),1), 0)"),0.0)</f>
        <v>0</v>
      </c>
      <c r="V81" s="100">
        <f t="shared" si="49"/>
        <v>1</v>
      </c>
      <c r="W81" s="100">
        <f t="shared" si="53"/>
        <v>0</v>
      </c>
      <c r="X81" s="101">
        <f t="shared" si="48"/>
        <v>1</v>
      </c>
      <c r="Y81" s="101">
        <f t="shared" si="55"/>
        <v>0</v>
      </c>
      <c r="Z81" s="101">
        <f t="shared" si="36"/>
        <v>0</v>
      </c>
      <c r="AA81" s="101">
        <f t="shared" si="37"/>
        <v>1</v>
      </c>
      <c r="AB81" s="101">
        <f>IFERROR(__xludf.DUMMYFUNCTION("IFERROR(IF(Match(L81,IMPORTRANGE(""https://docs.google.com/spreadsheets/d/1n1sT_Q_W3mKmn2Yrd8qcNzuRD4zr4DB9gqARnjQ30B4/edit?gid=1918970062#gid=1918970062"",""Form Responses 1!B2:B49""),0),1), 0)"),0.0)</f>
        <v>0</v>
      </c>
      <c r="AC81" s="101">
        <f t="shared" si="54"/>
        <v>1</v>
      </c>
      <c r="AD81" s="100">
        <v>0.0</v>
      </c>
      <c r="AE81" s="101">
        <f>IFERROR(__xludf.DUMMYFUNCTION("IFERROR(IF(Match(L81,IMPORTRANGE(""https://docs.google.com/spreadsheets/d/1hvckjcCpxEuDQDPrBMml_I1kBhYyjrgR8qBKC9QGVUc/edit?resourcekey=&amp;gid=230793720#gid=230793720"",""Form Responses 1!B2:B199""),0),1), 0)"),0.0)</f>
        <v>0</v>
      </c>
      <c r="AF81" s="75">
        <f>IFERROR(__xludf.DUMMYFUNCTION("IFERROR(IF(Match(L81,IMPORTRANGE(""https://docs.google.com/spreadsheets/d/1UY0hI2S83Fmafa5P-C1LM9yqe4v4qIKTnVy_CzLzRPs/edit?resourcekey=&amp;gid=1583835601#gid=1583835601"",""Form Responses 1!B2:B194""),0),1), 0)"),0.0)</f>
        <v>0</v>
      </c>
      <c r="AG81" s="10">
        <v>0.5</v>
      </c>
      <c r="AH81" s="75">
        <f>IFERROR(__xludf.DUMMYFUNCTION("IFERROR(IF(Match(L81,IMPORTRANGE(""https://docs.google.com/spreadsheets/d/1HbfCXhSXbtTODKKY1MOFwJccyhgDKD0J9sO1k5l_6lM/edit?resourcekey=&amp;gid=1616384832#gid=1616384832"",""Form Responses 1!E2:E143""),0),1), 0)"),0.0)</f>
        <v>0</v>
      </c>
    </row>
    <row r="82" ht="22.5" customHeight="1">
      <c r="A82" s="102">
        <v>45917.665329780095</v>
      </c>
      <c r="B82" s="103" t="s">
        <v>308</v>
      </c>
      <c r="C82" s="103" t="s">
        <v>685</v>
      </c>
      <c r="D82" s="103" t="s">
        <v>686</v>
      </c>
      <c r="E82" s="103" t="s">
        <v>450</v>
      </c>
      <c r="F82" s="103" t="s">
        <v>441</v>
      </c>
      <c r="G82" s="103" t="s">
        <v>687</v>
      </c>
      <c r="H82" s="103" t="s">
        <v>688</v>
      </c>
      <c r="I82" s="96"/>
      <c r="J82" s="7"/>
      <c r="K82" s="7" t="s">
        <v>190</v>
      </c>
      <c r="L82" s="7" t="s">
        <v>191</v>
      </c>
      <c r="M82" s="7" t="s">
        <v>185</v>
      </c>
      <c r="N82" s="8" t="s">
        <v>11</v>
      </c>
      <c r="O82" s="7" t="s">
        <v>12</v>
      </c>
      <c r="P82" s="60">
        <v>15.0</v>
      </c>
      <c r="Q82" s="7" t="s">
        <v>543</v>
      </c>
      <c r="R82" s="97">
        <f t="shared" si="41"/>
        <v>1</v>
      </c>
      <c r="S82" s="97">
        <f t="shared" si="40"/>
        <v>1</v>
      </c>
      <c r="T82" s="98">
        <f t="shared" si="51"/>
        <v>0</v>
      </c>
      <c r="U82" s="99">
        <f>IFERROR(__xludf.DUMMYFUNCTION("IFERROR(IF(Match(L82,IMPORTRANGE(""https://docs.google.com/spreadsheets/d/1CAXKDiOnZb21bZOY_nacH9xI9AiD-nH8ZZQAwYKkVC0/edit?usp=drivesdk"",""Completed Exams!A1:A135""),0),1), 0)"),0.0)</f>
        <v>0</v>
      </c>
      <c r="V82" s="100">
        <f t="shared" si="49"/>
        <v>1</v>
      </c>
      <c r="W82" s="100">
        <f t="shared" si="53"/>
        <v>1</v>
      </c>
      <c r="X82" s="101">
        <f t="shared" si="48"/>
        <v>1</v>
      </c>
      <c r="Y82" s="101">
        <f t="shared" si="55"/>
        <v>1</v>
      </c>
      <c r="Z82" s="101">
        <f t="shared" si="36"/>
        <v>1</v>
      </c>
      <c r="AA82" s="101">
        <f t="shared" si="37"/>
        <v>1</v>
      </c>
      <c r="AB82" s="101">
        <f>IFERROR(__xludf.DUMMYFUNCTION("IFERROR(IF(Match(L82,IMPORTRANGE(""https://docs.google.com/spreadsheets/d/1n1sT_Q_W3mKmn2Yrd8qcNzuRD4zr4DB9gqARnjQ30B4/edit?gid=1918970062#gid=1918970062"",""Form Responses 1!B2:B49""),0),1), 0)"),0.0)</f>
        <v>0</v>
      </c>
      <c r="AC82" s="101">
        <f t="shared" si="54"/>
        <v>1</v>
      </c>
      <c r="AD82" s="100">
        <v>0.0</v>
      </c>
      <c r="AE82" s="101">
        <f>IFERROR(__xludf.DUMMYFUNCTION("IFERROR(IF(Match(L82,IMPORTRANGE(""https://docs.google.com/spreadsheets/d/1hvckjcCpxEuDQDPrBMml_I1kBhYyjrgR8qBKC9QGVUc/edit?resourcekey=&amp;gid=230793720#gid=230793720"",""Form Responses 1!B2:B199""),0),1), 0)"),0.0)</f>
        <v>0</v>
      </c>
      <c r="AF82" s="75">
        <f>IFERROR(__xludf.DUMMYFUNCTION("IFERROR(IF(Match(L82,IMPORTRANGE(""https://docs.google.com/spreadsheets/d/1UY0hI2S83Fmafa5P-C1LM9yqe4v4qIKTnVy_CzLzRPs/edit?resourcekey=&amp;gid=1583835601#gid=1583835601"",""Form Responses 1!B2:B194""),0),1), 0)"),0.0)</f>
        <v>0</v>
      </c>
      <c r="AG82" s="75">
        <f>IFERROR(__xludf.DUMMYFUNCTION("IFERROR(IF(Match(L82,IMPORTRANGE(""https://docs.google.com/spreadsheets/d/1hO4mQ22n6cudUygJ2ss_JeJdm2Ua_7hJl_79lWWEtic/edit?resourcekey=&amp;gid=2087212010#gid=2087212010"",""Form Responses 1!B2:B104""),0),1), 0)"),0.0)</f>
        <v>0</v>
      </c>
      <c r="AH82" s="75">
        <f>IFERROR(__xludf.DUMMYFUNCTION("IFERROR(IF(Match(L82,IMPORTRANGE(""https://docs.google.com/spreadsheets/d/1HbfCXhSXbtTODKKY1MOFwJccyhgDKD0J9sO1k5l_6lM/edit?resourcekey=&amp;gid=1616384832#gid=1616384832"",""Form Responses 1!E2:E143""),0),1), 0)"),0.0)</f>
        <v>0</v>
      </c>
    </row>
    <row r="83" ht="22.5" customHeight="1">
      <c r="A83" s="102">
        <v>45917.66533403935</v>
      </c>
      <c r="B83" s="103" t="s">
        <v>66</v>
      </c>
      <c r="C83" s="103" t="s">
        <v>668</v>
      </c>
      <c r="D83" s="103" t="s">
        <v>689</v>
      </c>
      <c r="E83" s="103" t="s">
        <v>450</v>
      </c>
      <c r="F83" s="103" t="s">
        <v>436</v>
      </c>
      <c r="G83" s="103" t="s">
        <v>62</v>
      </c>
      <c r="H83" s="103" t="s">
        <v>690</v>
      </c>
      <c r="I83" s="96"/>
      <c r="J83" s="7"/>
      <c r="K83" s="7" t="s">
        <v>192</v>
      </c>
      <c r="L83" s="7" t="s">
        <v>193</v>
      </c>
      <c r="M83" s="7" t="s">
        <v>185</v>
      </c>
      <c r="N83" s="8" t="s">
        <v>28</v>
      </c>
      <c r="O83" s="7" t="s">
        <v>29</v>
      </c>
      <c r="P83" s="60">
        <v>15.0</v>
      </c>
      <c r="Q83" s="7" t="s">
        <v>500</v>
      </c>
      <c r="R83" s="97">
        <f t="shared" si="41"/>
        <v>1</v>
      </c>
      <c r="S83" s="97">
        <f t="shared" si="40"/>
        <v>1</v>
      </c>
      <c r="T83" s="98">
        <f t="shared" si="51"/>
        <v>1</v>
      </c>
      <c r="U83" s="99">
        <f>IFERROR(__xludf.DUMMYFUNCTION("IFERROR(IF(Match(L83,IMPORTRANGE(""https://docs.google.com/spreadsheets/d/1CAXKDiOnZb21bZOY_nacH9xI9AiD-nH8ZZQAwYKkVC0/edit?usp=drivesdk"",""Completed Exams!A1:A135""),0),1), 0)"),0.0)</f>
        <v>0</v>
      </c>
      <c r="V83" s="100">
        <f t="shared" si="49"/>
        <v>1</v>
      </c>
      <c r="W83" s="100">
        <v>1.0</v>
      </c>
      <c r="X83" s="101">
        <f t="shared" si="48"/>
        <v>1</v>
      </c>
      <c r="Y83" s="101">
        <f t="shared" si="55"/>
        <v>1</v>
      </c>
      <c r="Z83" s="101">
        <f t="shared" si="36"/>
        <v>1</v>
      </c>
      <c r="AA83" s="101">
        <f t="shared" si="37"/>
        <v>1</v>
      </c>
      <c r="AB83" s="100">
        <v>1.0</v>
      </c>
      <c r="AC83" s="101">
        <f t="shared" si="54"/>
        <v>1</v>
      </c>
      <c r="AD83" s="100">
        <v>0.0</v>
      </c>
      <c r="AE83" s="101">
        <f>IFERROR(__xludf.DUMMYFUNCTION("IFERROR(IF(Match(L83,IMPORTRANGE(""https://docs.google.com/spreadsheets/d/1hvckjcCpxEuDQDPrBMml_I1kBhYyjrgR8qBKC9QGVUc/edit?resourcekey=&amp;gid=230793720#gid=230793720"",""Form Responses 1!B2:B199""),0),1), 0)"),0.0)</f>
        <v>0</v>
      </c>
      <c r="AF83" s="75">
        <f>IFERROR(__xludf.DUMMYFUNCTION("IFERROR(IF(Match(L83,IMPORTRANGE(""https://docs.google.com/spreadsheets/d/1UY0hI2S83Fmafa5P-C1LM9yqe4v4qIKTnVy_CzLzRPs/edit?resourcekey=&amp;gid=1583835601#gid=1583835601"",""Form Responses 1!B2:B194""),0),1), 0)"),0.0)</f>
        <v>0</v>
      </c>
      <c r="AG83" s="75">
        <f>IFERROR(__xludf.DUMMYFUNCTION("IFERROR(IF(Match(L83,IMPORTRANGE(""https://docs.google.com/spreadsheets/d/1hO4mQ22n6cudUygJ2ss_JeJdm2Ua_7hJl_79lWWEtic/edit?resourcekey=&amp;gid=2087212010#gid=2087212010"",""Form Responses 1!B2:B104""),0),1), 0)"),0.0)</f>
        <v>0</v>
      </c>
      <c r="AH83" s="75">
        <f>IFERROR(__xludf.DUMMYFUNCTION("IFERROR(IF(Match(L83,IMPORTRANGE(""https://docs.google.com/spreadsheets/d/1HbfCXhSXbtTODKKY1MOFwJccyhgDKD0J9sO1k5l_6lM/edit?resourcekey=&amp;gid=1616384832#gid=1616384832"",""Form Responses 1!E2:E143""),0),1), 0)"),0.0)</f>
        <v>0</v>
      </c>
    </row>
    <row r="84" ht="22.5" customHeight="1">
      <c r="A84" s="102">
        <v>45917.66536108796</v>
      </c>
      <c r="B84" s="103" t="s">
        <v>691</v>
      </c>
      <c r="C84" s="103"/>
      <c r="D84" s="103" t="s">
        <v>692</v>
      </c>
      <c r="E84" s="103" t="s">
        <v>420</v>
      </c>
      <c r="F84" s="103" t="s">
        <v>436</v>
      </c>
      <c r="G84" s="103" t="s">
        <v>320</v>
      </c>
      <c r="H84" s="103" t="s">
        <v>693</v>
      </c>
      <c r="I84" s="96"/>
      <c r="J84" s="7"/>
      <c r="K84" s="16" t="s">
        <v>194</v>
      </c>
      <c r="L84" s="16" t="s">
        <v>195</v>
      </c>
      <c r="M84" s="16" t="s">
        <v>185</v>
      </c>
      <c r="N84" s="17" t="s">
        <v>28</v>
      </c>
      <c r="O84" s="16" t="s">
        <v>29</v>
      </c>
      <c r="P84" s="62">
        <v>15.0</v>
      </c>
      <c r="Q84" s="16" t="s">
        <v>500</v>
      </c>
      <c r="R84" s="97">
        <f t="shared" si="41"/>
        <v>1</v>
      </c>
      <c r="S84" s="97">
        <f t="shared" si="40"/>
        <v>1</v>
      </c>
      <c r="T84" s="98">
        <f t="shared" si="51"/>
        <v>0</v>
      </c>
      <c r="U84" s="99">
        <f>IFERROR(__xludf.DUMMYFUNCTION("IFERROR(IF(Match(L84,IMPORTRANGE(""https://docs.google.com/spreadsheets/d/1CAXKDiOnZb21bZOY_nacH9xI9AiD-nH8ZZQAwYKkVC0/edit?usp=drivesdk"",""Completed Exams!A1:A135""),0),1), 0)"),0.0)</f>
        <v>0</v>
      </c>
      <c r="V84" s="100">
        <f t="shared" si="49"/>
        <v>1</v>
      </c>
      <c r="W84" s="100">
        <v>1.0</v>
      </c>
      <c r="X84" s="100">
        <v>0.5</v>
      </c>
      <c r="Y84" s="101">
        <f t="shared" si="55"/>
        <v>1</v>
      </c>
      <c r="Z84" s="101">
        <f t="shared" si="36"/>
        <v>1</v>
      </c>
      <c r="AA84" s="101">
        <f t="shared" si="37"/>
        <v>1</v>
      </c>
      <c r="AB84" s="100">
        <v>1.0</v>
      </c>
      <c r="AC84" s="101">
        <f t="shared" si="54"/>
        <v>1</v>
      </c>
      <c r="AD84" s="100">
        <v>0.0</v>
      </c>
      <c r="AE84" s="101">
        <f>IFERROR(__xludf.DUMMYFUNCTION("IFERROR(IF(Match(L84,IMPORTRANGE(""https://docs.google.com/spreadsheets/d/1hvckjcCpxEuDQDPrBMml_I1kBhYyjrgR8qBKC9QGVUc/edit?resourcekey=&amp;gid=230793720#gid=230793720"",""Form Responses 1!B2:B199""),0),1), 0)"),0.0)</f>
        <v>0</v>
      </c>
      <c r="AF84" s="75">
        <f>IFERROR(__xludf.DUMMYFUNCTION("IFERROR(IF(Match(L84,IMPORTRANGE(""https://docs.google.com/spreadsheets/d/1UY0hI2S83Fmafa5P-C1LM9yqe4v4qIKTnVy_CzLzRPs/edit?resourcekey=&amp;gid=1583835601#gid=1583835601"",""Form Responses 1!B2:B194""),0),1), 0)"),0.0)</f>
        <v>0</v>
      </c>
      <c r="AG84" s="75">
        <f>IFERROR(__xludf.DUMMYFUNCTION("IFERROR(IF(Match(L84,IMPORTRANGE(""https://docs.google.com/spreadsheets/d/1hO4mQ22n6cudUygJ2ss_JeJdm2Ua_7hJl_79lWWEtic/edit?resourcekey=&amp;gid=2087212010#gid=2087212010"",""Form Responses 1!B2:B104""),0),1), 0)"),0.0)</f>
        <v>0</v>
      </c>
      <c r="AH84" s="75">
        <f>IFERROR(__xludf.DUMMYFUNCTION("IFERROR(IF(Match(L84,IMPORTRANGE(""https://docs.google.com/spreadsheets/d/1HbfCXhSXbtTODKKY1MOFwJccyhgDKD0J9sO1k5l_6lM/edit?resourcekey=&amp;gid=1616384832#gid=1616384832"",""Form Responses 1!E2:E143""),0),1), 0)"),0.0)</f>
        <v>0</v>
      </c>
    </row>
    <row r="85" ht="22.5" customHeight="1">
      <c r="A85" s="102">
        <v>45917.66538064815</v>
      </c>
      <c r="B85" s="103" t="s">
        <v>31</v>
      </c>
      <c r="C85" s="103" t="s">
        <v>569</v>
      </c>
      <c r="D85" s="103" t="s">
        <v>694</v>
      </c>
      <c r="E85" s="103" t="s">
        <v>578</v>
      </c>
      <c r="F85" s="103" t="s">
        <v>436</v>
      </c>
      <c r="G85" s="103" t="s">
        <v>695</v>
      </c>
      <c r="H85" s="103" t="s">
        <v>696</v>
      </c>
      <c r="I85" s="96"/>
      <c r="J85" s="7"/>
      <c r="K85" s="7" t="s">
        <v>196</v>
      </c>
      <c r="L85" s="7" t="s">
        <v>197</v>
      </c>
      <c r="M85" s="7" t="s">
        <v>198</v>
      </c>
      <c r="N85" s="8" t="s">
        <v>11</v>
      </c>
      <c r="O85" s="7" t="s">
        <v>12</v>
      </c>
      <c r="P85" s="35">
        <v>16.0</v>
      </c>
      <c r="Q85" s="7" t="s">
        <v>424</v>
      </c>
      <c r="R85" s="97">
        <f t="shared" si="41"/>
        <v>1</v>
      </c>
      <c r="S85" s="97">
        <f t="shared" si="40"/>
        <v>1</v>
      </c>
      <c r="T85" s="98">
        <f t="shared" si="51"/>
        <v>1</v>
      </c>
      <c r="U85" s="99">
        <f>IFERROR(__xludf.DUMMYFUNCTION("IFERROR(IF(Match(L85,IMPORTRANGE(""https://docs.google.com/spreadsheets/d/1CAXKDiOnZb21bZOY_nacH9xI9AiD-nH8ZZQAwYKkVC0/edit?usp=drivesdk"",""Completed Exams!A1:A135""),0),1), 0)"),0.0)</f>
        <v>0</v>
      </c>
      <c r="V85" s="100">
        <f t="shared" si="49"/>
        <v>1</v>
      </c>
      <c r="W85" s="100">
        <f t="shared" ref="W85:W89" si="56">IF(COUNTIF(B$535:B$602,L85)=0,0,1)</f>
        <v>1</v>
      </c>
      <c r="X85" s="100">
        <v>0.5</v>
      </c>
      <c r="Y85" s="101">
        <f t="shared" si="55"/>
        <v>1</v>
      </c>
      <c r="Z85" s="101">
        <f t="shared" si="36"/>
        <v>1</v>
      </c>
      <c r="AA85" s="101">
        <f t="shared" si="37"/>
        <v>1</v>
      </c>
      <c r="AB85" s="100">
        <v>1.0</v>
      </c>
      <c r="AC85" s="101">
        <f t="shared" si="54"/>
        <v>1</v>
      </c>
      <c r="AD85" s="100">
        <v>1.0</v>
      </c>
      <c r="AE85" s="101">
        <f>IFERROR(__xludf.DUMMYFUNCTION("IFERROR(IF(Match(L85,IMPORTRANGE(""https://docs.google.com/spreadsheets/d/1hvckjcCpxEuDQDPrBMml_I1kBhYyjrgR8qBKC9QGVUc/edit?resourcekey=&amp;gid=230793720#gid=230793720"",""Form Responses 1!B2:B199""),0),1), 0)"),0.0)</f>
        <v>0</v>
      </c>
      <c r="AF85" s="75">
        <f>IFERROR(__xludf.DUMMYFUNCTION("IFERROR(IF(Match(L85,IMPORTRANGE(""https://docs.google.com/spreadsheets/d/1UY0hI2S83Fmafa5P-C1LM9yqe4v4qIKTnVy_CzLzRPs/edit?resourcekey=&amp;gid=1583835601#gid=1583835601"",""Form Responses 1!B2:B194""),0),1), 0)"),0.0)</f>
        <v>0</v>
      </c>
      <c r="AG85" s="75">
        <f>IFERROR(__xludf.DUMMYFUNCTION("IFERROR(IF(Match(L85,IMPORTRANGE(""https://docs.google.com/spreadsheets/d/1hO4mQ22n6cudUygJ2ss_JeJdm2Ua_7hJl_79lWWEtic/edit?resourcekey=&amp;gid=2087212010#gid=2087212010"",""Form Responses 1!B2:B104""),0),1), 0)"),0.0)</f>
        <v>0</v>
      </c>
      <c r="AH85" s="75">
        <f>IFERROR(__xludf.DUMMYFUNCTION("IFERROR(IF(Match(L85,IMPORTRANGE(""https://docs.google.com/spreadsheets/d/1HbfCXhSXbtTODKKY1MOFwJccyhgDKD0J9sO1k5l_6lM/edit?resourcekey=&amp;gid=1616384832#gid=1616384832"",""Form Responses 1!E2:E143""),0),1), 0)"),0.0)</f>
        <v>0</v>
      </c>
    </row>
    <row r="86" ht="22.5" customHeight="1">
      <c r="A86" s="102">
        <v>45917.6654500463</v>
      </c>
      <c r="B86" s="103" t="s">
        <v>326</v>
      </c>
      <c r="C86" s="103" t="s">
        <v>697</v>
      </c>
      <c r="D86" s="103" t="s">
        <v>698</v>
      </c>
      <c r="E86" s="103" t="s">
        <v>420</v>
      </c>
      <c r="F86" s="103" t="s">
        <v>436</v>
      </c>
      <c r="G86" s="103" t="s">
        <v>699</v>
      </c>
      <c r="H86" s="103" t="s">
        <v>700</v>
      </c>
      <c r="I86" s="96"/>
      <c r="J86" s="7"/>
      <c r="K86" s="7" t="s">
        <v>199</v>
      </c>
      <c r="L86" s="7" t="s">
        <v>200</v>
      </c>
      <c r="M86" s="7" t="s">
        <v>198</v>
      </c>
      <c r="N86" s="8" t="s">
        <v>11</v>
      </c>
      <c r="O86" s="7" t="s">
        <v>12</v>
      </c>
      <c r="P86" s="35">
        <v>16.0</v>
      </c>
      <c r="Q86" s="7" t="s">
        <v>424</v>
      </c>
      <c r="R86" s="97">
        <f t="shared" si="41"/>
        <v>1</v>
      </c>
      <c r="S86" s="97">
        <f t="shared" si="40"/>
        <v>1</v>
      </c>
      <c r="T86" s="98">
        <f t="shared" si="51"/>
        <v>1</v>
      </c>
      <c r="U86" s="99">
        <f>IFERROR(__xludf.DUMMYFUNCTION("IFERROR(IF(Match(L86,IMPORTRANGE(""https://docs.google.com/spreadsheets/d/1CAXKDiOnZb21bZOY_nacH9xI9AiD-nH8ZZQAwYKkVC0/edit?usp=drivesdk"",""Completed Exams!A1:A135""),0),1), 0)"),0.0)</f>
        <v>0</v>
      </c>
      <c r="V86" s="100">
        <f t="shared" si="49"/>
        <v>1</v>
      </c>
      <c r="W86" s="100">
        <f t="shared" si="56"/>
        <v>1</v>
      </c>
      <c r="X86" s="101">
        <f t="shared" ref="X86:X101" si="57">IF(COUNTIF(B$603:B$725,L86)=0,0,1)</f>
        <v>1</v>
      </c>
      <c r="Y86" s="101">
        <f t="shared" si="55"/>
        <v>1</v>
      </c>
      <c r="Z86" s="101">
        <f t="shared" si="36"/>
        <v>1</v>
      </c>
      <c r="AA86" s="101">
        <f t="shared" si="37"/>
        <v>1</v>
      </c>
      <c r="AB86" s="100">
        <v>1.0</v>
      </c>
      <c r="AC86" s="101">
        <f t="shared" si="54"/>
        <v>1</v>
      </c>
      <c r="AD86" s="100">
        <v>1.0</v>
      </c>
      <c r="AE86" s="101">
        <f>IFERROR(__xludf.DUMMYFUNCTION("IFERROR(IF(Match(L86,IMPORTRANGE(""https://docs.google.com/spreadsheets/d/1hvckjcCpxEuDQDPrBMml_I1kBhYyjrgR8qBKC9QGVUc/edit?resourcekey=&amp;gid=230793720#gid=230793720"",""Form Responses 1!B2:B199""),0),1), 0)"),0.0)</f>
        <v>0</v>
      </c>
      <c r="AF86" s="75">
        <f>IFERROR(__xludf.DUMMYFUNCTION("IFERROR(IF(Match(L86,IMPORTRANGE(""https://docs.google.com/spreadsheets/d/1UY0hI2S83Fmafa5P-C1LM9yqe4v4qIKTnVy_CzLzRPs/edit?resourcekey=&amp;gid=1583835601#gid=1583835601"",""Form Responses 1!B2:B194""),0),1), 0)"),0.0)</f>
        <v>0</v>
      </c>
      <c r="AG86" s="75">
        <f>IFERROR(__xludf.DUMMYFUNCTION("IFERROR(IF(Match(L86,IMPORTRANGE(""https://docs.google.com/spreadsheets/d/1hO4mQ22n6cudUygJ2ss_JeJdm2Ua_7hJl_79lWWEtic/edit?resourcekey=&amp;gid=2087212010#gid=2087212010"",""Form Responses 1!B2:B104""),0),1), 0)"),0.0)</f>
        <v>0</v>
      </c>
      <c r="AH86" s="75">
        <f>IFERROR(__xludf.DUMMYFUNCTION("IFERROR(IF(Match(L86,IMPORTRANGE(""https://docs.google.com/spreadsheets/d/1HbfCXhSXbtTODKKY1MOFwJccyhgDKD0J9sO1k5l_6lM/edit?resourcekey=&amp;gid=1616384832#gid=1616384832"",""Form Responses 1!E2:E143""),0),1), 0)"),0.0)</f>
        <v>0</v>
      </c>
    </row>
    <row r="87" ht="22.5" customHeight="1">
      <c r="A87" s="102">
        <v>45917.665451064815</v>
      </c>
      <c r="B87" s="103" t="s">
        <v>77</v>
      </c>
      <c r="C87" s="103" t="s">
        <v>701</v>
      </c>
      <c r="D87" s="103" t="s">
        <v>458</v>
      </c>
      <c r="E87" s="103" t="s">
        <v>450</v>
      </c>
      <c r="F87" s="103" t="s">
        <v>441</v>
      </c>
      <c r="G87" s="103" t="s">
        <v>71</v>
      </c>
      <c r="H87" s="103" t="s">
        <v>702</v>
      </c>
      <c r="I87" s="96"/>
      <c r="J87" s="7"/>
      <c r="K87" s="7" t="s">
        <v>201</v>
      </c>
      <c r="L87" s="7" t="s">
        <v>202</v>
      </c>
      <c r="M87" s="7" t="s">
        <v>198</v>
      </c>
      <c r="N87" s="8" t="s">
        <v>11</v>
      </c>
      <c r="O87" s="7" t="s">
        <v>12</v>
      </c>
      <c r="P87" s="35">
        <v>16.0</v>
      </c>
      <c r="Q87" s="7" t="s">
        <v>424</v>
      </c>
      <c r="R87" s="97">
        <f t="shared" si="41"/>
        <v>1</v>
      </c>
      <c r="S87" s="97">
        <f t="shared" si="40"/>
        <v>1</v>
      </c>
      <c r="T87" s="98">
        <f t="shared" si="51"/>
        <v>1</v>
      </c>
      <c r="U87" s="99">
        <f>IFERROR(__xludf.DUMMYFUNCTION("IFERROR(IF(Match(L87,IMPORTRANGE(""https://docs.google.com/spreadsheets/d/1CAXKDiOnZb21bZOY_nacH9xI9AiD-nH8ZZQAwYKkVC0/edit?usp=drivesdk"",""Completed Exams!A1:A135""),0),1), 0)"),0.0)</f>
        <v>0</v>
      </c>
      <c r="V87" s="100">
        <f t="shared" si="49"/>
        <v>1</v>
      </c>
      <c r="W87" s="100">
        <f t="shared" si="56"/>
        <v>1</v>
      </c>
      <c r="X87" s="101">
        <f t="shared" si="57"/>
        <v>1</v>
      </c>
      <c r="Y87" s="100">
        <v>0.5</v>
      </c>
      <c r="Z87" s="101">
        <f t="shared" si="36"/>
        <v>0</v>
      </c>
      <c r="AA87" s="101">
        <f t="shared" si="37"/>
        <v>0</v>
      </c>
      <c r="AB87" s="101">
        <f>IFERROR(__xludf.DUMMYFUNCTION("IFERROR(IF(Match(L87,IMPORTRANGE(""https://docs.google.com/spreadsheets/d/1n1sT_Q_W3mKmn2Yrd8qcNzuRD4zr4DB9gqARnjQ30B4/edit?gid=1918970062#gid=1918970062"",""Form Responses 1!B2:B49""),0),1), 0)"),0.0)</f>
        <v>0</v>
      </c>
      <c r="AC87" s="101">
        <f t="shared" si="54"/>
        <v>0</v>
      </c>
      <c r="AD87" s="100">
        <v>0.0</v>
      </c>
      <c r="AE87" s="101">
        <f>IFERROR(__xludf.DUMMYFUNCTION("IFERROR(IF(Match(L87,IMPORTRANGE(""https://docs.google.com/spreadsheets/d/1hvckjcCpxEuDQDPrBMml_I1kBhYyjrgR8qBKC9QGVUc/edit?resourcekey=&amp;gid=230793720#gid=230793720"",""Form Responses 1!B2:B199""),0),1), 0)"),0.0)</f>
        <v>0</v>
      </c>
      <c r="AF87" s="75">
        <f>IFERROR(__xludf.DUMMYFUNCTION("IFERROR(IF(Match(L87,IMPORTRANGE(""https://docs.google.com/spreadsheets/d/1UY0hI2S83Fmafa5P-C1LM9yqe4v4qIKTnVy_CzLzRPs/edit?resourcekey=&amp;gid=1583835601#gid=1583835601"",""Form Responses 1!B2:B194""),0),1), 0)"),0.0)</f>
        <v>0</v>
      </c>
      <c r="AG87" s="75">
        <f>IFERROR(__xludf.DUMMYFUNCTION("IFERROR(IF(Match(L87,IMPORTRANGE(""https://docs.google.com/spreadsheets/d/1hO4mQ22n6cudUygJ2ss_JeJdm2Ua_7hJl_79lWWEtic/edit?resourcekey=&amp;gid=2087212010#gid=2087212010"",""Form Responses 1!B2:B104""),0),1), 0)"),0.0)</f>
        <v>0</v>
      </c>
      <c r="AH87" s="75">
        <f>IFERROR(__xludf.DUMMYFUNCTION("IFERROR(IF(Match(L87,IMPORTRANGE(""https://docs.google.com/spreadsheets/d/1HbfCXhSXbtTODKKY1MOFwJccyhgDKD0J9sO1k5l_6lM/edit?resourcekey=&amp;gid=1616384832#gid=1616384832"",""Form Responses 1!E2:E143""),0),1), 0)"),0.0)</f>
        <v>0</v>
      </c>
    </row>
    <row r="88" ht="22.5" customHeight="1">
      <c r="A88" s="102">
        <v>45917.665459386575</v>
      </c>
      <c r="B88" s="103" t="s">
        <v>246</v>
      </c>
      <c r="C88" s="103" t="s">
        <v>703</v>
      </c>
      <c r="D88" s="103" t="s">
        <v>704</v>
      </c>
      <c r="E88" s="103" t="s">
        <v>578</v>
      </c>
      <c r="F88" s="103" t="s">
        <v>441</v>
      </c>
      <c r="G88" s="103" t="s">
        <v>705</v>
      </c>
      <c r="H88" s="103" t="s">
        <v>706</v>
      </c>
      <c r="I88" s="96"/>
      <c r="J88" s="7"/>
      <c r="K88" s="7" t="s">
        <v>203</v>
      </c>
      <c r="L88" s="7" t="s">
        <v>204</v>
      </c>
      <c r="M88" s="7" t="s">
        <v>198</v>
      </c>
      <c r="N88" s="8" t="s">
        <v>11</v>
      </c>
      <c r="O88" s="7" t="s">
        <v>12</v>
      </c>
      <c r="P88" s="35">
        <v>16.0</v>
      </c>
      <c r="Q88" s="7" t="s">
        <v>424</v>
      </c>
      <c r="R88" s="97">
        <f t="shared" si="41"/>
        <v>1</v>
      </c>
      <c r="S88" s="97">
        <f t="shared" si="40"/>
        <v>1</v>
      </c>
      <c r="T88" s="98">
        <f t="shared" si="51"/>
        <v>1</v>
      </c>
      <c r="U88" s="99">
        <f>IFERROR(__xludf.DUMMYFUNCTION("IFERROR(IF(Match(L88,IMPORTRANGE(""https://docs.google.com/spreadsheets/d/1CAXKDiOnZb21bZOY_nacH9xI9AiD-nH8ZZQAwYKkVC0/edit?usp=drivesdk"",""Completed Exams!A1:A135""),0),1), 0)"),0.0)</f>
        <v>0</v>
      </c>
      <c r="V88" s="100">
        <f t="shared" si="49"/>
        <v>0</v>
      </c>
      <c r="W88" s="100">
        <f t="shared" si="56"/>
        <v>1</v>
      </c>
      <c r="X88" s="101">
        <f t="shared" si="57"/>
        <v>1</v>
      </c>
      <c r="Y88" s="101">
        <f t="shared" ref="Y88:Y106" si="58">IF(COUNTIF(B$725:B$844,L88)=0,0,1)</f>
        <v>1</v>
      </c>
      <c r="Z88" s="101">
        <f t="shared" si="36"/>
        <v>1</v>
      </c>
      <c r="AA88" s="101">
        <f t="shared" si="37"/>
        <v>1</v>
      </c>
      <c r="AB88" s="101">
        <f>IFERROR(__xludf.DUMMYFUNCTION("IFERROR(IF(Match(L88,IMPORTRANGE(""https://docs.google.com/spreadsheets/d/1n1sT_Q_W3mKmn2Yrd8qcNzuRD4zr4DB9gqARnjQ30B4/edit?gid=1918970062#gid=1918970062"",""Form Responses 1!B2:B49""),0),1), 0)"),0.0)</f>
        <v>0</v>
      </c>
      <c r="AC88" s="101">
        <f t="shared" si="54"/>
        <v>1</v>
      </c>
      <c r="AD88" s="100">
        <v>0.0</v>
      </c>
      <c r="AE88" s="101">
        <f>IFERROR(__xludf.DUMMYFUNCTION("IFERROR(IF(Match(L88,IMPORTRANGE(""https://docs.google.com/spreadsheets/d/1hvckjcCpxEuDQDPrBMml_I1kBhYyjrgR8qBKC9QGVUc/edit?resourcekey=&amp;gid=230793720#gid=230793720"",""Form Responses 1!B2:B199""),0),1), 0)"),0.0)</f>
        <v>0</v>
      </c>
      <c r="AF88" s="75">
        <f>IFERROR(__xludf.DUMMYFUNCTION("IFERROR(IF(Match(L88,IMPORTRANGE(""https://docs.google.com/spreadsheets/d/1UY0hI2S83Fmafa5P-C1LM9yqe4v4qIKTnVy_CzLzRPs/edit?resourcekey=&amp;gid=1583835601#gid=1583835601"",""Form Responses 1!B2:B194""),0),1), 0)"),0.0)</f>
        <v>0</v>
      </c>
      <c r="AG88" s="75">
        <f>IFERROR(__xludf.DUMMYFUNCTION("IFERROR(IF(Match(L88,IMPORTRANGE(""https://docs.google.com/spreadsheets/d/1hO4mQ22n6cudUygJ2ss_JeJdm2Ua_7hJl_79lWWEtic/edit?resourcekey=&amp;gid=2087212010#gid=2087212010"",""Form Responses 1!B2:B104""),0),1), 0)"),0.0)</f>
        <v>0</v>
      </c>
      <c r="AH88" s="75">
        <f>IFERROR(__xludf.DUMMYFUNCTION("IFERROR(IF(Match(L88,IMPORTRANGE(""https://docs.google.com/spreadsheets/d/1HbfCXhSXbtTODKKY1MOFwJccyhgDKD0J9sO1k5l_6lM/edit?resourcekey=&amp;gid=1616384832#gid=1616384832"",""Form Responses 1!E2:E143""),0),1), 0)"),0.0)</f>
        <v>0</v>
      </c>
    </row>
    <row r="89" ht="22.5" customHeight="1">
      <c r="A89" s="102">
        <v>45917.66546579861</v>
      </c>
      <c r="B89" s="103" t="s">
        <v>75</v>
      </c>
      <c r="C89" s="103" t="s">
        <v>707</v>
      </c>
      <c r="D89" s="103" t="s">
        <v>689</v>
      </c>
      <c r="E89" s="103" t="s">
        <v>639</v>
      </c>
      <c r="F89" s="103" t="s">
        <v>441</v>
      </c>
      <c r="G89" s="103" t="s">
        <v>71</v>
      </c>
      <c r="H89" s="103" t="s">
        <v>708</v>
      </c>
      <c r="I89" s="96"/>
      <c r="J89" s="7"/>
      <c r="K89" s="7" t="s">
        <v>205</v>
      </c>
      <c r="L89" s="7" t="s">
        <v>206</v>
      </c>
      <c r="M89" s="22" t="s">
        <v>198</v>
      </c>
      <c r="N89" s="8" t="s">
        <v>24</v>
      </c>
      <c r="O89" s="7" t="s">
        <v>25</v>
      </c>
      <c r="P89" s="21">
        <v>25.0</v>
      </c>
      <c r="Q89" s="7" t="s">
        <v>456</v>
      </c>
      <c r="R89" s="97">
        <f t="shared" si="41"/>
        <v>0</v>
      </c>
      <c r="S89" s="97">
        <f t="shared" si="40"/>
        <v>1</v>
      </c>
      <c r="T89" s="98">
        <v>0.5</v>
      </c>
      <c r="U89" s="99">
        <f>IFERROR(__xludf.DUMMYFUNCTION("IFERROR(IF(Match(L89,IMPORTRANGE(""https://docs.google.com/spreadsheets/d/1CAXKDiOnZb21bZOY_nacH9xI9AiD-nH8ZZQAwYKkVC0/edit?usp=drivesdk"",""Completed Exams!A1:A135""),0),1), 0)"),0.0)</f>
        <v>0</v>
      </c>
      <c r="V89" s="100">
        <f t="shared" si="49"/>
        <v>1</v>
      </c>
      <c r="W89" s="100">
        <f t="shared" si="56"/>
        <v>1</v>
      </c>
      <c r="X89" s="101">
        <f t="shared" si="57"/>
        <v>1</v>
      </c>
      <c r="Y89" s="101">
        <f t="shared" si="58"/>
        <v>1</v>
      </c>
      <c r="Z89" s="101">
        <f t="shared" si="36"/>
        <v>0</v>
      </c>
      <c r="AA89" s="101">
        <f t="shared" si="37"/>
        <v>1</v>
      </c>
      <c r="AB89" s="100">
        <v>1.0</v>
      </c>
      <c r="AC89" s="101">
        <f t="shared" si="54"/>
        <v>1</v>
      </c>
      <c r="AD89" s="100">
        <v>0.0</v>
      </c>
      <c r="AE89" s="101">
        <f>IFERROR(__xludf.DUMMYFUNCTION("IFERROR(IF(Match(L89,IMPORTRANGE(""https://docs.google.com/spreadsheets/d/1hvckjcCpxEuDQDPrBMml_I1kBhYyjrgR8qBKC9QGVUc/edit?resourcekey=&amp;gid=230793720#gid=230793720"",""Form Responses 1!B2:B199""),0),1), 0)"),0.0)</f>
        <v>0</v>
      </c>
      <c r="AF89" s="75">
        <f>IFERROR(__xludf.DUMMYFUNCTION("IFERROR(IF(Match(L89,IMPORTRANGE(""https://docs.google.com/spreadsheets/d/1UY0hI2S83Fmafa5P-C1LM9yqe4v4qIKTnVy_CzLzRPs/edit?resourcekey=&amp;gid=1583835601#gid=1583835601"",""Form Responses 1!B2:B194""),0),1), 0)"),0.0)</f>
        <v>0</v>
      </c>
      <c r="AG89" s="75">
        <f>IFERROR(__xludf.DUMMYFUNCTION("IFERROR(IF(Match(L89,IMPORTRANGE(""https://docs.google.com/spreadsheets/d/1hO4mQ22n6cudUygJ2ss_JeJdm2Ua_7hJl_79lWWEtic/edit?resourcekey=&amp;gid=2087212010#gid=2087212010"",""Form Responses 1!B2:B104""),0),1), 0)"),0.0)</f>
        <v>0</v>
      </c>
      <c r="AH89" s="75">
        <f>IFERROR(__xludf.DUMMYFUNCTION("IFERROR(IF(Match(L89,IMPORTRANGE(""https://docs.google.com/spreadsheets/d/1HbfCXhSXbtTODKKY1MOFwJccyhgDKD0J9sO1k5l_6lM/edit?resourcekey=&amp;gid=1616384832#gid=1616384832"",""Form Responses 1!E2:E143""),0),1), 0)"),0.0)</f>
        <v>0</v>
      </c>
    </row>
    <row r="90" ht="22.5" customHeight="1">
      <c r="A90" s="102">
        <v>45917.665478622686</v>
      </c>
      <c r="B90" s="103" t="s">
        <v>73</v>
      </c>
      <c r="C90" s="103" t="s">
        <v>557</v>
      </c>
      <c r="D90" s="103" t="s">
        <v>709</v>
      </c>
      <c r="E90" s="103" t="s">
        <v>450</v>
      </c>
      <c r="F90" s="103" t="s">
        <v>441</v>
      </c>
      <c r="G90" s="103" t="s">
        <v>38</v>
      </c>
      <c r="H90" s="103" t="s">
        <v>710</v>
      </c>
      <c r="I90" s="96"/>
      <c r="J90" s="7"/>
      <c r="K90" s="16" t="s">
        <v>207</v>
      </c>
      <c r="L90" s="16" t="s">
        <v>208</v>
      </c>
      <c r="M90" s="40" t="s">
        <v>198</v>
      </c>
      <c r="N90" s="17" t="s">
        <v>28</v>
      </c>
      <c r="O90" s="16" t="s">
        <v>29</v>
      </c>
      <c r="P90" s="24">
        <v>25.0</v>
      </c>
      <c r="Q90" s="16" t="s">
        <v>456</v>
      </c>
      <c r="R90" s="97">
        <f t="shared" si="41"/>
        <v>0</v>
      </c>
      <c r="S90" s="97">
        <f t="shared" si="40"/>
        <v>1</v>
      </c>
      <c r="T90" s="98">
        <f t="shared" ref="T90:T91" si="59">IF(COUNTIF(B$275:B$401,L90)=0,0,1)</f>
        <v>1</v>
      </c>
      <c r="U90" s="99">
        <f>IFERROR(__xludf.DUMMYFUNCTION("IFERROR(IF(Match(L90,IMPORTRANGE(""https://docs.google.com/spreadsheets/d/1CAXKDiOnZb21bZOY_nacH9xI9AiD-nH8ZZQAwYKkVC0/edit?usp=drivesdk"",""Completed Exams!A1:A135""),0),1), 0)"),0.0)</f>
        <v>0</v>
      </c>
      <c r="V90" s="100">
        <f t="shared" si="49"/>
        <v>1</v>
      </c>
      <c r="W90" s="100">
        <v>0.5</v>
      </c>
      <c r="X90" s="101">
        <f t="shared" si="57"/>
        <v>1</v>
      </c>
      <c r="Y90" s="101">
        <f t="shared" si="58"/>
        <v>1</v>
      </c>
      <c r="Z90" s="101">
        <f t="shared" si="36"/>
        <v>1</v>
      </c>
      <c r="AA90" s="101">
        <f t="shared" si="37"/>
        <v>1</v>
      </c>
      <c r="AB90" s="100">
        <v>1.0</v>
      </c>
      <c r="AC90" s="101">
        <f t="shared" si="54"/>
        <v>1</v>
      </c>
      <c r="AD90" s="100">
        <v>0.0</v>
      </c>
      <c r="AE90" s="101">
        <f>IFERROR(__xludf.DUMMYFUNCTION("IFERROR(IF(Match(L90,IMPORTRANGE(""https://docs.google.com/spreadsheets/d/1hvckjcCpxEuDQDPrBMml_I1kBhYyjrgR8qBKC9QGVUc/edit?resourcekey=&amp;gid=230793720#gid=230793720"",""Form Responses 1!B2:B199""),0),1), 0)"),0.0)</f>
        <v>0</v>
      </c>
      <c r="AF90" s="75">
        <f>IFERROR(__xludf.DUMMYFUNCTION("IFERROR(IF(Match(L90,IMPORTRANGE(""https://docs.google.com/spreadsheets/d/1UY0hI2S83Fmafa5P-C1LM9yqe4v4qIKTnVy_CzLzRPs/edit?resourcekey=&amp;gid=1583835601#gid=1583835601"",""Form Responses 1!B2:B194""),0),1), 0)"),0.0)</f>
        <v>0</v>
      </c>
      <c r="AG90" s="75">
        <f>IFERROR(__xludf.DUMMYFUNCTION("IFERROR(IF(Match(L90,IMPORTRANGE(""https://docs.google.com/spreadsheets/d/1hO4mQ22n6cudUygJ2ss_JeJdm2Ua_7hJl_79lWWEtic/edit?resourcekey=&amp;gid=2087212010#gid=2087212010"",""Form Responses 1!B2:B104""),0),1), 0)"),0.0)</f>
        <v>0</v>
      </c>
      <c r="AH90" s="75">
        <f>IFERROR(__xludf.DUMMYFUNCTION("IFERROR(IF(Match(L90,IMPORTRANGE(""https://docs.google.com/spreadsheets/d/1HbfCXhSXbtTODKKY1MOFwJccyhgDKD0J9sO1k5l_6lM/edit?resourcekey=&amp;gid=1616384832#gid=1616384832"",""Form Responses 1!E2:E143""),0),1), 0)"),0.0)</f>
        <v>0</v>
      </c>
    </row>
    <row r="91" ht="22.5" customHeight="1">
      <c r="A91" s="102">
        <v>45917.665502476855</v>
      </c>
      <c r="B91" s="103" t="s">
        <v>210</v>
      </c>
      <c r="C91" s="103" t="s">
        <v>711</v>
      </c>
      <c r="D91" s="103" t="s">
        <v>712</v>
      </c>
      <c r="E91" s="103" t="s">
        <v>450</v>
      </c>
      <c r="F91" s="103" t="s">
        <v>436</v>
      </c>
      <c r="G91" s="103" t="s">
        <v>211</v>
      </c>
      <c r="H91" s="103" t="s">
        <v>713</v>
      </c>
      <c r="I91" s="96"/>
      <c r="J91" s="7"/>
      <c r="K91" s="7" t="s">
        <v>209</v>
      </c>
      <c r="L91" s="7" t="s">
        <v>210</v>
      </c>
      <c r="M91" s="7" t="s">
        <v>211</v>
      </c>
      <c r="N91" s="8" t="s">
        <v>11</v>
      </c>
      <c r="O91" s="7" t="s">
        <v>12</v>
      </c>
      <c r="P91" s="63">
        <v>17.0</v>
      </c>
      <c r="Q91" s="7" t="s">
        <v>447</v>
      </c>
      <c r="R91" s="97">
        <f t="shared" si="41"/>
        <v>1</v>
      </c>
      <c r="S91" s="104">
        <v>0.5</v>
      </c>
      <c r="T91" s="98">
        <f t="shared" si="59"/>
        <v>1</v>
      </c>
      <c r="U91" s="99">
        <f>IFERROR(__xludf.DUMMYFUNCTION("IFERROR(IF(Match(L91,IMPORTRANGE(""https://docs.google.com/spreadsheets/d/1CAXKDiOnZb21bZOY_nacH9xI9AiD-nH8ZZQAwYKkVC0/edit?usp=drivesdk"",""Completed Exams!A1:A135""),0),1), 0)"),0.0)</f>
        <v>0</v>
      </c>
      <c r="V91" s="100">
        <f t="shared" si="49"/>
        <v>1</v>
      </c>
      <c r="W91" s="100">
        <f t="shared" ref="W91:W93" si="60">IF(COUNTIF(B$535:B$602,L91)=0,0,1)</f>
        <v>0</v>
      </c>
      <c r="X91" s="101">
        <f t="shared" si="57"/>
        <v>1</v>
      </c>
      <c r="Y91" s="101">
        <f t="shared" si="58"/>
        <v>1</v>
      </c>
      <c r="Z91" s="101">
        <f t="shared" si="36"/>
        <v>1</v>
      </c>
      <c r="AA91" s="101">
        <f t="shared" si="37"/>
        <v>1</v>
      </c>
      <c r="AB91" s="101">
        <f>IFERROR(__xludf.DUMMYFUNCTION("IFERROR(IF(Match(L91,IMPORTRANGE(""https://docs.google.com/spreadsheets/d/1n1sT_Q_W3mKmn2Yrd8qcNzuRD4zr4DB9gqARnjQ30B4/edit?gid=1918970062#gid=1918970062"",""Form Responses 1!B2:B49""),0),1), 0)"),0.0)</f>
        <v>0</v>
      </c>
      <c r="AC91" s="101">
        <f t="shared" si="54"/>
        <v>1</v>
      </c>
      <c r="AD91" s="100">
        <v>1.0</v>
      </c>
      <c r="AE91" s="101">
        <f>IFERROR(__xludf.DUMMYFUNCTION("IFERROR(IF(Match(L91,IMPORTRANGE(""https://docs.google.com/spreadsheets/d/1hvckjcCpxEuDQDPrBMml_I1kBhYyjrgR8qBKC9QGVUc/edit?resourcekey=&amp;gid=230793720#gid=230793720"",""Form Responses 1!B2:B199""),0),1), 0)"),0.0)</f>
        <v>0</v>
      </c>
      <c r="AF91" s="75">
        <f>IFERROR(__xludf.DUMMYFUNCTION("IFERROR(IF(Match(L91,IMPORTRANGE(""https://docs.google.com/spreadsheets/d/1UY0hI2S83Fmafa5P-C1LM9yqe4v4qIKTnVy_CzLzRPs/edit?resourcekey=&amp;gid=1583835601#gid=1583835601"",""Form Responses 1!B2:B194""),0),1), 0)"),0.0)</f>
        <v>0</v>
      </c>
      <c r="AG91" s="75">
        <f>IFERROR(__xludf.DUMMYFUNCTION("IFERROR(IF(Match(L91,IMPORTRANGE(""https://docs.google.com/spreadsheets/d/1hO4mQ22n6cudUygJ2ss_JeJdm2Ua_7hJl_79lWWEtic/edit?resourcekey=&amp;gid=2087212010#gid=2087212010"",""Form Responses 1!B2:B104""),0),1), 0)"),0.0)</f>
        <v>0</v>
      </c>
      <c r="AH91" s="75">
        <f>IFERROR(__xludf.DUMMYFUNCTION("IFERROR(IF(Match(L91,IMPORTRANGE(""https://docs.google.com/spreadsheets/d/1HbfCXhSXbtTODKKY1MOFwJccyhgDKD0J9sO1k5l_6lM/edit?resourcekey=&amp;gid=1616384832#gid=1616384832"",""Form Responses 1!E2:E143""),0),1), 0)"),0.0)</f>
        <v>0</v>
      </c>
    </row>
    <row r="92" ht="22.5" customHeight="1">
      <c r="A92" s="102">
        <v>45917.66550829861</v>
      </c>
      <c r="B92" s="103" t="s">
        <v>276</v>
      </c>
      <c r="C92" s="103" t="s">
        <v>714</v>
      </c>
      <c r="D92" s="103" t="s">
        <v>715</v>
      </c>
      <c r="E92" s="103" t="s">
        <v>639</v>
      </c>
      <c r="F92" s="103" t="s">
        <v>436</v>
      </c>
      <c r="G92" s="103" t="s">
        <v>716</v>
      </c>
      <c r="H92" s="103" t="s">
        <v>717</v>
      </c>
      <c r="I92" s="96"/>
      <c r="J92" s="7"/>
      <c r="K92" s="7" t="s">
        <v>212</v>
      </c>
      <c r="L92" s="7" t="s">
        <v>213</v>
      </c>
      <c r="M92" s="7" t="s">
        <v>211</v>
      </c>
      <c r="N92" s="8" t="s">
        <v>11</v>
      </c>
      <c r="O92" s="7" t="s">
        <v>12</v>
      </c>
      <c r="P92" s="63">
        <v>17.0</v>
      </c>
      <c r="Q92" s="7" t="s">
        <v>447</v>
      </c>
      <c r="R92" s="97">
        <f t="shared" si="41"/>
        <v>1</v>
      </c>
      <c r="S92" s="97">
        <f t="shared" ref="S92:S94" si="61">IF(COUNTIF(B$150:B$274,L92)=0,0,1)</f>
        <v>1</v>
      </c>
      <c r="T92" s="98">
        <v>0.5</v>
      </c>
      <c r="U92" s="99">
        <f>IFERROR(__xludf.DUMMYFUNCTION("IFERROR(IF(Match(L92,IMPORTRANGE(""https://docs.google.com/spreadsheets/d/1CAXKDiOnZb21bZOY_nacH9xI9AiD-nH8ZZQAwYKkVC0/edit?usp=drivesdk"",""Completed Exams!A1:A135""),0),1), 0)"),0.0)</f>
        <v>0</v>
      </c>
      <c r="V92" s="100">
        <f t="shared" si="49"/>
        <v>1</v>
      </c>
      <c r="W92" s="100">
        <f t="shared" si="60"/>
        <v>0</v>
      </c>
      <c r="X92" s="101">
        <f t="shared" si="57"/>
        <v>1</v>
      </c>
      <c r="Y92" s="101">
        <f t="shared" si="58"/>
        <v>1</v>
      </c>
      <c r="Z92" s="101">
        <f t="shared" si="36"/>
        <v>1</v>
      </c>
      <c r="AA92" s="101">
        <f t="shared" si="37"/>
        <v>1</v>
      </c>
      <c r="AB92" s="101">
        <f>IFERROR(__xludf.DUMMYFUNCTION("IFERROR(IF(Match(L92,IMPORTRANGE(""https://docs.google.com/spreadsheets/d/1n1sT_Q_W3mKmn2Yrd8qcNzuRD4zr4DB9gqARnjQ30B4/edit?gid=1918970062#gid=1918970062"",""Form Responses 1!B2:B49""),0),1), 0)"),0.0)</f>
        <v>0</v>
      </c>
      <c r="AC92" s="101">
        <f t="shared" si="54"/>
        <v>1</v>
      </c>
      <c r="AD92" s="100">
        <v>1.0</v>
      </c>
      <c r="AE92" s="101">
        <f>IFERROR(__xludf.DUMMYFUNCTION("IFERROR(IF(Match(L92,IMPORTRANGE(""https://docs.google.com/spreadsheets/d/1hvckjcCpxEuDQDPrBMml_I1kBhYyjrgR8qBKC9QGVUc/edit?resourcekey=&amp;gid=230793720#gid=230793720"",""Form Responses 1!B2:B199""),0),1), 0)"),0.0)</f>
        <v>0</v>
      </c>
      <c r="AF92" s="75">
        <f>IFERROR(__xludf.DUMMYFUNCTION("IFERROR(IF(Match(L92,IMPORTRANGE(""https://docs.google.com/spreadsheets/d/1UY0hI2S83Fmafa5P-C1LM9yqe4v4qIKTnVy_CzLzRPs/edit?resourcekey=&amp;gid=1583835601#gid=1583835601"",""Form Responses 1!B2:B194""),0),1), 0)"),0.0)</f>
        <v>0</v>
      </c>
      <c r="AG92" s="10">
        <v>0.5</v>
      </c>
      <c r="AH92" s="75">
        <f>IFERROR(__xludf.DUMMYFUNCTION("IFERROR(IF(Match(L92,IMPORTRANGE(""https://docs.google.com/spreadsheets/d/1HbfCXhSXbtTODKKY1MOFwJccyhgDKD0J9sO1k5l_6lM/edit?resourcekey=&amp;gid=1616384832#gid=1616384832"",""Form Responses 1!E2:E143""),0),1), 0)"),0.0)</f>
        <v>0</v>
      </c>
    </row>
    <row r="93" ht="22.5" customHeight="1">
      <c r="A93" s="102">
        <v>45917.66551608796</v>
      </c>
      <c r="B93" s="103" t="s">
        <v>14</v>
      </c>
      <c r="C93" s="103" t="s">
        <v>718</v>
      </c>
      <c r="D93" s="103" t="s">
        <v>719</v>
      </c>
      <c r="E93" s="103" t="s">
        <v>578</v>
      </c>
      <c r="F93" s="103" t="s">
        <v>436</v>
      </c>
      <c r="G93" s="103" t="s">
        <v>720</v>
      </c>
      <c r="H93" s="103" t="s">
        <v>721</v>
      </c>
      <c r="I93" s="96"/>
      <c r="J93" s="116"/>
      <c r="K93" s="116" t="s">
        <v>214</v>
      </c>
      <c r="L93" s="116" t="s">
        <v>215</v>
      </c>
      <c r="M93" s="7" t="s">
        <v>211</v>
      </c>
      <c r="N93" s="117" t="s">
        <v>11</v>
      </c>
      <c r="O93" s="116" t="s">
        <v>12</v>
      </c>
      <c r="P93" s="63">
        <v>17.0</v>
      </c>
      <c r="Q93" s="116" t="s">
        <v>507</v>
      </c>
      <c r="R93" s="97">
        <f t="shared" si="41"/>
        <v>1</v>
      </c>
      <c r="S93" s="97">
        <f t="shared" si="61"/>
        <v>1</v>
      </c>
      <c r="T93" s="98">
        <v>0.5</v>
      </c>
      <c r="U93" s="99">
        <f>IFERROR(__xludf.DUMMYFUNCTION("IFERROR(IF(Match(L93,IMPORTRANGE(""https://docs.google.com/spreadsheets/d/1CAXKDiOnZb21bZOY_nacH9xI9AiD-nH8ZZQAwYKkVC0/edit?usp=drivesdk"",""Completed Exams!A1:A135""),0),1), 0)"),0.0)</f>
        <v>0</v>
      </c>
      <c r="V93" s="100">
        <f t="shared" si="49"/>
        <v>1</v>
      </c>
      <c r="W93" s="100">
        <f t="shared" si="60"/>
        <v>1</v>
      </c>
      <c r="X93" s="101">
        <f t="shared" si="57"/>
        <v>0</v>
      </c>
      <c r="Y93" s="101">
        <f t="shared" si="58"/>
        <v>1</v>
      </c>
      <c r="Z93" s="101">
        <f t="shared" si="36"/>
        <v>1</v>
      </c>
      <c r="AA93" s="101">
        <f t="shared" si="37"/>
        <v>1</v>
      </c>
      <c r="AB93" s="101">
        <f>IFERROR(__xludf.DUMMYFUNCTION("IFERROR(IF(Match(L93,IMPORTRANGE(""https://docs.google.com/spreadsheets/d/1n1sT_Q_W3mKmn2Yrd8qcNzuRD4zr4DB9gqARnjQ30B4/edit?gid=1918970062#gid=1918970062"",""Form Responses 1!B2:B49""),0),1), 0)"),0.0)</f>
        <v>0</v>
      </c>
      <c r="AC93" s="101">
        <f t="shared" si="54"/>
        <v>1</v>
      </c>
      <c r="AD93" s="120">
        <v>1.0</v>
      </c>
      <c r="AE93" s="101">
        <f>IFERROR(__xludf.DUMMYFUNCTION("IFERROR(IF(Match(L93,IMPORTRANGE(""https://docs.google.com/spreadsheets/d/1hvckjcCpxEuDQDPrBMml_I1kBhYyjrgR8qBKC9QGVUc/edit?resourcekey=&amp;gid=230793720#gid=230793720"",""Form Responses 1!B2:B199""),0),1), 0)"),0.0)</f>
        <v>0</v>
      </c>
      <c r="AF93" s="75">
        <f>IFERROR(__xludf.DUMMYFUNCTION("IFERROR(IF(Match(L93,IMPORTRANGE(""https://docs.google.com/spreadsheets/d/1UY0hI2S83Fmafa5P-C1LM9yqe4v4qIKTnVy_CzLzRPs/edit?resourcekey=&amp;gid=1583835601#gid=1583835601"",""Form Responses 1!B2:B194""),0),1), 0)"),0.0)</f>
        <v>0</v>
      </c>
      <c r="AG93" s="75">
        <f>IFERROR(__xludf.DUMMYFUNCTION("IFERROR(IF(Match(L93,IMPORTRANGE(""https://docs.google.com/spreadsheets/d/1hO4mQ22n6cudUygJ2ss_JeJdm2Ua_7hJl_79lWWEtic/edit?resourcekey=&amp;gid=2087212010#gid=2087212010"",""Form Responses 1!B2:B104""),0),1), 0)"),0.0)</f>
        <v>0</v>
      </c>
      <c r="AH93" s="75">
        <f>IFERROR(__xludf.DUMMYFUNCTION("IFERROR(IF(Match(L93,IMPORTRANGE(""https://docs.google.com/spreadsheets/d/1HbfCXhSXbtTODKKY1MOFwJccyhgDKD0J9sO1k5l_6lM/edit?resourcekey=&amp;gid=1616384832#gid=1616384832"",""Form Responses 1!E2:E143""),0),1), 0)"),0.0)</f>
        <v>0</v>
      </c>
      <c r="AI93" s="14"/>
      <c r="AJ93" s="14"/>
      <c r="AK93" s="14"/>
      <c r="AL93" s="14"/>
      <c r="AM93" s="14"/>
      <c r="AN93" s="14"/>
      <c r="AO93" s="14"/>
      <c r="AP93" s="14"/>
      <c r="AQ93" s="14"/>
    </row>
    <row r="94" ht="22.5" customHeight="1">
      <c r="A94" s="102"/>
      <c r="B94" s="103"/>
      <c r="C94" s="103"/>
      <c r="D94" s="103"/>
      <c r="E94" s="103"/>
      <c r="F94" s="103"/>
      <c r="G94" s="103"/>
      <c r="H94" s="103"/>
      <c r="I94" s="96"/>
      <c r="J94" s="7"/>
      <c r="K94" s="7" t="s">
        <v>216</v>
      </c>
      <c r="L94" s="7" t="s">
        <v>217</v>
      </c>
      <c r="M94" s="7" t="s">
        <v>211</v>
      </c>
      <c r="N94" s="8" t="s">
        <v>11</v>
      </c>
      <c r="O94" s="7" t="s">
        <v>12</v>
      </c>
      <c r="P94" s="63">
        <v>17.0</v>
      </c>
      <c r="Q94" s="7" t="s">
        <v>507</v>
      </c>
      <c r="R94" s="97">
        <f t="shared" si="41"/>
        <v>1</v>
      </c>
      <c r="S94" s="97">
        <f t="shared" si="61"/>
        <v>1</v>
      </c>
      <c r="T94" s="98">
        <f t="shared" ref="T94:T125" si="62">IF(COUNTIF(B$275:B$401,L94)=0,0,1)</f>
        <v>1</v>
      </c>
      <c r="U94" s="99">
        <f>IFERROR(__xludf.DUMMYFUNCTION("IFERROR(IF(Match(L94,IMPORTRANGE(""https://docs.google.com/spreadsheets/d/1CAXKDiOnZb21bZOY_nacH9xI9AiD-nH8ZZQAwYKkVC0/edit?usp=drivesdk"",""Completed Exams!A1:A135""),0),1), 0)"),0.0)</f>
        <v>0</v>
      </c>
      <c r="V94" s="100">
        <f t="shared" si="49"/>
        <v>1</v>
      </c>
      <c r="W94" s="100">
        <v>1.0</v>
      </c>
      <c r="X94" s="101">
        <f t="shared" si="57"/>
        <v>1</v>
      </c>
      <c r="Y94" s="101">
        <f t="shared" si="58"/>
        <v>1</v>
      </c>
      <c r="Z94" s="101">
        <f t="shared" si="36"/>
        <v>1</v>
      </c>
      <c r="AA94" s="100">
        <v>0.5</v>
      </c>
      <c r="AB94" s="101">
        <f>IFERROR(__xludf.DUMMYFUNCTION("IFERROR(IF(Match(L94,IMPORTRANGE(""https://docs.google.com/spreadsheets/d/1n1sT_Q_W3mKmn2Yrd8qcNzuRD4zr4DB9gqARnjQ30B4/edit?gid=1918970062#gid=1918970062"",""Form Responses 1!B2:B49""),0),1), 0)"),0.0)</f>
        <v>0</v>
      </c>
      <c r="AC94" s="101">
        <f t="shared" si="54"/>
        <v>1</v>
      </c>
      <c r="AD94" s="100">
        <v>1.0</v>
      </c>
      <c r="AE94" s="101">
        <f>IFERROR(__xludf.DUMMYFUNCTION("IFERROR(IF(Match(L94,IMPORTRANGE(""https://docs.google.com/spreadsheets/d/1hvckjcCpxEuDQDPrBMml_I1kBhYyjrgR8qBKC9QGVUc/edit?resourcekey=&amp;gid=230793720#gid=230793720"",""Form Responses 1!B2:B199""),0),1), 0)"),0.0)</f>
        <v>0</v>
      </c>
      <c r="AF94" s="75">
        <f>IFERROR(__xludf.DUMMYFUNCTION("IFERROR(IF(Match(L94,IMPORTRANGE(""https://docs.google.com/spreadsheets/d/1UY0hI2S83Fmafa5P-C1LM9yqe4v4qIKTnVy_CzLzRPs/edit?resourcekey=&amp;gid=1583835601#gid=1583835601"",""Form Responses 1!B2:B194""),0),1), 0)"),0.0)</f>
        <v>0</v>
      </c>
      <c r="AG94" s="75">
        <f>IFERROR(__xludf.DUMMYFUNCTION("IFERROR(IF(Match(L94,IMPORTRANGE(""https://docs.google.com/spreadsheets/d/1hO4mQ22n6cudUygJ2ss_JeJdm2Ua_7hJl_79lWWEtic/edit?resourcekey=&amp;gid=2087212010#gid=2087212010"",""Form Responses 1!B2:B104""),0),1), 0)"),0.0)</f>
        <v>0</v>
      </c>
      <c r="AH94" s="75">
        <f>IFERROR(__xludf.DUMMYFUNCTION("IFERROR(IF(Match(L94,IMPORTRANGE(""https://docs.google.com/spreadsheets/d/1HbfCXhSXbtTODKKY1MOFwJccyhgDKD0J9sO1k5l_6lM/edit?resourcekey=&amp;gid=1616384832#gid=1616384832"",""Form Responses 1!E2:E143""),0),1), 0)"),0.0)</f>
        <v>0</v>
      </c>
    </row>
    <row r="95" ht="22.5" customHeight="1">
      <c r="A95" s="102">
        <v>45917.66552825231</v>
      </c>
      <c r="B95" s="103" t="s">
        <v>268</v>
      </c>
      <c r="C95" s="103" t="s">
        <v>722</v>
      </c>
      <c r="D95" s="103" t="s">
        <v>723</v>
      </c>
      <c r="E95" s="103" t="s">
        <v>639</v>
      </c>
      <c r="F95" s="103" t="s">
        <v>436</v>
      </c>
      <c r="G95" s="103" t="s">
        <v>604</v>
      </c>
      <c r="H95" s="103" t="s">
        <v>724</v>
      </c>
      <c r="I95" s="96"/>
      <c r="J95" s="7"/>
      <c r="K95" s="7" t="s">
        <v>218</v>
      </c>
      <c r="L95" s="7" t="s">
        <v>219</v>
      </c>
      <c r="M95" s="7" t="s">
        <v>211</v>
      </c>
      <c r="N95" s="8" t="s">
        <v>11</v>
      </c>
      <c r="O95" s="7" t="s">
        <v>12</v>
      </c>
      <c r="P95" s="63">
        <v>17.0</v>
      </c>
      <c r="Q95" s="7" t="s">
        <v>507</v>
      </c>
      <c r="R95" s="97">
        <f t="shared" si="41"/>
        <v>1</v>
      </c>
      <c r="S95" s="104">
        <v>0.5</v>
      </c>
      <c r="T95" s="98">
        <f t="shared" si="62"/>
        <v>1</v>
      </c>
      <c r="U95" s="99">
        <f>IFERROR(__xludf.DUMMYFUNCTION("IFERROR(IF(Match(L95,IMPORTRANGE(""https://docs.google.com/spreadsheets/d/1CAXKDiOnZb21bZOY_nacH9xI9AiD-nH8ZZQAwYKkVC0/edit?usp=drivesdk"",""Completed Exams!A1:A135""),0),1), 0)"),0.0)</f>
        <v>0</v>
      </c>
      <c r="V95" s="100">
        <f t="shared" si="49"/>
        <v>1</v>
      </c>
      <c r="W95" s="100">
        <v>1.0</v>
      </c>
      <c r="X95" s="101">
        <f t="shared" si="57"/>
        <v>0</v>
      </c>
      <c r="Y95" s="101">
        <f t="shared" si="58"/>
        <v>0</v>
      </c>
      <c r="Z95" s="101">
        <f t="shared" si="36"/>
        <v>0</v>
      </c>
      <c r="AA95" s="101">
        <f t="shared" ref="AA95:AA100" si="63">IF(COUNTIF(B$971:B$1124,L95)=0,0,1)</f>
        <v>0</v>
      </c>
      <c r="AB95" s="101">
        <f>IFERROR(__xludf.DUMMYFUNCTION("IFERROR(IF(Match(L95,IMPORTRANGE(""https://docs.google.com/spreadsheets/d/1n1sT_Q_W3mKmn2Yrd8qcNzuRD4zr4DB9gqARnjQ30B4/edit?gid=1918970062#gid=1918970062"",""Form Responses 1!B2:B49""),0),1), 0)"),0.0)</f>
        <v>0</v>
      </c>
      <c r="AC95" s="101">
        <f t="shared" si="54"/>
        <v>0</v>
      </c>
      <c r="AD95" s="100">
        <v>0.0</v>
      </c>
      <c r="AE95" s="101">
        <f>IFERROR(__xludf.DUMMYFUNCTION("IFERROR(IF(Match(L95,IMPORTRANGE(""https://docs.google.com/spreadsheets/d/1hvckjcCpxEuDQDPrBMml_I1kBhYyjrgR8qBKC9QGVUc/edit?resourcekey=&amp;gid=230793720#gid=230793720"",""Form Responses 1!B2:B199""),0),1), 0)"),0.0)</f>
        <v>0</v>
      </c>
      <c r="AF95" s="75">
        <f>IFERROR(__xludf.DUMMYFUNCTION("IFERROR(IF(Match(L95,IMPORTRANGE(""https://docs.google.com/spreadsheets/d/1UY0hI2S83Fmafa5P-C1LM9yqe4v4qIKTnVy_CzLzRPs/edit?resourcekey=&amp;gid=1583835601#gid=1583835601"",""Form Responses 1!B2:B194""),0),1), 0)"),0.0)</f>
        <v>0</v>
      </c>
      <c r="AG95" s="75">
        <f>IFERROR(__xludf.DUMMYFUNCTION("IFERROR(IF(Match(L95,IMPORTRANGE(""https://docs.google.com/spreadsheets/d/1hO4mQ22n6cudUygJ2ss_JeJdm2Ua_7hJl_79lWWEtic/edit?resourcekey=&amp;gid=2087212010#gid=2087212010"",""Form Responses 1!B2:B104""),0),1), 0)"),0.0)</f>
        <v>0</v>
      </c>
      <c r="AH95" s="75">
        <f>IFERROR(__xludf.DUMMYFUNCTION("IFERROR(IF(Match(L95,IMPORTRANGE(""https://docs.google.com/spreadsheets/d/1HbfCXhSXbtTODKKY1MOFwJccyhgDKD0J9sO1k5l_6lM/edit?resourcekey=&amp;gid=1616384832#gid=1616384832"",""Form Responses 1!E2:E143""),0),1), 0)"),0.0)</f>
        <v>0</v>
      </c>
    </row>
    <row r="96" ht="22.5" customHeight="1">
      <c r="A96" s="102">
        <v>45917.66554155093</v>
      </c>
      <c r="B96" s="103" t="s">
        <v>70</v>
      </c>
      <c r="C96" s="103" t="s">
        <v>725</v>
      </c>
      <c r="D96" s="103" t="s">
        <v>726</v>
      </c>
      <c r="E96" s="103" t="s">
        <v>450</v>
      </c>
      <c r="F96" s="103" t="s">
        <v>436</v>
      </c>
      <c r="G96" s="103" t="s">
        <v>38</v>
      </c>
      <c r="H96" s="103" t="s">
        <v>727</v>
      </c>
      <c r="I96" s="96"/>
      <c r="J96" s="7"/>
      <c r="K96" s="16" t="s">
        <v>220</v>
      </c>
      <c r="L96" s="16" t="s">
        <v>221</v>
      </c>
      <c r="M96" s="16" t="s">
        <v>211</v>
      </c>
      <c r="N96" s="17" t="s">
        <v>28</v>
      </c>
      <c r="O96" s="16" t="s">
        <v>29</v>
      </c>
      <c r="P96" s="67">
        <v>17.0</v>
      </c>
      <c r="Q96" s="16" t="s">
        <v>507</v>
      </c>
      <c r="R96" s="97">
        <f t="shared" si="41"/>
        <v>1</v>
      </c>
      <c r="S96" s="97">
        <f t="shared" ref="S96:S107" si="64">IF(COUNTIF(B$150:B$274,L96)=0,0,1)</f>
        <v>1</v>
      </c>
      <c r="T96" s="98">
        <f t="shared" si="62"/>
        <v>1</v>
      </c>
      <c r="U96" s="99">
        <f>IFERROR(__xludf.DUMMYFUNCTION("IFERROR(IF(Match(L96,IMPORTRANGE(""https://docs.google.com/spreadsheets/d/1CAXKDiOnZb21bZOY_nacH9xI9AiD-nH8ZZQAwYKkVC0/edit?usp=drivesdk"",""Completed Exams!A1:A135""),0),1), 0)"),0.0)</f>
        <v>0</v>
      </c>
      <c r="V96" s="100">
        <f t="shared" si="49"/>
        <v>1</v>
      </c>
      <c r="W96" s="100">
        <v>1.0</v>
      </c>
      <c r="X96" s="101">
        <f t="shared" si="57"/>
        <v>1</v>
      </c>
      <c r="Y96" s="101">
        <f t="shared" si="58"/>
        <v>1</v>
      </c>
      <c r="Z96" s="101">
        <f t="shared" si="36"/>
        <v>1</v>
      </c>
      <c r="AA96" s="101">
        <f t="shared" si="63"/>
        <v>1</v>
      </c>
      <c r="AB96" s="101">
        <f>IFERROR(__xludf.DUMMYFUNCTION("IFERROR(IF(Match(L96,IMPORTRANGE(""https://docs.google.com/spreadsheets/d/1n1sT_Q_W3mKmn2Yrd8qcNzuRD4zr4DB9gqARnjQ30B4/edit?gid=1918970062#gid=1918970062"",""Form Responses 1!B2:B49""),0),1), 0)"),0.0)</f>
        <v>0</v>
      </c>
      <c r="AC96" s="101">
        <f t="shared" si="54"/>
        <v>1</v>
      </c>
      <c r="AD96" s="100">
        <v>1.0</v>
      </c>
      <c r="AE96" s="101">
        <f>IFERROR(__xludf.DUMMYFUNCTION("IFERROR(IF(Match(L96,IMPORTRANGE(""https://docs.google.com/spreadsheets/d/1hvckjcCpxEuDQDPrBMml_I1kBhYyjrgR8qBKC9QGVUc/edit?resourcekey=&amp;gid=230793720#gid=230793720"",""Form Responses 1!B2:B199""),0),1), 0)"),0.0)</f>
        <v>0</v>
      </c>
      <c r="AF96" s="75">
        <f>IFERROR(__xludf.DUMMYFUNCTION("IFERROR(IF(Match(L96,IMPORTRANGE(""https://docs.google.com/spreadsheets/d/1UY0hI2S83Fmafa5P-C1LM9yqe4v4qIKTnVy_CzLzRPs/edit?resourcekey=&amp;gid=1583835601#gid=1583835601"",""Form Responses 1!B2:B194""),0),1), 0)"),0.0)</f>
        <v>0</v>
      </c>
      <c r="AG96" s="75">
        <f>IFERROR(__xludf.DUMMYFUNCTION("IFERROR(IF(Match(L96,IMPORTRANGE(""https://docs.google.com/spreadsheets/d/1hO4mQ22n6cudUygJ2ss_JeJdm2Ua_7hJl_79lWWEtic/edit?resourcekey=&amp;gid=2087212010#gid=2087212010"",""Form Responses 1!B2:B104""),0),1), 0)"),0.0)</f>
        <v>0</v>
      </c>
      <c r="AH96" s="75">
        <f>IFERROR(__xludf.DUMMYFUNCTION("IFERROR(IF(Match(L96,IMPORTRANGE(""https://docs.google.com/spreadsheets/d/1HbfCXhSXbtTODKKY1MOFwJccyhgDKD0J9sO1k5l_6lM/edit?resourcekey=&amp;gid=1616384832#gid=1616384832"",""Form Responses 1!E2:E143""),0),1), 0)"),0.0)</f>
        <v>0</v>
      </c>
    </row>
    <row r="97" ht="22.5" customHeight="1">
      <c r="A97" s="102">
        <v>45917.665554652776</v>
      </c>
      <c r="B97" s="103" t="s">
        <v>213</v>
      </c>
      <c r="C97" s="103" t="s">
        <v>728</v>
      </c>
      <c r="D97" s="103" t="s">
        <v>729</v>
      </c>
      <c r="E97" s="103" t="s">
        <v>450</v>
      </c>
      <c r="F97" s="103" t="s">
        <v>436</v>
      </c>
      <c r="G97" s="103" t="s">
        <v>211</v>
      </c>
      <c r="H97" s="103" t="s">
        <v>730</v>
      </c>
      <c r="I97" s="96"/>
      <c r="J97" s="7"/>
      <c r="K97" s="7" t="s">
        <v>222</v>
      </c>
      <c r="L97" s="7" t="s">
        <v>223</v>
      </c>
      <c r="M97" s="7" t="s">
        <v>224</v>
      </c>
      <c r="N97" s="8" t="s">
        <v>11</v>
      </c>
      <c r="O97" s="7" t="s">
        <v>12</v>
      </c>
      <c r="P97" s="21">
        <v>18.0</v>
      </c>
      <c r="Q97" s="7" t="s">
        <v>424</v>
      </c>
      <c r="R97" s="97">
        <f t="shared" si="41"/>
        <v>1</v>
      </c>
      <c r="S97" s="97">
        <f t="shared" si="64"/>
        <v>1</v>
      </c>
      <c r="T97" s="98">
        <f t="shared" si="62"/>
        <v>1</v>
      </c>
      <c r="U97" s="99">
        <f>IFERROR(__xludf.DUMMYFUNCTION("IFERROR(IF(Match(L97,IMPORTRANGE(""https://docs.google.com/spreadsheets/d/1CAXKDiOnZb21bZOY_nacH9xI9AiD-nH8ZZQAwYKkVC0/edit?usp=drivesdk"",""Completed Exams!A1:A135""),0),1), 0)"),0.0)</f>
        <v>0</v>
      </c>
      <c r="V97" s="100">
        <f t="shared" si="49"/>
        <v>1</v>
      </c>
      <c r="W97" s="100">
        <f t="shared" ref="W97:W98" si="65">IF(COUNTIF(B$535:B$602,L97)=0,0,1)</f>
        <v>0</v>
      </c>
      <c r="X97" s="101">
        <f t="shared" si="57"/>
        <v>1</v>
      </c>
      <c r="Y97" s="101">
        <f t="shared" si="58"/>
        <v>1</v>
      </c>
      <c r="Z97" s="101">
        <f t="shared" si="36"/>
        <v>1</v>
      </c>
      <c r="AA97" s="101">
        <f t="shared" si="63"/>
        <v>1</v>
      </c>
      <c r="AB97" s="101">
        <f>IFERROR(__xludf.DUMMYFUNCTION("IFERROR(IF(Match(L97,IMPORTRANGE(""https://docs.google.com/spreadsheets/d/1n1sT_Q_W3mKmn2Yrd8qcNzuRD4zr4DB9gqARnjQ30B4/edit?gid=1918970062#gid=1918970062"",""Form Responses 1!B2:B49""),0),1), 0)"),0.0)</f>
        <v>0</v>
      </c>
      <c r="AC97" s="101">
        <f t="shared" si="54"/>
        <v>1</v>
      </c>
      <c r="AD97" s="100">
        <v>0.0</v>
      </c>
      <c r="AE97" s="101">
        <f>IFERROR(__xludf.DUMMYFUNCTION("IFERROR(IF(Match(L97,IMPORTRANGE(""https://docs.google.com/spreadsheets/d/1hvckjcCpxEuDQDPrBMml_I1kBhYyjrgR8qBKC9QGVUc/edit?resourcekey=&amp;gid=230793720#gid=230793720"",""Form Responses 1!B2:B199""),0),1), 0)"),0.0)</f>
        <v>0</v>
      </c>
      <c r="AF97" s="75">
        <f>IFERROR(__xludf.DUMMYFUNCTION("IFERROR(IF(Match(L97,IMPORTRANGE(""https://docs.google.com/spreadsheets/d/1UY0hI2S83Fmafa5P-C1LM9yqe4v4qIKTnVy_CzLzRPs/edit?resourcekey=&amp;gid=1583835601#gid=1583835601"",""Form Responses 1!B2:B194""),0),1), 0)"),0.0)</f>
        <v>0</v>
      </c>
      <c r="AG97" s="75">
        <f>IFERROR(__xludf.DUMMYFUNCTION("IFERROR(IF(Match(L97,IMPORTRANGE(""https://docs.google.com/spreadsheets/d/1hO4mQ22n6cudUygJ2ss_JeJdm2Ua_7hJl_79lWWEtic/edit?resourcekey=&amp;gid=2087212010#gid=2087212010"",""Form Responses 1!B2:B104""),0),1), 0)"),0.0)</f>
        <v>0</v>
      </c>
      <c r="AH97" s="75">
        <f>IFERROR(__xludf.DUMMYFUNCTION("IFERROR(IF(Match(L97,IMPORTRANGE(""https://docs.google.com/spreadsheets/d/1HbfCXhSXbtTODKKY1MOFwJccyhgDKD0J9sO1k5l_6lM/edit?resourcekey=&amp;gid=1616384832#gid=1616384832"",""Form Responses 1!E2:E143""),0),1), 0)"),0.0)</f>
        <v>0</v>
      </c>
    </row>
    <row r="98" ht="22.5" customHeight="1">
      <c r="A98" s="102">
        <v>45917.665573715276</v>
      </c>
      <c r="B98" s="103" t="s">
        <v>389</v>
      </c>
      <c r="C98" s="103" t="s">
        <v>731</v>
      </c>
      <c r="D98" s="103" t="s">
        <v>666</v>
      </c>
      <c r="E98" s="103" t="s">
        <v>450</v>
      </c>
      <c r="F98" s="103" t="s">
        <v>436</v>
      </c>
      <c r="G98" s="103" t="s">
        <v>211</v>
      </c>
      <c r="H98" s="103" t="s">
        <v>732</v>
      </c>
      <c r="I98" s="96"/>
      <c r="J98" s="7"/>
      <c r="K98" s="7" t="s">
        <v>225</v>
      </c>
      <c r="L98" s="7" t="s">
        <v>226</v>
      </c>
      <c r="M98" s="7" t="s">
        <v>224</v>
      </c>
      <c r="N98" s="8" t="s">
        <v>11</v>
      </c>
      <c r="O98" s="7" t="s">
        <v>12</v>
      </c>
      <c r="P98" s="21">
        <v>18.0</v>
      </c>
      <c r="Q98" s="7" t="s">
        <v>424</v>
      </c>
      <c r="R98" s="97">
        <f t="shared" si="41"/>
        <v>1</v>
      </c>
      <c r="S98" s="97">
        <f t="shared" si="64"/>
        <v>1</v>
      </c>
      <c r="T98" s="98">
        <f t="shared" si="62"/>
        <v>1</v>
      </c>
      <c r="U98" s="99">
        <f>IFERROR(__xludf.DUMMYFUNCTION("IFERROR(IF(Match(L98,IMPORTRANGE(""https://docs.google.com/spreadsheets/d/1CAXKDiOnZb21bZOY_nacH9xI9AiD-nH8ZZQAwYKkVC0/edit?usp=drivesdk"",""Completed Exams!A1:A135""),0),1), 0)"),0.0)</f>
        <v>0</v>
      </c>
      <c r="V98" s="100">
        <f t="shared" si="49"/>
        <v>1</v>
      </c>
      <c r="W98" s="100">
        <f t="shared" si="65"/>
        <v>0</v>
      </c>
      <c r="X98" s="101">
        <f t="shared" si="57"/>
        <v>1</v>
      </c>
      <c r="Y98" s="101">
        <f t="shared" si="58"/>
        <v>1</v>
      </c>
      <c r="Z98" s="101">
        <f t="shared" si="36"/>
        <v>1</v>
      </c>
      <c r="AA98" s="101">
        <f t="shared" si="63"/>
        <v>1</v>
      </c>
      <c r="AB98" s="101">
        <f>IFERROR(__xludf.DUMMYFUNCTION("IFERROR(IF(Match(L98,IMPORTRANGE(""https://docs.google.com/spreadsheets/d/1n1sT_Q_W3mKmn2Yrd8qcNzuRD4zr4DB9gqARnjQ30B4/edit?gid=1918970062#gid=1918970062"",""Form Responses 1!B2:B49""),0),1), 0)"),0.0)</f>
        <v>0</v>
      </c>
      <c r="AC98" s="101">
        <f t="shared" si="54"/>
        <v>1</v>
      </c>
      <c r="AD98" s="100">
        <v>0.0</v>
      </c>
      <c r="AE98" s="101">
        <f>IFERROR(__xludf.DUMMYFUNCTION("IFERROR(IF(Match(L98,IMPORTRANGE(""https://docs.google.com/spreadsheets/d/1hvckjcCpxEuDQDPrBMml_I1kBhYyjrgR8qBKC9QGVUc/edit?resourcekey=&amp;gid=230793720#gid=230793720"",""Form Responses 1!B2:B199""),0),1), 0)"),0.0)</f>
        <v>0</v>
      </c>
      <c r="AF98" s="75">
        <f>IFERROR(__xludf.DUMMYFUNCTION("IFERROR(IF(Match(L98,IMPORTRANGE(""https://docs.google.com/spreadsheets/d/1UY0hI2S83Fmafa5P-C1LM9yqe4v4qIKTnVy_CzLzRPs/edit?resourcekey=&amp;gid=1583835601#gid=1583835601"",""Form Responses 1!B2:B194""),0),1), 0)"),0.0)</f>
        <v>0</v>
      </c>
      <c r="AG98" s="75">
        <f>IFERROR(__xludf.DUMMYFUNCTION("IFERROR(IF(Match(L98,IMPORTRANGE(""https://docs.google.com/spreadsheets/d/1hO4mQ22n6cudUygJ2ss_JeJdm2Ua_7hJl_79lWWEtic/edit?resourcekey=&amp;gid=2087212010#gid=2087212010"",""Form Responses 1!B2:B104""),0),1), 0)"),0.0)</f>
        <v>0</v>
      </c>
      <c r="AH98" s="75">
        <f>IFERROR(__xludf.DUMMYFUNCTION("IFERROR(IF(Match(L98,IMPORTRANGE(""https://docs.google.com/spreadsheets/d/1HbfCXhSXbtTODKKY1MOFwJccyhgDKD0J9sO1k5l_6lM/edit?resourcekey=&amp;gid=1616384832#gid=1616384832"",""Form Responses 1!E2:E143""),0),1), 0)"),0.0)</f>
        <v>0</v>
      </c>
    </row>
    <row r="99" ht="22.5" customHeight="1">
      <c r="A99" s="102">
        <v>45917.66557444444</v>
      </c>
      <c r="B99" s="103" t="s">
        <v>265</v>
      </c>
      <c r="C99" s="103" t="s">
        <v>733</v>
      </c>
      <c r="D99" s="103" t="s">
        <v>734</v>
      </c>
      <c r="E99" s="103" t="s">
        <v>639</v>
      </c>
      <c r="F99" s="103" t="s">
        <v>436</v>
      </c>
      <c r="G99" s="103" t="s">
        <v>604</v>
      </c>
      <c r="H99" s="103" t="s">
        <v>667</v>
      </c>
      <c r="I99" s="96"/>
      <c r="J99" s="7"/>
      <c r="K99" s="7" t="s">
        <v>227</v>
      </c>
      <c r="L99" s="7" t="s">
        <v>228</v>
      </c>
      <c r="M99" s="7" t="s">
        <v>224</v>
      </c>
      <c r="N99" s="11" t="s">
        <v>28</v>
      </c>
      <c r="O99" s="37" t="s">
        <v>29</v>
      </c>
      <c r="P99" s="21">
        <v>18.0</v>
      </c>
      <c r="Q99" s="37" t="s">
        <v>424</v>
      </c>
      <c r="R99" s="97">
        <f t="shared" si="41"/>
        <v>0</v>
      </c>
      <c r="S99" s="97">
        <f t="shared" si="64"/>
        <v>1</v>
      </c>
      <c r="T99" s="98">
        <f t="shared" si="62"/>
        <v>1</v>
      </c>
      <c r="U99" s="98">
        <v>0.5</v>
      </c>
      <c r="V99" s="100">
        <v>0.5</v>
      </c>
      <c r="W99" s="100">
        <v>1.0</v>
      </c>
      <c r="X99" s="101">
        <f t="shared" si="57"/>
        <v>1</v>
      </c>
      <c r="Y99" s="101">
        <f t="shared" si="58"/>
        <v>1</v>
      </c>
      <c r="Z99" s="101">
        <f t="shared" si="36"/>
        <v>1</v>
      </c>
      <c r="AA99" s="101">
        <f t="shared" si="63"/>
        <v>1</v>
      </c>
      <c r="AB99" s="100">
        <v>1.0</v>
      </c>
      <c r="AC99" s="101">
        <f t="shared" si="54"/>
        <v>1</v>
      </c>
      <c r="AD99" s="100">
        <v>1.0</v>
      </c>
      <c r="AE99" s="101">
        <f>IFERROR(__xludf.DUMMYFUNCTION("IFERROR(IF(Match(L99,IMPORTRANGE(""https://docs.google.com/spreadsheets/d/1hvckjcCpxEuDQDPrBMml_I1kBhYyjrgR8qBKC9QGVUc/edit?resourcekey=&amp;gid=230793720#gid=230793720"",""Form Responses 1!B2:B199""),0),1), 0)"),0.0)</f>
        <v>0</v>
      </c>
      <c r="AF99" s="75">
        <f>IFERROR(__xludf.DUMMYFUNCTION("IFERROR(IF(Match(L99,IMPORTRANGE(""https://docs.google.com/spreadsheets/d/1UY0hI2S83Fmafa5P-C1LM9yqe4v4qIKTnVy_CzLzRPs/edit?resourcekey=&amp;gid=1583835601#gid=1583835601"",""Form Responses 1!B2:B194""),0),1), 0)"),0.0)</f>
        <v>0</v>
      </c>
      <c r="AG99" s="75">
        <f>IFERROR(__xludf.DUMMYFUNCTION("IFERROR(IF(Match(L99,IMPORTRANGE(""https://docs.google.com/spreadsheets/d/1hO4mQ22n6cudUygJ2ss_JeJdm2Ua_7hJl_79lWWEtic/edit?resourcekey=&amp;gid=2087212010#gid=2087212010"",""Form Responses 1!B2:B104""),0),1), 0)"),0.0)</f>
        <v>0</v>
      </c>
      <c r="AH99" s="75">
        <f>IFERROR(__xludf.DUMMYFUNCTION("IFERROR(IF(Match(L99,IMPORTRANGE(""https://docs.google.com/spreadsheets/d/1HbfCXhSXbtTODKKY1MOFwJccyhgDKD0J9sO1k5l_6lM/edit?resourcekey=&amp;gid=1616384832#gid=1616384832"",""Form Responses 1!E2:E143""),0),1), 0)"),0.0)</f>
        <v>0</v>
      </c>
    </row>
    <row r="100" ht="22.5" customHeight="1">
      <c r="A100" s="102">
        <v>45917.66557994213</v>
      </c>
      <c r="B100" s="103" t="s">
        <v>289</v>
      </c>
      <c r="C100" s="103" t="s">
        <v>735</v>
      </c>
      <c r="D100" s="103" t="s">
        <v>736</v>
      </c>
      <c r="E100" s="103" t="s">
        <v>450</v>
      </c>
      <c r="F100" s="103" t="s">
        <v>436</v>
      </c>
      <c r="G100" s="103" t="s">
        <v>428</v>
      </c>
      <c r="H100" s="103" t="s">
        <v>737</v>
      </c>
      <c r="I100" s="96"/>
      <c r="J100" s="7"/>
      <c r="K100" s="7" t="s">
        <v>229</v>
      </c>
      <c r="L100" s="7" t="s">
        <v>230</v>
      </c>
      <c r="M100" s="7" t="s">
        <v>224</v>
      </c>
      <c r="N100" s="11" t="s">
        <v>28</v>
      </c>
      <c r="O100" s="37" t="s">
        <v>29</v>
      </c>
      <c r="P100" s="21">
        <v>18.0</v>
      </c>
      <c r="Q100" s="37" t="s">
        <v>424</v>
      </c>
      <c r="R100" s="97">
        <f t="shared" si="41"/>
        <v>0</v>
      </c>
      <c r="S100" s="97">
        <f t="shared" si="64"/>
        <v>1</v>
      </c>
      <c r="T100" s="98">
        <f t="shared" si="62"/>
        <v>1</v>
      </c>
      <c r="U100" s="99">
        <f>IFERROR(__xludf.DUMMYFUNCTION("IFERROR(IF(Match(L100,IMPORTRANGE(""https://docs.google.com/spreadsheets/d/1CAXKDiOnZb21bZOY_nacH9xI9AiD-nH8ZZQAwYKkVC0/edit?usp=drivesdk"",""Completed Exams!A1:A135""),0),1), 0)"),0.0)</f>
        <v>0</v>
      </c>
      <c r="V100" s="100">
        <f t="shared" ref="V100:V140" si="66">IF(COUNTIF(B$416:B$535,L100)=0,0,1)</f>
        <v>1</v>
      </c>
      <c r="W100" s="100">
        <f t="shared" ref="W100:W104" si="67">IF(COUNTIF(B$535:B$602,L100)=0,0,1)</f>
        <v>0</v>
      </c>
      <c r="X100" s="101">
        <f t="shared" si="57"/>
        <v>1</v>
      </c>
      <c r="Y100" s="101">
        <f t="shared" si="58"/>
        <v>1</v>
      </c>
      <c r="Z100" s="101">
        <f t="shared" si="36"/>
        <v>1</v>
      </c>
      <c r="AA100" s="101">
        <f t="shared" si="63"/>
        <v>1</v>
      </c>
      <c r="AB100" s="101">
        <f>IFERROR(__xludf.DUMMYFUNCTION("IFERROR(IF(Match(L100,IMPORTRANGE(""https://docs.google.com/spreadsheets/d/1n1sT_Q_W3mKmn2Yrd8qcNzuRD4zr4DB9gqARnjQ30B4/edit?gid=1918970062#gid=1918970062"",""Form Responses 1!B2:B49""),0),1), 0)"),0.0)</f>
        <v>0</v>
      </c>
      <c r="AC100" s="101">
        <f t="shared" si="54"/>
        <v>1</v>
      </c>
      <c r="AD100" s="100">
        <v>1.0</v>
      </c>
      <c r="AE100" s="101">
        <f>IFERROR(__xludf.DUMMYFUNCTION("IFERROR(IF(Match(L100,IMPORTRANGE(""https://docs.google.com/spreadsheets/d/1hvckjcCpxEuDQDPrBMml_I1kBhYyjrgR8qBKC9QGVUc/edit?resourcekey=&amp;gid=230793720#gid=230793720"",""Form Responses 1!B2:B199""),0),1), 0)"),0.0)</f>
        <v>0</v>
      </c>
      <c r="AF100" s="75">
        <f>IFERROR(__xludf.DUMMYFUNCTION("IFERROR(IF(Match(L100,IMPORTRANGE(""https://docs.google.com/spreadsheets/d/1UY0hI2S83Fmafa5P-C1LM9yqe4v4qIKTnVy_CzLzRPs/edit?resourcekey=&amp;gid=1583835601#gid=1583835601"",""Form Responses 1!B2:B194""),0),1), 0)"),0.0)</f>
        <v>0</v>
      </c>
      <c r="AG100" s="75">
        <f>IFERROR(__xludf.DUMMYFUNCTION("IFERROR(IF(Match(L100,IMPORTRANGE(""https://docs.google.com/spreadsheets/d/1hO4mQ22n6cudUygJ2ss_JeJdm2Ua_7hJl_79lWWEtic/edit?resourcekey=&amp;gid=2087212010#gid=2087212010"",""Form Responses 1!B2:B104""),0),1), 0)"),0.0)</f>
        <v>0</v>
      </c>
      <c r="AH100" s="75">
        <f>IFERROR(__xludf.DUMMYFUNCTION("IFERROR(IF(Match(L100,IMPORTRANGE(""https://docs.google.com/spreadsheets/d/1HbfCXhSXbtTODKKY1MOFwJccyhgDKD0J9sO1k5l_6lM/edit?resourcekey=&amp;gid=1616384832#gid=1616384832"",""Form Responses 1!E2:E143""),0),1), 0)"),0.0)</f>
        <v>0</v>
      </c>
    </row>
    <row r="101" ht="22.5" customHeight="1">
      <c r="A101" s="102">
        <v>45917.66560234954</v>
      </c>
      <c r="B101" s="103" t="s">
        <v>9</v>
      </c>
      <c r="C101" s="103" t="s">
        <v>576</v>
      </c>
      <c r="D101" s="103" t="s">
        <v>577</v>
      </c>
      <c r="E101" s="103" t="s">
        <v>578</v>
      </c>
      <c r="F101" s="103" t="s">
        <v>436</v>
      </c>
      <c r="G101" s="103" t="s">
        <v>10</v>
      </c>
      <c r="H101" s="103" t="s">
        <v>738</v>
      </c>
      <c r="I101" s="96"/>
      <c r="J101" s="7"/>
      <c r="K101" s="7" t="s">
        <v>231</v>
      </c>
      <c r="L101" s="7" t="s">
        <v>232</v>
      </c>
      <c r="M101" s="7" t="s">
        <v>224</v>
      </c>
      <c r="N101" s="8" t="s">
        <v>24</v>
      </c>
      <c r="O101" s="22" t="s">
        <v>233</v>
      </c>
      <c r="P101" s="21">
        <v>18.0</v>
      </c>
      <c r="Q101" s="22" t="s">
        <v>617</v>
      </c>
      <c r="R101" s="97">
        <f t="shared" si="41"/>
        <v>0</v>
      </c>
      <c r="S101" s="97">
        <f t="shared" si="64"/>
        <v>0</v>
      </c>
      <c r="T101" s="98">
        <f t="shared" si="62"/>
        <v>1</v>
      </c>
      <c r="U101" s="99">
        <f>IFERROR(__xludf.DUMMYFUNCTION("IFERROR(IF(Match(L101,IMPORTRANGE(""https://docs.google.com/spreadsheets/d/1CAXKDiOnZb21bZOY_nacH9xI9AiD-nH8ZZQAwYKkVC0/edit?usp=drivesdk"",""Completed Exams!A1:A135""),0),1), 0)"),0.0)</f>
        <v>0</v>
      </c>
      <c r="V101" s="100">
        <f t="shared" si="66"/>
        <v>0</v>
      </c>
      <c r="W101" s="100">
        <f t="shared" si="67"/>
        <v>1</v>
      </c>
      <c r="X101" s="101">
        <f t="shared" si="57"/>
        <v>0</v>
      </c>
      <c r="Y101" s="101">
        <f t="shared" si="58"/>
        <v>0</v>
      </c>
      <c r="Z101" s="101">
        <f t="shared" si="36"/>
        <v>0</v>
      </c>
      <c r="AA101" s="100">
        <v>0.5</v>
      </c>
      <c r="AB101" s="101">
        <f>IFERROR(__xludf.DUMMYFUNCTION("IFERROR(IF(Match(L101,IMPORTRANGE(""https://docs.google.com/spreadsheets/d/1n1sT_Q_W3mKmn2Yrd8qcNzuRD4zr4DB9gqARnjQ30B4/edit?gid=1918970062#gid=1918970062"",""Form Responses 1!B2:B49""),0),1), 0)"),0.0)</f>
        <v>0</v>
      </c>
      <c r="AC101" s="101">
        <f t="shared" si="54"/>
        <v>1</v>
      </c>
      <c r="AD101" s="100">
        <v>0.0</v>
      </c>
      <c r="AE101" s="101">
        <f>IFERROR(__xludf.DUMMYFUNCTION("IFERROR(IF(Match(L101,IMPORTRANGE(""https://docs.google.com/spreadsheets/d/1hvckjcCpxEuDQDPrBMml_I1kBhYyjrgR8qBKC9QGVUc/edit?resourcekey=&amp;gid=230793720#gid=230793720"",""Form Responses 1!B2:B199""),0),1), 0)"),0.0)</f>
        <v>0</v>
      </c>
      <c r="AF101" s="75">
        <f>IFERROR(__xludf.DUMMYFUNCTION("IFERROR(IF(Match(L101,IMPORTRANGE(""https://docs.google.com/spreadsheets/d/1UY0hI2S83Fmafa5P-C1LM9yqe4v4qIKTnVy_CzLzRPs/edit?resourcekey=&amp;gid=1583835601#gid=1583835601"",""Form Responses 1!B2:B194""),0),1), 0)"),0.0)</f>
        <v>0</v>
      </c>
      <c r="AG101" s="75">
        <f>IFERROR(__xludf.DUMMYFUNCTION("IFERROR(IF(Match(L101,IMPORTRANGE(""https://docs.google.com/spreadsheets/d/1hO4mQ22n6cudUygJ2ss_JeJdm2Ua_7hJl_79lWWEtic/edit?resourcekey=&amp;gid=2087212010#gid=2087212010"",""Form Responses 1!B2:B104""),0),1), 0)"),0.0)</f>
        <v>0</v>
      </c>
      <c r="AH101" s="75">
        <f>IFERROR(__xludf.DUMMYFUNCTION("IFERROR(IF(Match(L101,IMPORTRANGE(""https://docs.google.com/spreadsheets/d/1HbfCXhSXbtTODKKY1MOFwJccyhgDKD0J9sO1k5l_6lM/edit?resourcekey=&amp;gid=1616384832#gid=1616384832"",""Form Responses 1!E2:E143""),0),1), 0)"),0.0)</f>
        <v>0</v>
      </c>
    </row>
    <row r="102" ht="22.5" customHeight="1">
      <c r="A102" s="102">
        <v>45917.665612592595</v>
      </c>
      <c r="B102" s="103" t="s">
        <v>332</v>
      </c>
      <c r="C102" s="103" t="s">
        <v>445</v>
      </c>
      <c r="D102" s="103" t="s">
        <v>739</v>
      </c>
      <c r="E102" s="103" t="s">
        <v>578</v>
      </c>
      <c r="F102" s="103" t="s">
        <v>441</v>
      </c>
      <c r="G102" s="103" t="s">
        <v>699</v>
      </c>
      <c r="H102" s="103" t="s">
        <v>740</v>
      </c>
      <c r="I102" s="96"/>
      <c r="J102" s="7"/>
      <c r="K102" s="7" t="s">
        <v>234</v>
      </c>
      <c r="L102" s="7" t="s">
        <v>235</v>
      </c>
      <c r="M102" s="7" t="s">
        <v>224</v>
      </c>
      <c r="N102" s="8" t="s">
        <v>28</v>
      </c>
      <c r="O102" s="7" t="s">
        <v>29</v>
      </c>
      <c r="P102" s="21">
        <v>18.0</v>
      </c>
      <c r="Q102" s="7" t="s">
        <v>485</v>
      </c>
      <c r="R102" s="97">
        <f t="shared" si="41"/>
        <v>0</v>
      </c>
      <c r="S102" s="97">
        <f t="shared" si="64"/>
        <v>1</v>
      </c>
      <c r="T102" s="98">
        <f t="shared" si="62"/>
        <v>1</v>
      </c>
      <c r="U102" s="99">
        <f>IFERROR(__xludf.DUMMYFUNCTION("IFERROR(IF(Match(L102,IMPORTRANGE(""https://docs.google.com/spreadsheets/d/1CAXKDiOnZb21bZOY_nacH9xI9AiD-nH8ZZQAwYKkVC0/edit?usp=drivesdk"",""Completed Exams!A1:A135""),0),1), 0)"),0.0)</f>
        <v>0</v>
      </c>
      <c r="V102" s="100">
        <f t="shared" si="66"/>
        <v>1</v>
      </c>
      <c r="W102" s="100">
        <f t="shared" si="67"/>
        <v>0</v>
      </c>
      <c r="X102" s="100">
        <v>0.5</v>
      </c>
      <c r="Y102" s="101">
        <f t="shared" si="58"/>
        <v>1</v>
      </c>
      <c r="Z102" s="101">
        <f t="shared" si="36"/>
        <v>1</v>
      </c>
      <c r="AA102" s="101">
        <f t="shared" ref="AA102:AA118" si="68">IF(COUNTIF(B$971:B$1124,L102)=0,0,1)</f>
        <v>1</v>
      </c>
      <c r="AB102" s="101">
        <f>IFERROR(__xludf.DUMMYFUNCTION("IFERROR(IF(Match(L102,IMPORTRANGE(""https://docs.google.com/spreadsheets/d/1n1sT_Q_W3mKmn2Yrd8qcNzuRD4zr4DB9gqARnjQ30B4/edit?gid=1918970062#gid=1918970062"",""Form Responses 1!B2:B49""),0),1), 0)"),0.0)</f>
        <v>0</v>
      </c>
      <c r="AC102" s="101">
        <f t="shared" si="54"/>
        <v>1</v>
      </c>
      <c r="AD102" s="100">
        <v>1.0</v>
      </c>
      <c r="AE102" s="101">
        <f>IFERROR(__xludf.DUMMYFUNCTION("IFERROR(IF(Match(L102,IMPORTRANGE(""https://docs.google.com/spreadsheets/d/1hvckjcCpxEuDQDPrBMml_I1kBhYyjrgR8qBKC9QGVUc/edit?resourcekey=&amp;gid=230793720#gid=230793720"",""Form Responses 1!B2:B199""),0),1), 0)"),0.0)</f>
        <v>0</v>
      </c>
      <c r="AF102" s="75">
        <f>IFERROR(__xludf.DUMMYFUNCTION("IFERROR(IF(Match(L102,IMPORTRANGE(""https://docs.google.com/spreadsheets/d/1UY0hI2S83Fmafa5P-C1LM9yqe4v4qIKTnVy_CzLzRPs/edit?resourcekey=&amp;gid=1583835601#gid=1583835601"",""Form Responses 1!B2:B194""),0),1), 0)"),0.0)</f>
        <v>0</v>
      </c>
      <c r="AG102" s="75">
        <f>IFERROR(__xludf.DUMMYFUNCTION("IFERROR(IF(Match(L102,IMPORTRANGE(""https://docs.google.com/spreadsheets/d/1hO4mQ22n6cudUygJ2ss_JeJdm2Ua_7hJl_79lWWEtic/edit?resourcekey=&amp;gid=2087212010#gid=2087212010"",""Form Responses 1!B2:B104""),0),1), 0)"),0.0)</f>
        <v>0</v>
      </c>
      <c r="AH102" s="75">
        <f>IFERROR(__xludf.DUMMYFUNCTION("IFERROR(IF(Match(L102,IMPORTRANGE(""https://docs.google.com/spreadsheets/d/1HbfCXhSXbtTODKKY1MOFwJccyhgDKD0J9sO1k5l_6lM/edit?resourcekey=&amp;gid=1616384832#gid=1616384832"",""Form Responses 1!E2:E143""),0),1), 0)"),0.0)</f>
        <v>0</v>
      </c>
    </row>
    <row r="103" ht="22.5" customHeight="1">
      <c r="A103" s="102">
        <v>45917.66561668982</v>
      </c>
      <c r="B103" s="103" t="s">
        <v>223</v>
      </c>
      <c r="C103" s="103" t="s">
        <v>741</v>
      </c>
      <c r="D103" s="103" t="s">
        <v>506</v>
      </c>
      <c r="E103" s="103" t="s">
        <v>578</v>
      </c>
      <c r="F103" s="103" t="s">
        <v>436</v>
      </c>
      <c r="G103" s="103" t="s">
        <v>669</v>
      </c>
      <c r="H103" s="103" t="s">
        <v>742</v>
      </c>
      <c r="I103" s="96"/>
      <c r="J103" s="7"/>
      <c r="K103" s="16" t="s">
        <v>236</v>
      </c>
      <c r="L103" s="16" t="s">
        <v>237</v>
      </c>
      <c r="M103" s="16" t="s">
        <v>224</v>
      </c>
      <c r="N103" s="17" t="s">
        <v>28</v>
      </c>
      <c r="O103" s="16" t="s">
        <v>29</v>
      </c>
      <c r="P103" s="24">
        <v>18.0</v>
      </c>
      <c r="Q103" s="16" t="s">
        <v>485</v>
      </c>
      <c r="R103" s="97">
        <f t="shared" si="41"/>
        <v>1</v>
      </c>
      <c r="S103" s="97">
        <f t="shared" si="64"/>
        <v>1</v>
      </c>
      <c r="T103" s="98">
        <f t="shared" si="62"/>
        <v>1</v>
      </c>
      <c r="U103" s="99">
        <f>IFERROR(__xludf.DUMMYFUNCTION("IFERROR(IF(Match(L103,IMPORTRANGE(""https://docs.google.com/spreadsheets/d/1CAXKDiOnZb21bZOY_nacH9xI9AiD-nH8ZZQAwYKkVC0/edit?usp=drivesdk"",""Completed Exams!A1:A135""),0),1), 0)"),0.0)</f>
        <v>0</v>
      </c>
      <c r="V103" s="100">
        <f t="shared" si="66"/>
        <v>1</v>
      </c>
      <c r="W103" s="100">
        <f t="shared" si="67"/>
        <v>0</v>
      </c>
      <c r="X103" s="100">
        <v>0.5</v>
      </c>
      <c r="Y103" s="101">
        <f t="shared" si="58"/>
        <v>1</v>
      </c>
      <c r="Z103" s="101">
        <f t="shared" si="36"/>
        <v>1</v>
      </c>
      <c r="AA103" s="101">
        <f t="shared" si="68"/>
        <v>1</v>
      </c>
      <c r="AB103" s="101">
        <f>IFERROR(__xludf.DUMMYFUNCTION("IFERROR(IF(Match(L103,IMPORTRANGE(""https://docs.google.com/spreadsheets/d/1n1sT_Q_W3mKmn2Yrd8qcNzuRD4zr4DB9gqARnjQ30B4/edit?gid=1918970062#gid=1918970062"",""Form Responses 1!B2:B49""),0),1), 0)"),0.0)</f>
        <v>0</v>
      </c>
      <c r="AC103" s="101">
        <f t="shared" si="54"/>
        <v>1</v>
      </c>
      <c r="AD103" s="100">
        <v>1.0</v>
      </c>
      <c r="AE103" s="101">
        <f>IFERROR(__xludf.DUMMYFUNCTION("IFERROR(IF(Match(L103,IMPORTRANGE(""https://docs.google.com/spreadsheets/d/1hvckjcCpxEuDQDPrBMml_I1kBhYyjrgR8qBKC9QGVUc/edit?resourcekey=&amp;gid=230793720#gid=230793720"",""Form Responses 1!B2:B199""),0),1), 0)"),0.0)</f>
        <v>0</v>
      </c>
      <c r="AF103" s="75">
        <f>IFERROR(__xludf.DUMMYFUNCTION("IFERROR(IF(Match(L103,IMPORTRANGE(""https://docs.google.com/spreadsheets/d/1UY0hI2S83Fmafa5P-C1LM9yqe4v4qIKTnVy_CzLzRPs/edit?resourcekey=&amp;gid=1583835601#gid=1583835601"",""Form Responses 1!B2:B194""),0),1), 0)"),0.0)</f>
        <v>0</v>
      </c>
      <c r="AG103" s="75">
        <f>IFERROR(__xludf.DUMMYFUNCTION("IFERROR(IF(Match(L103,IMPORTRANGE(""https://docs.google.com/spreadsheets/d/1hO4mQ22n6cudUygJ2ss_JeJdm2Ua_7hJl_79lWWEtic/edit?resourcekey=&amp;gid=2087212010#gid=2087212010"",""Form Responses 1!B2:B104""),0),1), 0)"),0.0)</f>
        <v>0</v>
      </c>
      <c r="AH103" s="75">
        <f>IFERROR(__xludf.DUMMYFUNCTION("IFERROR(IF(Match(L103,IMPORTRANGE(""https://docs.google.com/spreadsheets/d/1HbfCXhSXbtTODKKY1MOFwJccyhgDKD0J9sO1k5l_6lM/edit?resourcekey=&amp;gid=1616384832#gid=1616384832"",""Form Responses 1!E2:E143""),0),1), 0)"),0.0)</f>
        <v>0</v>
      </c>
    </row>
    <row r="104" ht="22.5" customHeight="1">
      <c r="A104" s="102">
        <v>45917.66562043982</v>
      </c>
      <c r="B104" s="103" t="s">
        <v>33</v>
      </c>
      <c r="C104" s="103" t="s">
        <v>743</v>
      </c>
      <c r="D104" s="103" t="s">
        <v>458</v>
      </c>
      <c r="E104" s="103" t="s">
        <v>578</v>
      </c>
      <c r="F104" s="103" t="s">
        <v>436</v>
      </c>
      <c r="G104" s="103" t="s">
        <v>335</v>
      </c>
      <c r="H104" s="103" t="s">
        <v>744</v>
      </c>
      <c r="I104" s="96"/>
      <c r="J104" s="7"/>
      <c r="K104" s="7" t="s">
        <v>238</v>
      </c>
      <c r="L104" s="7" t="s">
        <v>239</v>
      </c>
      <c r="M104" s="7" t="s">
        <v>240</v>
      </c>
      <c r="N104" s="8" t="s">
        <v>24</v>
      </c>
      <c r="O104" s="7" t="s">
        <v>93</v>
      </c>
      <c r="P104" s="49">
        <v>19.0</v>
      </c>
      <c r="Q104" s="7" t="s">
        <v>456</v>
      </c>
      <c r="R104" s="104">
        <v>0.5</v>
      </c>
      <c r="S104" s="97">
        <f t="shared" si="64"/>
        <v>0</v>
      </c>
      <c r="T104" s="98">
        <f t="shared" si="62"/>
        <v>0</v>
      </c>
      <c r="U104" s="99">
        <f>IFERROR(__xludf.DUMMYFUNCTION("IFERROR(IF(Match(L104,IMPORTRANGE(""https://docs.google.com/spreadsheets/d/1CAXKDiOnZb21bZOY_nacH9xI9AiD-nH8ZZQAwYKkVC0/edit?usp=drivesdk"",""Completed Exams!A1:A135""),0),1), 0)"),0.0)</f>
        <v>0</v>
      </c>
      <c r="V104" s="100">
        <f t="shared" si="66"/>
        <v>0</v>
      </c>
      <c r="W104" s="100">
        <f t="shared" si="67"/>
        <v>0</v>
      </c>
      <c r="X104" s="101">
        <f t="shared" ref="X104:X105" si="69">IF(COUNTIF(B$603:B$725,L104)=0,0,1)</f>
        <v>0</v>
      </c>
      <c r="Y104" s="101">
        <f t="shared" si="58"/>
        <v>0</v>
      </c>
      <c r="Z104" s="101">
        <f t="shared" si="36"/>
        <v>0</v>
      </c>
      <c r="AA104" s="101">
        <f t="shared" si="68"/>
        <v>1</v>
      </c>
      <c r="AB104" s="100">
        <v>1.0</v>
      </c>
      <c r="AC104" s="101">
        <f t="shared" si="54"/>
        <v>1</v>
      </c>
      <c r="AD104" s="100">
        <v>1.0</v>
      </c>
      <c r="AE104" s="101">
        <f>IFERROR(__xludf.DUMMYFUNCTION("IFERROR(IF(Match(L104,IMPORTRANGE(""https://docs.google.com/spreadsheets/d/1hvckjcCpxEuDQDPrBMml_I1kBhYyjrgR8qBKC9QGVUc/edit?resourcekey=&amp;gid=230793720#gid=230793720"",""Form Responses 1!B2:B199""),0),1), 0)"),0.0)</f>
        <v>0</v>
      </c>
      <c r="AF104" s="75">
        <f>IFERROR(__xludf.DUMMYFUNCTION("IFERROR(IF(Match(L104,IMPORTRANGE(""https://docs.google.com/spreadsheets/d/1UY0hI2S83Fmafa5P-C1LM9yqe4v4qIKTnVy_CzLzRPs/edit?resourcekey=&amp;gid=1583835601#gid=1583835601"",""Form Responses 1!B2:B194""),0),1), 0)"),0.0)</f>
        <v>0</v>
      </c>
      <c r="AG104" s="75">
        <f>IFERROR(__xludf.DUMMYFUNCTION("IFERROR(IF(Match(L104,IMPORTRANGE(""https://docs.google.com/spreadsheets/d/1hO4mQ22n6cudUygJ2ss_JeJdm2Ua_7hJl_79lWWEtic/edit?resourcekey=&amp;gid=2087212010#gid=2087212010"",""Form Responses 1!B2:B104""),0),1), 0)"),0.0)</f>
        <v>0</v>
      </c>
      <c r="AH104" s="75">
        <f>IFERROR(__xludf.DUMMYFUNCTION("IFERROR(IF(Match(L104,IMPORTRANGE(""https://docs.google.com/spreadsheets/d/1HbfCXhSXbtTODKKY1MOFwJccyhgDKD0J9sO1k5l_6lM/edit?resourcekey=&amp;gid=1616384832#gid=1616384832"",""Form Responses 1!E2:E143""),0),1), 0)"),0.0)</f>
        <v>0</v>
      </c>
    </row>
    <row r="105" ht="22.5" customHeight="1">
      <c r="A105" s="102">
        <v>45917.66562300926</v>
      </c>
      <c r="B105" s="103" t="s">
        <v>204</v>
      </c>
      <c r="C105" s="103" t="s">
        <v>745</v>
      </c>
      <c r="D105" s="103" t="s">
        <v>689</v>
      </c>
      <c r="E105" s="103" t="s">
        <v>578</v>
      </c>
      <c r="F105" s="103" t="s">
        <v>436</v>
      </c>
      <c r="G105" s="103" t="s">
        <v>198</v>
      </c>
      <c r="H105" s="103" t="s">
        <v>746</v>
      </c>
      <c r="I105" s="96"/>
      <c r="J105" s="7"/>
      <c r="K105" s="7" t="s">
        <v>241</v>
      </c>
      <c r="L105" s="7" t="s">
        <v>242</v>
      </c>
      <c r="M105" s="7" t="s">
        <v>240</v>
      </c>
      <c r="N105" s="68" t="s">
        <v>28</v>
      </c>
      <c r="O105" s="7" t="s">
        <v>29</v>
      </c>
      <c r="P105" s="49">
        <v>19.0</v>
      </c>
      <c r="Q105" s="7" t="s">
        <v>456</v>
      </c>
      <c r="R105" s="97">
        <f t="shared" ref="R105:R107" si="70">IF(COUNTIF(B$2:B$149,L105)=0,0,1)</f>
        <v>1</v>
      </c>
      <c r="S105" s="97">
        <f t="shared" si="64"/>
        <v>1</v>
      </c>
      <c r="T105" s="98">
        <f t="shared" si="62"/>
        <v>1</v>
      </c>
      <c r="U105" s="99">
        <f>IFERROR(__xludf.DUMMYFUNCTION("IFERROR(IF(Match(L105,IMPORTRANGE(""https://docs.google.com/spreadsheets/d/1CAXKDiOnZb21bZOY_nacH9xI9AiD-nH8ZZQAwYKkVC0/edit?usp=drivesdk"",""Completed Exams!A1:A135""),0),1), 0)"),0.0)</f>
        <v>0</v>
      </c>
      <c r="V105" s="100">
        <f t="shared" si="66"/>
        <v>1</v>
      </c>
      <c r="W105" s="100">
        <v>1.0</v>
      </c>
      <c r="X105" s="101">
        <f t="shared" si="69"/>
        <v>0</v>
      </c>
      <c r="Y105" s="101">
        <f t="shared" si="58"/>
        <v>1</v>
      </c>
      <c r="Z105" s="101">
        <f t="shared" si="36"/>
        <v>1</v>
      </c>
      <c r="AA105" s="101">
        <f t="shared" si="68"/>
        <v>1</v>
      </c>
      <c r="AB105" s="101">
        <f>IFERROR(__xludf.DUMMYFUNCTION("IFERROR(IF(Match(L105,IMPORTRANGE(""https://docs.google.com/spreadsheets/d/1n1sT_Q_W3mKmn2Yrd8qcNzuRD4zr4DB9gqARnjQ30B4/edit?gid=1918970062#gid=1918970062"",""Form Responses 1!B2:B49""),0),1), 0)"),0.0)</f>
        <v>0</v>
      </c>
      <c r="AC105" s="101">
        <f t="shared" si="54"/>
        <v>1</v>
      </c>
      <c r="AD105" s="100">
        <v>1.0</v>
      </c>
      <c r="AE105" s="101">
        <f>IFERROR(__xludf.DUMMYFUNCTION("IFERROR(IF(Match(L105,IMPORTRANGE(""https://docs.google.com/spreadsheets/d/1hvckjcCpxEuDQDPrBMml_I1kBhYyjrgR8qBKC9QGVUc/edit?resourcekey=&amp;gid=230793720#gid=230793720"",""Form Responses 1!B2:B199""),0),1), 0)"),0.0)</f>
        <v>0</v>
      </c>
      <c r="AF105" s="75">
        <f>IFERROR(__xludf.DUMMYFUNCTION("IFERROR(IF(Match(L105,IMPORTRANGE(""https://docs.google.com/spreadsheets/d/1UY0hI2S83Fmafa5P-C1LM9yqe4v4qIKTnVy_CzLzRPs/edit?resourcekey=&amp;gid=1583835601#gid=1583835601"",""Form Responses 1!B2:B194""),0),1), 0)"),0.0)</f>
        <v>0</v>
      </c>
      <c r="AG105" s="75">
        <f>IFERROR(__xludf.DUMMYFUNCTION("IFERROR(IF(Match(L105,IMPORTRANGE(""https://docs.google.com/spreadsheets/d/1hO4mQ22n6cudUygJ2ss_JeJdm2Ua_7hJl_79lWWEtic/edit?resourcekey=&amp;gid=2087212010#gid=2087212010"",""Form Responses 1!B2:B104""),0),1), 0)"),0.0)</f>
        <v>0</v>
      </c>
      <c r="AH105" s="75">
        <f>IFERROR(__xludf.DUMMYFUNCTION("IFERROR(IF(Match(L105,IMPORTRANGE(""https://docs.google.com/spreadsheets/d/1HbfCXhSXbtTODKKY1MOFwJccyhgDKD0J9sO1k5l_6lM/edit?resourcekey=&amp;gid=1616384832#gid=1616384832"",""Form Responses 1!E2:E143""),0),1), 0)"),0.0)</f>
        <v>0</v>
      </c>
    </row>
    <row r="106" ht="22.5" customHeight="1">
      <c r="A106" s="102">
        <v>45917.665654537035</v>
      </c>
      <c r="B106" s="103" t="s">
        <v>40</v>
      </c>
      <c r="C106" s="103" t="s">
        <v>747</v>
      </c>
      <c r="D106" s="103" t="s">
        <v>748</v>
      </c>
      <c r="E106" s="103" t="s">
        <v>420</v>
      </c>
      <c r="F106" s="103" t="s">
        <v>436</v>
      </c>
      <c r="G106" s="103" t="s">
        <v>38</v>
      </c>
      <c r="H106" s="103" t="s">
        <v>749</v>
      </c>
      <c r="I106" s="96"/>
      <c r="J106" s="7"/>
      <c r="K106" s="7" t="s">
        <v>243</v>
      </c>
      <c r="L106" s="7" t="s">
        <v>244</v>
      </c>
      <c r="M106" s="7" t="s">
        <v>240</v>
      </c>
      <c r="N106" s="32" t="s">
        <v>24</v>
      </c>
      <c r="O106" s="7" t="s">
        <v>93</v>
      </c>
      <c r="P106" s="49">
        <v>19.0</v>
      </c>
      <c r="Q106" s="22" t="s">
        <v>750</v>
      </c>
      <c r="R106" s="97">
        <f t="shared" si="70"/>
        <v>0</v>
      </c>
      <c r="S106" s="97">
        <f t="shared" si="64"/>
        <v>0</v>
      </c>
      <c r="T106" s="98">
        <f t="shared" si="62"/>
        <v>1</v>
      </c>
      <c r="U106" s="99">
        <f>IFERROR(__xludf.DUMMYFUNCTION("IFERROR(IF(Match(L106,IMPORTRANGE(""https://docs.google.com/spreadsheets/d/1CAXKDiOnZb21bZOY_nacH9xI9AiD-nH8ZZQAwYKkVC0/edit?usp=drivesdk"",""Completed Exams!A1:A135""),0),1), 0)"),0.0)</f>
        <v>0</v>
      </c>
      <c r="V106" s="100">
        <f t="shared" si="66"/>
        <v>0</v>
      </c>
      <c r="W106" s="100">
        <f t="shared" ref="W106:W109" si="71">IF(COUNTIF(B$535:B$602,L106)=0,0,1)</f>
        <v>1</v>
      </c>
      <c r="X106" s="100">
        <v>0.5</v>
      </c>
      <c r="Y106" s="101">
        <f t="shared" si="58"/>
        <v>0</v>
      </c>
      <c r="Z106" s="101">
        <f t="shared" si="36"/>
        <v>1</v>
      </c>
      <c r="AA106" s="101">
        <f t="shared" si="68"/>
        <v>1</v>
      </c>
      <c r="AB106" s="100">
        <v>1.0</v>
      </c>
      <c r="AC106" s="101">
        <f t="shared" si="54"/>
        <v>1</v>
      </c>
      <c r="AD106" s="100">
        <v>1.0</v>
      </c>
      <c r="AE106" s="101">
        <f>IFERROR(__xludf.DUMMYFUNCTION("IFERROR(IF(Match(L106,IMPORTRANGE(""https://docs.google.com/spreadsheets/d/1hvckjcCpxEuDQDPrBMml_I1kBhYyjrgR8qBKC9QGVUc/edit?resourcekey=&amp;gid=230793720#gid=230793720"",""Form Responses 1!B2:B199""),0),1), 0)"),0.0)</f>
        <v>0</v>
      </c>
      <c r="AF106" s="75">
        <f>IFERROR(__xludf.DUMMYFUNCTION("IFERROR(IF(Match(L106,IMPORTRANGE(""https://docs.google.com/spreadsheets/d/1UY0hI2S83Fmafa5P-C1LM9yqe4v4qIKTnVy_CzLzRPs/edit?resourcekey=&amp;gid=1583835601#gid=1583835601"",""Form Responses 1!B2:B194""),0),1), 0)"),0.0)</f>
        <v>0</v>
      </c>
      <c r="AG106" s="75">
        <f>IFERROR(__xludf.DUMMYFUNCTION("IFERROR(IF(Match(L106,IMPORTRANGE(""https://docs.google.com/spreadsheets/d/1hO4mQ22n6cudUygJ2ss_JeJdm2Ua_7hJl_79lWWEtic/edit?resourcekey=&amp;gid=2087212010#gid=2087212010"",""Form Responses 1!B2:B104""),0),1), 0)"),0.0)</f>
        <v>0</v>
      </c>
      <c r="AH106" s="75">
        <f>IFERROR(__xludf.DUMMYFUNCTION("IFERROR(IF(Match(L106,IMPORTRANGE(""https://docs.google.com/spreadsheets/d/1HbfCXhSXbtTODKKY1MOFwJccyhgDKD0J9sO1k5l_6lM/edit?resourcekey=&amp;gid=1616384832#gid=1616384832"",""Form Responses 1!E2:E143""),0),1), 0)"),0.0)</f>
        <v>0</v>
      </c>
    </row>
    <row r="107" ht="22.5" customHeight="1">
      <c r="A107" s="102">
        <v>45917.66566429398</v>
      </c>
      <c r="B107" s="103" t="s">
        <v>398</v>
      </c>
      <c r="C107" s="103" t="s">
        <v>751</v>
      </c>
      <c r="D107" s="103" t="s">
        <v>752</v>
      </c>
      <c r="E107" s="103" t="s">
        <v>494</v>
      </c>
      <c r="F107" s="103" t="s">
        <v>436</v>
      </c>
      <c r="G107" s="103" t="s">
        <v>568</v>
      </c>
      <c r="H107" s="103" t="s">
        <v>753</v>
      </c>
      <c r="I107" s="96"/>
      <c r="J107" s="7"/>
      <c r="K107" s="7" t="s">
        <v>245</v>
      </c>
      <c r="L107" s="7" t="s">
        <v>246</v>
      </c>
      <c r="M107" s="7" t="s">
        <v>240</v>
      </c>
      <c r="N107" s="69" t="s">
        <v>24</v>
      </c>
      <c r="O107" s="13" t="s">
        <v>29</v>
      </c>
      <c r="P107" s="49">
        <v>19.0</v>
      </c>
      <c r="Q107" s="14"/>
      <c r="R107" s="97">
        <f t="shared" si="70"/>
        <v>1</v>
      </c>
      <c r="S107" s="97">
        <f t="shared" si="64"/>
        <v>1</v>
      </c>
      <c r="T107" s="98">
        <f t="shared" si="62"/>
        <v>1</v>
      </c>
      <c r="U107" s="98">
        <v>1.0</v>
      </c>
      <c r="V107" s="100">
        <f t="shared" si="66"/>
        <v>1</v>
      </c>
      <c r="W107" s="100">
        <f t="shared" si="71"/>
        <v>0</v>
      </c>
      <c r="X107" s="101">
        <f t="shared" ref="X107:X110" si="72">IF(COUNTIF(B$603:B$725,L107)=0,0,1)</f>
        <v>1</v>
      </c>
      <c r="Y107" s="100">
        <v>0.5</v>
      </c>
      <c r="Z107" s="101">
        <f t="shared" si="36"/>
        <v>1</v>
      </c>
      <c r="AA107" s="101">
        <f t="shared" si="68"/>
        <v>1</v>
      </c>
      <c r="AB107" s="101">
        <f>IFERROR(__xludf.DUMMYFUNCTION("IFERROR(IF(Match(L107,IMPORTRANGE(""https://docs.google.com/spreadsheets/d/1n1sT_Q_W3mKmn2Yrd8qcNzuRD4zr4DB9gqARnjQ30B4/edit?gid=1918970062#gid=1918970062"",""Form Responses 1!B2:B49""),0),1), 0)"),0.0)</f>
        <v>0</v>
      </c>
      <c r="AC107" s="101">
        <f t="shared" si="54"/>
        <v>1</v>
      </c>
      <c r="AD107" s="100">
        <v>1.0</v>
      </c>
      <c r="AE107" s="101">
        <f>IFERROR(__xludf.DUMMYFUNCTION("IFERROR(IF(Match(L107,IMPORTRANGE(""https://docs.google.com/spreadsheets/d/1hvckjcCpxEuDQDPrBMml_I1kBhYyjrgR8qBKC9QGVUc/edit?resourcekey=&amp;gid=230793720#gid=230793720"",""Form Responses 1!B2:B199""),0),1), 0)"),0.0)</f>
        <v>0</v>
      </c>
      <c r="AF107" s="75">
        <f>IFERROR(__xludf.DUMMYFUNCTION("IFERROR(IF(Match(L107,IMPORTRANGE(""https://docs.google.com/spreadsheets/d/1UY0hI2S83Fmafa5P-C1LM9yqe4v4qIKTnVy_CzLzRPs/edit?resourcekey=&amp;gid=1583835601#gid=1583835601"",""Form Responses 1!B2:B194""),0),1), 0)"),0.0)</f>
        <v>0</v>
      </c>
      <c r="AG107" s="75">
        <f>IFERROR(__xludf.DUMMYFUNCTION("IFERROR(IF(Match(L107,IMPORTRANGE(""https://docs.google.com/spreadsheets/d/1hO4mQ22n6cudUygJ2ss_JeJdm2Ua_7hJl_79lWWEtic/edit?resourcekey=&amp;gid=2087212010#gid=2087212010"",""Form Responses 1!B2:B104""),0),1), 0)"),0.0)</f>
        <v>0</v>
      </c>
      <c r="AH107" s="75">
        <f>IFERROR(__xludf.DUMMYFUNCTION("IFERROR(IF(Match(L107,IMPORTRANGE(""https://docs.google.com/spreadsheets/d/1HbfCXhSXbtTODKKY1MOFwJccyhgDKD0J9sO1k5l_6lM/edit?resourcekey=&amp;gid=1616384832#gid=1616384832"",""Form Responses 1!E2:E143""),0),1), 0)"),0.0)</f>
        <v>0</v>
      </c>
    </row>
    <row r="108" ht="22.5" customHeight="1">
      <c r="A108" s="102">
        <v>45917.66567553241</v>
      </c>
      <c r="B108" s="103" t="s">
        <v>20</v>
      </c>
      <c r="C108" s="103" t="s">
        <v>754</v>
      </c>
      <c r="D108" s="103" t="s">
        <v>755</v>
      </c>
      <c r="E108" s="103" t="s">
        <v>420</v>
      </c>
      <c r="F108" s="103" t="s">
        <v>436</v>
      </c>
      <c r="G108" s="103" t="s">
        <v>137</v>
      </c>
      <c r="H108" s="103" t="s">
        <v>756</v>
      </c>
      <c r="I108" s="96"/>
      <c r="J108" s="7"/>
      <c r="K108" s="7" t="s">
        <v>247</v>
      </c>
      <c r="L108" s="7" t="s">
        <v>248</v>
      </c>
      <c r="M108" s="7" t="s">
        <v>240</v>
      </c>
      <c r="N108" s="8" t="s">
        <v>24</v>
      </c>
      <c r="O108" s="7" t="s">
        <v>93</v>
      </c>
      <c r="P108" s="49">
        <v>19.0</v>
      </c>
      <c r="Q108" s="7" t="s">
        <v>456</v>
      </c>
      <c r="R108" s="104">
        <v>0.5</v>
      </c>
      <c r="S108" s="104">
        <v>0.5</v>
      </c>
      <c r="T108" s="98">
        <f t="shared" si="62"/>
        <v>0</v>
      </c>
      <c r="U108" s="99">
        <f>IFERROR(__xludf.DUMMYFUNCTION("IFERROR(IF(Match(L108,IMPORTRANGE(""https://docs.google.com/spreadsheets/d/1CAXKDiOnZb21bZOY_nacH9xI9AiD-nH8ZZQAwYKkVC0/edit?usp=drivesdk"",""Completed Exams!A1:A135""),0),1), 0)"),0.0)</f>
        <v>0</v>
      </c>
      <c r="V108" s="100">
        <f t="shared" si="66"/>
        <v>0</v>
      </c>
      <c r="W108" s="100">
        <f t="shared" si="71"/>
        <v>0</v>
      </c>
      <c r="X108" s="101">
        <f t="shared" si="72"/>
        <v>0</v>
      </c>
      <c r="Y108" s="101">
        <f t="shared" ref="Y108:Y110" si="73">IF(COUNTIF(B$725:B$844,L108)=0,0,1)</f>
        <v>0</v>
      </c>
      <c r="Z108" s="101">
        <f t="shared" si="36"/>
        <v>0</v>
      </c>
      <c r="AA108" s="101">
        <f t="shared" si="68"/>
        <v>1</v>
      </c>
      <c r="AB108" s="100">
        <v>1.0</v>
      </c>
      <c r="AC108" s="101">
        <f t="shared" si="54"/>
        <v>1</v>
      </c>
      <c r="AD108" s="100">
        <v>1.0</v>
      </c>
      <c r="AE108" s="101">
        <f>IFERROR(__xludf.DUMMYFUNCTION("IFERROR(IF(Match(L108,IMPORTRANGE(""https://docs.google.com/spreadsheets/d/1hvckjcCpxEuDQDPrBMml_I1kBhYyjrgR8qBKC9QGVUc/edit?resourcekey=&amp;gid=230793720#gid=230793720"",""Form Responses 1!B2:B199""),0),1), 0)"),0.0)</f>
        <v>0</v>
      </c>
      <c r="AF108" s="75">
        <f>IFERROR(__xludf.DUMMYFUNCTION("IFERROR(IF(Match(L108,IMPORTRANGE(""https://docs.google.com/spreadsheets/d/1UY0hI2S83Fmafa5P-C1LM9yqe4v4qIKTnVy_CzLzRPs/edit?resourcekey=&amp;gid=1583835601#gid=1583835601"",""Form Responses 1!B2:B194""),0),1), 0)"),0.0)</f>
        <v>0</v>
      </c>
      <c r="AG108" s="75">
        <f>IFERROR(__xludf.DUMMYFUNCTION("IFERROR(IF(Match(L108,IMPORTRANGE(""https://docs.google.com/spreadsheets/d/1hO4mQ22n6cudUygJ2ss_JeJdm2Ua_7hJl_79lWWEtic/edit?resourcekey=&amp;gid=2087212010#gid=2087212010"",""Form Responses 1!B2:B104""),0),1), 0)"),0.0)</f>
        <v>0</v>
      </c>
      <c r="AH108" s="75">
        <f>IFERROR(__xludf.DUMMYFUNCTION("IFERROR(IF(Match(L108,IMPORTRANGE(""https://docs.google.com/spreadsheets/d/1HbfCXhSXbtTODKKY1MOFwJccyhgDKD0J9sO1k5l_6lM/edit?resourcekey=&amp;gid=1616384832#gid=1616384832"",""Form Responses 1!E2:E143""),0),1), 0)"),0.0)</f>
        <v>0</v>
      </c>
    </row>
    <row r="109" ht="22.5" customHeight="1">
      <c r="A109" s="102">
        <v>45917.665686990746</v>
      </c>
      <c r="B109" s="103" t="s">
        <v>367</v>
      </c>
      <c r="C109" s="103" t="s">
        <v>757</v>
      </c>
      <c r="D109" s="103" t="s">
        <v>758</v>
      </c>
      <c r="E109" s="103" t="s">
        <v>420</v>
      </c>
      <c r="F109" s="103" t="s">
        <v>436</v>
      </c>
      <c r="G109" s="103" t="s">
        <v>759</v>
      </c>
      <c r="H109" s="103" t="s">
        <v>760</v>
      </c>
      <c r="I109" s="96"/>
      <c r="J109" s="7"/>
      <c r="K109" s="7" t="s">
        <v>249</v>
      </c>
      <c r="L109" s="7" t="s">
        <v>250</v>
      </c>
      <c r="M109" s="7" t="s">
        <v>240</v>
      </c>
      <c r="N109" s="8" t="s">
        <v>24</v>
      </c>
      <c r="O109" s="7" t="s">
        <v>93</v>
      </c>
      <c r="P109" s="49">
        <v>19.0</v>
      </c>
      <c r="Q109" s="7" t="s">
        <v>456</v>
      </c>
      <c r="R109" s="104">
        <v>0.5</v>
      </c>
      <c r="S109" s="104">
        <v>0.5</v>
      </c>
      <c r="T109" s="98">
        <f t="shared" si="62"/>
        <v>0</v>
      </c>
      <c r="U109" s="99">
        <f>IFERROR(__xludf.DUMMYFUNCTION("IFERROR(IF(Match(L109,IMPORTRANGE(""https://docs.google.com/spreadsheets/d/1CAXKDiOnZb21bZOY_nacH9xI9AiD-nH8ZZQAwYKkVC0/edit?usp=drivesdk"",""Completed Exams!A1:A135""),0),1), 0)"),0.0)</f>
        <v>0</v>
      </c>
      <c r="V109" s="100">
        <f t="shared" si="66"/>
        <v>0</v>
      </c>
      <c r="W109" s="100">
        <f t="shared" si="71"/>
        <v>0</v>
      </c>
      <c r="X109" s="101">
        <f t="shared" si="72"/>
        <v>0</v>
      </c>
      <c r="Y109" s="101">
        <f t="shared" si="73"/>
        <v>0</v>
      </c>
      <c r="Z109" s="101">
        <f t="shared" si="36"/>
        <v>0</v>
      </c>
      <c r="AA109" s="101">
        <f t="shared" si="68"/>
        <v>1</v>
      </c>
      <c r="AB109" s="100">
        <v>1.0</v>
      </c>
      <c r="AC109" s="101">
        <f t="shared" si="54"/>
        <v>1</v>
      </c>
      <c r="AD109" s="100">
        <v>1.0</v>
      </c>
      <c r="AE109" s="101">
        <f>IFERROR(__xludf.DUMMYFUNCTION("IFERROR(IF(Match(L109,IMPORTRANGE(""https://docs.google.com/spreadsheets/d/1hvckjcCpxEuDQDPrBMml_I1kBhYyjrgR8qBKC9QGVUc/edit?resourcekey=&amp;gid=230793720#gid=230793720"",""Form Responses 1!B2:B199""),0),1), 0)"),0.0)</f>
        <v>0</v>
      </c>
      <c r="AF109" s="75">
        <f>IFERROR(__xludf.DUMMYFUNCTION("IFERROR(IF(Match(L109,IMPORTRANGE(""https://docs.google.com/spreadsheets/d/1UY0hI2S83Fmafa5P-C1LM9yqe4v4qIKTnVy_CzLzRPs/edit?resourcekey=&amp;gid=1583835601#gid=1583835601"",""Form Responses 1!B2:B194""),0),1), 0)"),0.0)</f>
        <v>0</v>
      </c>
      <c r="AG109" s="75">
        <f>IFERROR(__xludf.DUMMYFUNCTION("IFERROR(IF(Match(L109,IMPORTRANGE(""https://docs.google.com/spreadsheets/d/1hO4mQ22n6cudUygJ2ss_JeJdm2Ua_7hJl_79lWWEtic/edit?resourcekey=&amp;gid=2087212010#gid=2087212010"",""Form Responses 1!B2:B104""),0),1), 0)"),0.0)</f>
        <v>0</v>
      </c>
      <c r="AH109" s="75">
        <f>IFERROR(__xludf.DUMMYFUNCTION("IFERROR(IF(Match(L109,IMPORTRANGE(""https://docs.google.com/spreadsheets/d/1HbfCXhSXbtTODKKY1MOFwJccyhgDKD0J9sO1k5l_6lM/edit?resourcekey=&amp;gid=1616384832#gid=1616384832"",""Form Responses 1!E2:E143""),0),1), 0)"),0.0)</f>
        <v>0</v>
      </c>
    </row>
    <row r="110" ht="22.5" customHeight="1">
      <c r="A110" s="102">
        <v>45917.665775914356</v>
      </c>
      <c r="B110" s="103" t="s">
        <v>61</v>
      </c>
      <c r="C110" s="103" t="s">
        <v>741</v>
      </c>
      <c r="D110" s="103" t="s">
        <v>761</v>
      </c>
      <c r="E110" s="103" t="s">
        <v>450</v>
      </c>
      <c r="F110" s="103" t="s">
        <v>436</v>
      </c>
      <c r="G110" s="103" t="s">
        <v>762</v>
      </c>
      <c r="H110" s="103" t="s">
        <v>763</v>
      </c>
      <c r="I110" s="96"/>
      <c r="J110" s="7"/>
      <c r="K110" s="16" t="s">
        <v>251</v>
      </c>
      <c r="L110" s="16" t="s">
        <v>252</v>
      </c>
      <c r="M110" s="16" t="s">
        <v>240</v>
      </c>
      <c r="N110" s="17" t="s">
        <v>28</v>
      </c>
      <c r="O110" s="16" t="s">
        <v>29</v>
      </c>
      <c r="P110" s="50">
        <v>19.0</v>
      </c>
      <c r="Q110" s="16" t="s">
        <v>456</v>
      </c>
      <c r="R110" s="97">
        <f t="shared" ref="R110:R115" si="74">IF(COUNTIF(B$2:B$149,L110)=0,0,1)</f>
        <v>1</v>
      </c>
      <c r="S110" s="97">
        <f t="shared" ref="S110:S122" si="75">IF(COUNTIF(B$150:B$274,L110)=0,0,1)</f>
        <v>1</v>
      </c>
      <c r="T110" s="98">
        <f t="shared" si="62"/>
        <v>1</v>
      </c>
      <c r="U110" s="99">
        <f>IFERROR(__xludf.DUMMYFUNCTION("IFERROR(IF(Match(L110,IMPORTRANGE(""https://docs.google.com/spreadsheets/d/1CAXKDiOnZb21bZOY_nacH9xI9AiD-nH8ZZQAwYKkVC0/edit?usp=drivesdk"",""Completed Exams!A1:A135""),0),1), 0)"),0.0)</f>
        <v>0</v>
      </c>
      <c r="V110" s="100">
        <f t="shared" si="66"/>
        <v>1</v>
      </c>
      <c r="W110" s="100">
        <v>1.0</v>
      </c>
      <c r="X110" s="101">
        <f t="shared" si="72"/>
        <v>1</v>
      </c>
      <c r="Y110" s="101">
        <f t="shared" si="73"/>
        <v>1</v>
      </c>
      <c r="Z110" s="101">
        <f t="shared" si="36"/>
        <v>1</v>
      </c>
      <c r="AA110" s="101">
        <f t="shared" si="68"/>
        <v>1</v>
      </c>
      <c r="AB110" s="101">
        <f>IFERROR(__xludf.DUMMYFUNCTION("IFERROR(IF(Match(L110,IMPORTRANGE(""https://docs.google.com/spreadsheets/d/1n1sT_Q_W3mKmn2Yrd8qcNzuRD4zr4DB9gqARnjQ30B4/edit?gid=1918970062#gid=1918970062"",""Form Responses 1!B2:B49""),0),1), 0)"),0.0)</f>
        <v>0</v>
      </c>
      <c r="AC110" s="101">
        <f t="shared" si="54"/>
        <v>1</v>
      </c>
      <c r="AD110" s="100">
        <v>1.0</v>
      </c>
      <c r="AE110" s="101">
        <f>IFERROR(__xludf.DUMMYFUNCTION("IFERROR(IF(Match(L110,IMPORTRANGE(""https://docs.google.com/spreadsheets/d/1hvckjcCpxEuDQDPrBMml_I1kBhYyjrgR8qBKC9QGVUc/edit?resourcekey=&amp;gid=230793720#gid=230793720"",""Form Responses 1!B2:B199""),0),1), 0)"),0.0)</f>
        <v>0</v>
      </c>
      <c r="AF110" s="75">
        <f>IFERROR(__xludf.DUMMYFUNCTION("IFERROR(IF(Match(L110,IMPORTRANGE(""https://docs.google.com/spreadsheets/d/1UY0hI2S83Fmafa5P-C1LM9yqe4v4qIKTnVy_CzLzRPs/edit?resourcekey=&amp;gid=1583835601#gid=1583835601"",""Form Responses 1!B2:B194""),0),1), 0)"),0.0)</f>
        <v>0</v>
      </c>
      <c r="AG110" s="75">
        <f>IFERROR(__xludf.DUMMYFUNCTION("IFERROR(IF(Match(L110,IMPORTRANGE(""https://docs.google.com/spreadsheets/d/1hO4mQ22n6cudUygJ2ss_JeJdm2Ua_7hJl_79lWWEtic/edit?resourcekey=&amp;gid=2087212010#gid=2087212010"",""Form Responses 1!B2:B104""),0),1), 0)"),0.0)</f>
        <v>0</v>
      </c>
      <c r="AH110" s="75">
        <f>IFERROR(__xludf.DUMMYFUNCTION("IFERROR(IF(Match(L110,IMPORTRANGE(""https://docs.google.com/spreadsheets/d/1HbfCXhSXbtTODKKY1MOFwJccyhgDKD0J9sO1k5l_6lM/edit?resourcekey=&amp;gid=1616384832#gid=1616384832"",""Form Responses 1!E2:E143""),0),1), 0)"),0.0)</f>
        <v>0</v>
      </c>
    </row>
    <row r="111" ht="22.5" customHeight="1">
      <c r="A111" s="102">
        <v>45917.66578217593</v>
      </c>
      <c r="B111" s="103" t="s">
        <v>37</v>
      </c>
      <c r="C111" s="103" t="s">
        <v>764</v>
      </c>
      <c r="D111" s="103" t="s">
        <v>765</v>
      </c>
      <c r="E111" s="103" t="s">
        <v>420</v>
      </c>
      <c r="F111" s="103" t="s">
        <v>436</v>
      </c>
      <c r="G111" s="103" t="s">
        <v>38</v>
      </c>
      <c r="H111" s="103" t="s">
        <v>766</v>
      </c>
      <c r="I111" s="96"/>
      <c r="J111" s="7"/>
      <c r="K111" s="7" t="s">
        <v>253</v>
      </c>
      <c r="L111" s="7" t="s">
        <v>254</v>
      </c>
      <c r="M111" s="7" t="s">
        <v>255</v>
      </c>
      <c r="N111" s="11" t="s">
        <v>11</v>
      </c>
      <c r="O111" s="7" t="s">
        <v>12</v>
      </c>
      <c r="P111" s="47">
        <v>20.0</v>
      </c>
      <c r="Q111" s="22" t="s">
        <v>767</v>
      </c>
      <c r="R111" s="97">
        <f t="shared" si="74"/>
        <v>1</v>
      </c>
      <c r="S111" s="97">
        <f t="shared" si="75"/>
        <v>1</v>
      </c>
      <c r="T111" s="98">
        <f t="shared" si="62"/>
        <v>1</v>
      </c>
      <c r="U111" s="99">
        <f>IFERROR(__xludf.DUMMYFUNCTION("IFERROR(IF(Match(L111,IMPORTRANGE(""https://docs.google.com/spreadsheets/d/1CAXKDiOnZb21bZOY_nacH9xI9AiD-nH8ZZQAwYKkVC0/edit?usp=drivesdk"",""Completed Exams!A1:A135""),0),1), 0)"),0.0)</f>
        <v>0</v>
      </c>
      <c r="V111" s="100">
        <f t="shared" si="66"/>
        <v>1</v>
      </c>
      <c r="W111" s="100">
        <f>IF(COUNTIF(B$535:B$602,L111)=0,0,1)</f>
        <v>1</v>
      </c>
      <c r="X111" s="100">
        <v>0.5</v>
      </c>
      <c r="Y111" s="100">
        <v>0.5</v>
      </c>
      <c r="Z111" s="101">
        <f t="shared" si="36"/>
        <v>1</v>
      </c>
      <c r="AA111" s="101">
        <f t="shared" si="68"/>
        <v>1</v>
      </c>
      <c r="AB111" s="101">
        <f>IFERROR(__xludf.DUMMYFUNCTION("IFERROR(IF(Match(L111,IMPORTRANGE(""https://docs.google.com/spreadsheets/d/1n1sT_Q_W3mKmn2Yrd8qcNzuRD4zr4DB9gqARnjQ30B4/edit?gid=1918970062#gid=1918970062"",""Form Responses 1!B2:B49""),0),1), 0)"),0.0)</f>
        <v>0</v>
      </c>
      <c r="AC111" s="101">
        <f t="shared" si="54"/>
        <v>0</v>
      </c>
      <c r="AD111" s="100">
        <v>1.0</v>
      </c>
      <c r="AE111" s="101">
        <f>IFERROR(__xludf.DUMMYFUNCTION("IFERROR(IF(Match(L111,IMPORTRANGE(""https://docs.google.com/spreadsheets/d/1hvckjcCpxEuDQDPrBMml_I1kBhYyjrgR8qBKC9QGVUc/edit?resourcekey=&amp;gid=230793720#gid=230793720"",""Form Responses 1!B2:B199""),0),1), 0)"),0.0)</f>
        <v>0</v>
      </c>
      <c r="AF111" s="75">
        <f>IFERROR(__xludf.DUMMYFUNCTION("IFERROR(IF(Match(L111,IMPORTRANGE(""https://docs.google.com/spreadsheets/d/1UY0hI2S83Fmafa5P-C1LM9yqe4v4qIKTnVy_CzLzRPs/edit?resourcekey=&amp;gid=1583835601#gid=1583835601"",""Form Responses 1!B2:B194""),0),1), 0)"),0.0)</f>
        <v>0</v>
      </c>
      <c r="AG111" s="75">
        <f>IFERROR(__xludf.DUMMYFUNCTION("IFERROR(IF(Match(L111,IMPORTRANGE(""https://docs.google.com/spreadsheets/d/1hO4mQ22n6cudUygJ2ss_JeJdm2Ua_7hJl_79lWWEtic/edit?resourcekey=&amp;gid=2087212010#gid=2087212010"",""Form Responses 1!B2:B104""),0),1), 0)"),0.0)</f>
        <v>0</v>
      </c>
      <c r="AH111" s="75">
        <f>IFERROR(__xludf.DUMMYFUNCTION("IFERROR(IF(Match(L111,IMPORTRANGE(""https://docs.google.com/spreadsheets/d/1HbfCXhSXbtTODKKY1MOFwJccyhgDKD0J9sO1k5l_6lM/edit?resourcekey=&amp;gid=1616384832#gid=1616384832"",""Form Responses 1!E2:E143""),0),1), 0)"),0.0)</f>
        <v>0</v>
      </c>
    </row>
    <row r="112" ht="22.5" customHeight="1">
      <c r="A112" s="102">
        <v>45917.66579005787</v>
      </c>
      <c r="B112" s="103" t="s">
        <v>152</v>
      </c>
      <c r="C112" s="103" t="s">
        <v>768</v>
      </c>
      <c r="D112" s="103" t="s">
        <v>769</v>
      </c>
      <c r="E112" s="103" t="s">
        <v>639</v>
      </c>
      <c r="F112" s="103" t="s">
        <v>436</v>
      </c>
      <c r="G112" s="103" t="s">
        <v>770</v>
      </c>
      <c r="H112" s="103" t="s">
        <v>724</v>
      </c>
      <c r="I112" s="96"/>
      <c r="J112" s="7"/>
      <c r="K112" s="7" t="s">
        <v>256</v>
      </c>
      <c r="L112" s="7" t="s">
        <v>257</v>
      </c>
      <c r="M112" s="7" t="s">
        <v>255</v>
      </c>
      <c r="N112" s="32" t="s">
        <v>24</v>
      </c>
      <c r="O112" s="7" t="s">
        <v>25</v>
      </c>
      <c r="P112" s="47">
        <v>20.0</v>
      </c>
      <c r="Q112" s="22" t="s">
        <v>424</v>
      </c>
      <c r="R112" s="97">
        <f t="shared" si="74"/>
        <v>1</v>
      </c>
      <c r="S112" s="97">
        <f t="shared" si="75"/>
        <v>0</v>
      </c>
      <c r="T112" s="98">
        <f t="shared" si="62"/>
        <v>0</v>
      </c>
      <c r="U112" s="98">
        <v>1.0</v>
      </c>
      <c r="V112" s="100">
        <f t="shared" si="66"/>
        <v>0</v>
      </c>
      <c r="W112" s="100">
        <v>0.5</v>
      </c>
      <c r="X112" s="101">
        <f t="shared" ref="X112:X113" si="76">IF(COUNTIF(B$603:B$725,L112)=0,0,1)</f>
        <v>0</v>
      </c>
      <c r="Y112" s="101">
        <f t="shared" ref="Y112:Y122" si="77">IF(COUNTIF(B$725:B$844,L112)=0,0,1)</f>
        <v>1</v>
      </c>
      <c r="Z112" s="100">
        <v>0.5</v>
      </c>
      <c r="AA112" s="101">
        <f t="shared" si="68"/>
        <v>0</v>
      </c>
      <c r="AB112" s="101">
        <f>IFERROR(__xludf.DUMMYFUNCTION("IFERROR(IF(Match(L112,IMPORTRANGE(""https://docs.google.com/spreadsheets/d/1n1sT_Q_W3mKmn2Yrd8qcNzuRD4zr4DB9gqARnjQ30B4/edit?gid=1918970062#gid=1918970062"",""Form Responses 1!B2:B49""),0),1), 0)"),0.0)</f>
        <v>0</v>
      </c>
      <c r="AC112" s="101">
        <f t="shared" si="54"/>
        <v>0</v>
      </c>
      <c r="AD112" s="100">
        <v>0.0</v>
      </c>
      <c r="AE112" s="101">
        <f>IFERROR(__xludf.DUMMYFUNCTION("IFERROR(IF(Match(L112,IMPORTRANGE(""https://docs.google.com/spreadsheets/d/1hvckjcCpxEuDQDPrBMml_I1kBhYyjrgR8qBKC9QGVUc/edit?resourcekey=&amp;gid=230793720#gid=230793720"",""Form Responses 1!B2:B199""),0),1), 0)"),0.0)</f>
        <v>0</v>
      </c>
      <c r="AF112" s="75">
        <f>IFERROR(__xludf.DUMMYFUNCTION("IFERROR(IF(Match(L112,IMPORTRANGE(""https://docs.google.com/spreadsheets/d/1UY0hI2S83Fmafa5P-C1LM9yqe4v4qIKTnVy_CzLzRPs/edit?resourcekey=&amp;gid=1583835601#gid=1583835601"",""Form Responses 1!B2:B194""),0),1), 0)"),0.0)</f>
        <v>0</v>
      </c>
      <c r="AG112" s="75">
        <f>IFERROR(__xludf.DUMMYFUNCTION("IFERROR(IF(Match(L112,IMPORTRANGE(""https://docs.google.com/spreadsheets/d/1hO4mQ22n6cudUygJ2ss_JeJdm2Ua_7hJl_79lWWEtic/edit?resourcekey=&amp;gid=2087212010#gid=2087212010"",""Form Responses 1!B2:B104""),0),1), 0)"),0.0)</f>
        <v>0</v>
      </c>
      <c r="AH112" s="75">
        <f>IFERROR(__xludf.DUMMYFUNCTION("IFERROR(IF(Match(L112,IMPORTRANGE(""https://docs.google.com/spreadsheets/d/1HbfCXhSXbtTODKKY1MOFwJccyhgDKD0J9sO1k5l_6lM/edit?resourcekey=&amp;gid=1616384832#gid=1616384832"",""Form Responses 1!E2:E143""),0),1), 0)"),0.0)</f>
        <v>0</v>
      </c>
    </row>
    <row r="113" ht="22.5" customHeight="1">
      <c r="A113" s="102">
        <v>45917.66580351852</v>
      </c>
      <c r="B113" s="103" t="s">
        <v>16</v>
      </c>
      <c r="C113" s="103" t="s">
        <v>771</v>
      </c>
      <c r="D113" s="103" t="s">
        <v>772</v>
      </c>
      <c r="E113" s="103" t="s">
        <v>578</v>
      </c>
      <c r="F113" s="103" t="s">
        <v>436</v>
      </c>
      <c r="G113" s="103" t="s">
        <v>10</v>
      </c>
      <c r="H113" s="103" t="s">
        <v>773</v>
      </c>
      <c r="I113" s="96"/>
      <c r="J113" s="7"/>
      <c r="K113" s="7" t="s">
        <v>258</v>
      </c>
      <c r="L113" s="7" t="s">
        <v>259</v>
      </c>
      <c r="M113" s="7" t="s">
        <v>255</v>
      </c>
      <c r="N113" s="32" t="s">
        <v>24</v>
      </c>
      <c r="O113" s="7" t="s">
        <v>93</v>
      </c>
      <c r="P113" s="47">
        <v>20.0</v>
      </c>
      <c r="Q113" s="22" t="s">
        <v>424</v>
      </c>
      <c r="R113" s="97">
        <f t="shared" si="74"/>
        <v>1</v>
      </c>
      <c r="S113" s="97">
        <f t="shared" si="75"/>
        <v>0</v>
      </c>
      <c r="T113" s="98">
        <f t="shared" si="62"/>
        <v>0</v>
      </c>
      <c r="U113" s="98">
        <v>1.0</v>
      </c>
      <c r="V113" s="100">
        <f t="shared" si="66"/>
        <v>0</v>
      </c>
      <c r="W113" s="100">
        <f t="shared" ref="W113:W118" si="78">IF(COUNTIF(B$535:B$602,L113)=0,0,1)</f>
        <v>0</v>
      </c>
      <c r="X113" s="101">
        <f t="shared" si="76"/>
        <v>0</v>
      </c>
      <c r="Y113" s="101">
        <f t="shared" si="77"/>
        <v>1</v>
      </c>
      <c r="Z113" s="101">
        <f t="shared" ref="Z113:Z181" si="79">IF(COUNTIF(B$845:B$969,L113)=0,0,1)</f>
        <v>0</v>
      </c>
      <c r="AA113" s="101">
        <f t="shared" si="68"/>
        <v>0</v>
      </c>
      <c r="AB113" s="101">
        <f>IFERROR(__xludf.DUMMYFUNCTION("IFERROR(IF(Match(L113,IMPORTRANGE(""https://docs.google.com/spreadsheets/d/1n1sT_Q_W3mKmn2Yrd8qcNzuRD4zr4DB9gqARnjQ30B4/edit?gid=1918970062#gid=1918970062"",""Form Responses 1!B2:B49""),0),1), 0)"),0.0)</f>
        <v>0</v>
      </c>
      <c r="AC113" s="101">
        <f t="shared" si="54"/>
        <v>1</v>
      </c>
      <c r="AD113" s="100">
        <v>0.0</v>
      </c>
      <c r="AE113" s="101">
        <f>IFERROR(__xludf.DUMMYFUNCTION("IFERROR(IF(Match(L113,IMPORTRANGE(""https://docs.google.com/spreadsheets/d/1hvckjcCpxEuDQDPrBMml_I1kBhYyjrgR8qBKC9QGVUc/edit?resourcekey=&amp;gid=230793720#gid=230793720"",""Form Responses 1!B2:B199""),0),1), 0)"),0.0)</f>
        <v>0</v>
      </c>
      <c r="AF113" s="75">
        <f>IFERROR(__xludf.DUMMYFUNCTION("IFERROR(IF(Match(L113,IMPORTRANGE(""https://docs.google.com/spreadsheets/d/1UY0hI2S83Fmafa5P-C1LM9yqe4v4qIKTnVy_CzLzRPs/edit?resourcekey=&amp;gid=1583835601#gid=1583835601"",""Form Responses 1!B2:B194""),0),1), 0)"),0.0)</f>
        <v>0</v>
      </c>
      <c r="AG113" s="75">
        <f>IFERROR(__xludf.DUMMYFUNCTION("IFERROR(IF(Match(L113,IMPORTRANGE(""https://docs.google.com/spreadsheets/d/1hO4mQ22n6cudUygJ2ss_JeJdm2Ua_7hJl_79lWWEtic/edit?resourcekey=&amp;gid=2087212010#gid=2087212010"",""Form Responses 1!B2:B104""),0),1), 0)"),0.0)</f>
        <v>0</v>
      </c>
      <c r="AH113" s="75">
        <f>IFERROR(__xludf.DUMMYFUNCTION("IFERROR(IF(Match(L113,IMPORTRANGE(""https://docs.google.com/spreadsheets/d/1HbfCXhSXbtTODKKY1MOFwJccyhgDKD0J9sO1k5l_6lM/edit?resourcekey=&amp;gid=1616384832#gid=1616384832"",""Form Responses 1!E2:E143""),0),1), 0)"),0.0)</f>
        <v>0</v>
      </c>
    </row>
    <row r="114" ht="22.5" customHeight="1">
      <c r="A114" s="102">
        <v>45917.665814085645</v>
      </c>
      <c r="B114" s="103" t="s">
        <v>150</v>
      </c>
      <c r="C114" s="103" t="s">
        <v>774</v>
      </c>
      <c r="D114" s="103" t="s">
        <v>775</v>
      </c>
      <c r="E114" s="103" t="s">
        <v>639</v>
      </c>
      <c r="F114" s="103" t="s">
        <v>436</v>
      </c>
      <c r="G114" s="103" t="s">
        <v>776</v>
      </c>
      <c r="H114" s="103" t="s">
        <v>777</v>
      </c>
      <c r="I114" s="96"/>
      <c r="J114" s="7"/>
      <c r="K114" s="7" t="s">
        <v>260</v>
      </c>
      <c r="L114" s="7" t="s">
        <v>261</v>
      </c>
      <c r="M114" s="7" t="s">
        <v>255</v>
      </c>
      <c r="N114" s="32" t="s">
        <v>24</v>
      </c>
      <c r="O114" s="7" t="s">
        <v>25</v>
      </c>
      <c r="P114" s="47">
        <v>20.0</v>
      </c>
      <c r="Q114" s="22" t="s">
        <v>424</v>
      </c>
      <c r="R114" s="97">
        <f t="shared" si="74"/>
        <v>0</v>
      </c>
      <c r="S114" s="97">
        <f t="shared" si="75"/>
        <v>0</v>
      </c>
      <c r="T114" s="98">
        <f t="shared" si="62"/>
        <v>0</v>
      </c>
      <c r="U114" s="98">
        <v>1.0</v>
      </c>
      <c r="V114" s="100">
        <f t="shared" si="66"/>
        <v>0</v>
      </c>
      <c r="W114" s="100">
        <f t="shared" si="78"/>
        <v>0</v>
      </c>
      <c r="X114" s="100">
        <v>0.5</v>
      </c>
      <c r="Y114" s="101">
        <f t="shared" si="77"/>
        <v>1</v>
      </c>
      <c r="Z114" s="101">
        <f t="shared" si="79"/>
        <v>1</v>
      </c>
      <c r="AA114" s="101">
        <f t="shared" si="68"/>
        <v>1</v>
      </c>
      <c r="AB114" s="101">
        <f>IFERROR(__xludf.DUMMYFUNCTION("IFERROR(IF(Match(L114,IMPORTRANGE(""https://docs.google.com/spreadsheets/d/1n1sT_Q_W3mKmn2Yrd8qcNzuRD4zr4DB9gqARnjQ30B4/edit?gid=1918970062#gid=1918970062"",""Form Responses 1!B2:B49""),0),1), 0)"),0.0)</f>
        <v>0</v>
      </c>
      <c r="AC114" s="101">
        <f t="shared" si="54"/>
        <v>1</v>
      </c>
      <c r="AD114" s="100">
        <v>0.5</v>
      </c>
      <c r="AE114" s="101">
        <f>IFERROR(__xludf.DUMMYFUNCTION("IFERROR(IF(Match(L114,IMPORTRANGE(""https://docs.google.com/spreadsheets/d/1hvckjcCpxEuDQDPrBMml_I1kBhYyjrgR8qBKC9QGVUc/edit?resourcekey=&amp;gid=230793720#gid=230793720"",""Form Responses 1!B2:B199""),0),1), 0)"),0.0)</f>
        <v>0</v>
      </c>
      <c r="AF114" s="75">
        <f>IFERROR(__xludf.DUMMYFUNCTION("IFERROR(IF(Match(L114,IMPORTRANGE(""https://docs.google.com/spreadsheets/d/1UY0hI2S83Fmafa5P-C1LM9yqe4v4qIKTnVy_CzLzRPs/edit?resourcekey=&amp;gid=1583835601#gid=1583835601"",""Form Responses 1!B2:B194""),0),1), 0)"),0.0)</f>
        <v>0</v>
      </c>
      <c r="AG114" s="75">
        <f>IFERROR(__xludf.DUMMYFUNCTION("IFERROR(IF(Match(L114,IMPORTRANGE(""https://docs.google.com/spreadsheets/d/1hO4mQ22n6cudUygJ2ss_JeJdm2Ua_7hJl_79lWWEtic/edit?resourcekey=&amp;gid=2087212010#gid=2087212010"",""Form Responses 1!B2:B104""),0),1), 0)"),0.0)</f>
        <v>0</v>
      </c>
      <c r="AH114" s="75">
        <f>IFERROR(__xludf.DUMMYFUNCTION("IFERROR(IF(Match(L114,IMPORTRANGE(""https://docs.google.com/spreadsheets/d/1HbfCXhSXbtTODKKY1MOFwJccyhgDKD0J9sO1k5l_6lM/edit?resourcekey=&amp;gid=1616384832#gid=1616384832"",""Form Responses 1!E2:E143""),0),1), 0)"),0.0)</f>
        <v>0</v>
      </c>
    </row>
    <row r="115" ht="22.5" customHeight="1">
      <c r="A115" s="102">
        <v>45917.6658250926</v>
      </c>
      <c r="B115" s="103" t="s">
        <v>117</v>
      </c>
      <c r="C115" s="103" t="s">
        <v>778</v>
      </c>
      <c r="D115" s="103" t="s">
        <v>779</v>
      </c>
      <c r="E115" s="103" t="s">
        <v>639</v>
      </c>
      <c r="F115" s="103" t="s">
        <v>436</v>
      </c>
      <c r="G115" s="103" t="s">
        <v>113</v>
      </c>
      <c r="H115" s="103" t="s">
        <v>684</v>
      </c>
      <c r="I115" s="96"/>
      <c r="J115" s="7"/>
      <c r="K115" s="7" t="s">
        <v>262</v>
      </c>
      <c r="L115" s="7" t="s">
        <v>263</v>
      </c>
      <c r="M115" s="7" t="s">
        <v>255</v>
      </c>
      <c r="N115" s="8" t="s">
        <v>28</v>
      </c>
      <c r="O115" s="7" t="s">
        <v>29</v>
      </c>
      <c r="P115" s="47">
        <v>20.0</v>
      </c>
      <c r="Q115" s="7" t="s">
        <v>500</v>
      </c>
      <c r="R115" s="97">
        <f t="shared" si="74"/>
        <v>1</v>
      </c>
      <c r="S115" s="97">
        <f t="shared" si="75"/>
        <v>1</v>
      </c>
      <c r="T115" s="98">
        <f t="shared" si="62"/>
        <v>1</v>
      </c>
      <c r="U115" s="99">
        <f>IFERROR(__xludf.DUMMYFUNCTION("IFERROR(IF(Match(L115,IMPORTRANGE(""https://docs.google.com/spreadsheets/d/1CAXKDiOnZb21bZOY_nacH9xI9AiD-nH8ZZQAwYKkVC0/edit?usp=drivesdk"",""Completed Exams!A1:A135""),0),1), 0)"),0.0)</f>
        <v>0</v>
      </c>
      <c r="V115" s="100">
        <f t="shared" si="66"/>
        <v>1</v>
      </c>
      <c r="W115" s="100">
        <f t="shared" si="78"/>
        <v>1</v>
      </c>
      <c r="X115" s="101">
        <f t="shared" ref="X115:X120" si="80">IF(COUNTIF(B$603:B$725,L115)=0,0,1)</f>
        <v>0</v>
      </c>
      <c r="Y115" s="101">
        <f t="shared" si="77"/>
        <v>1</v>
      </c>
      <c r="Z115" s="101">
        <f t="shared" si="79"/>
        <v>1</v>
      </c>
      <c r="AA115" s="101">
        <f t="shared" si="68"/>
        <v>1</v>
      </c>
      <c r="AB115" s="100">
        <v>1.0</v>
      </c>
      <c r="AC115" s="101">
        <f t="shared" si="54"/>
        <v>0</v>
      </c>
      <c r="AD115" s="120">
        <v>1.0</v>
      </c>
      <c r="AE115" s="101">
        <f>IFERROR(__xludf.DUMMYFUNCTION("IFERROR(IF(Match(L115,IMPORTRANGE(""https://docs.google.com/spreadsheets/d/1hvckjcCpxEuDQDPrBMml_I1kBhYyjrgR8qBKC9QGVUc/edit?resourcekey=&amp;gid=230793720#gid=230793720"",""Form Responses 1!B2:B199""),0),1), 0)"),0.0)</f>
        <v>0</v>
      </c>
      <c r="AF115" s="75">
        <f>IFERROR(__xludf.DUMMYFUNCTION("IFERROR(IF(Match(L115,IMPORTRANGE(""https://docs.google.com/spreadsheets/d/1UY0hI2S83Fmafa5P-C1LM9yqe4v4qIKTnVy_CzLzRPs/edit?resourcekey=&amp;gid=1583835601#gid=1583835601"",""Form Responses 1!B2:B194""),0),1), 0)"),0.0)</f>
        <v>0</v>
      </c>
      <c r="AG115" s="75">
        <f>IFERROR(__xludf.DUMMYFUNCTION("IFERROR(IF(Match(L115,IMPORTRANGE(""https://docs.google.com/spreadsheets/d/1hO4mQ22n6cudUygJ2ss_JeJdm2Ua_7hJl_79lWWEtic/edit?resourcekey=&amp;gid=2087212010#gid=2087212010"",""Form Responses 1!B2:B104""),0),1), 0)"),0.0)</f>
        <v>0</v>
      </c>
      <c r="AH115" s="75">
        <f>IFERROR(__xludf.DUMMYFUNCTION("IFERROR(IF(Match(L115,IMPORTRANGE(""https://docs.google.com/spreadsheets/d/1HbfCXhSXbtTODKKY1MOFwJccyhgDKD0J9sO1k5l_6lM/edit?resourcekey=&amp;gid=1616384832#gid=1616384832"",""Form Responses 1!E2:E143""),0),1), 0)"),0.0)</f>
        <v>0</v>
      </c>
      <c r="AI115" s="14"/>
      <c r="AJ115" s="14"/>
      <c r="AK115" s="14"/>
      <c r="AL115" s="14"/>
      <c r="AM115" s="14"/>
      <c r="AN115" s="14"/>
      <c r="AO115" s="14"/>
      <c r="AP115" s="14"/>
      <c r="AQ115" s="14"/>
    </row>
    <row r="116" ht="22.5" customHeight="1">
      <c r="A116" s="102">
        <v>45917.66583064815</v>
      </c>
      <c r="B116" s="103" t="s">
        <v>147</v>
      </c>
      <c r="C116" s="103" t="s">
        <v>780</v>
      </c>
      <c r="D116" s="103" t="s">
        <v>781</v>
      </c>
      <c r="E116" s="103" t="s">
        <v>639</v>
      </c>
      <c r="F116" s="103" t="s">
        <v>436</v>
      </c>
      <c r="G116" s="103" t="s">
        <v>782</v>
      </c>
      <c r="H116" s="103" t="s">
        <v>605</v>
      </c>
      <c r="I116" s="96"/>
      <c r="J116" s="7"/>
      <c r="K116" s="121" t="s">
        <v>264</v>
      </c>
      <c r="L116" s="121" t="s">
        <v>265</v>
      </c>
      <c r="M116" s="121" t="s">
        <v>266</v>
      </c>
      <c r="N116" s="122" t="s">
        <v>11</v>
      </c>
      <c r="O116" s="121" t="s">
        <v>12</v>
      </c>
      <c r="P116" s="123">
        <v>21.0</v>
      </c>
      <c r="Q116" s="121" t="s">
        <v>507</v>
      </c>
      <c r="R116" s="104">
        <v>0.5</v>
      </c>
      <c r="S116" s="97">
        <f t="shared" si="75"/>
        <v>1</v>
      </c>
      <c r="T116" s="98">
        <f t="shared" si="62"/>
        <v>1</v>
      </c>
      <c r="U116" s="99">
        <f>IFERROR(__xludf.DUMMYFUNCTION("IFERROR(IF(Match(L116,IMPORTRANGE(""https://docs.google.com/spreadsheets/d/1CAXKDiOnZb21bZOY_nacH9xI9AiD-nH8ZZQAwYKkVC0/edit?usp=drivesdk"",""Completed Exams!A1:A135""),0),1), 0)"),0.0)</f>
        <v>0</v>
      </c>
      <c r="V116" s="100">
        <f t="shared" si="66"/>
        <v>1</v>
      </c>
      <c r="W116" s="100">
        <f t="shared" si="78"/>
        <v>1</v>
      </c>
      <c r="X116" s="101">
        <f t="shared" si="80"/>
        <v>1</v>
      </c>
      <c r="Y116" s="101">
        <f t="shared" si="77"/>
        <v>1</v>
      </c>
      <c r="Z116" s="101">
        <f t="shared" si="79"/>
        <v>1</v>
      </c>
      <c r="AA116" s="101">
        <f t="shared" si="68"/>
        <v>1</v>
      </c>
      <c r="AB116" s="100">
        <v>1.0</v>
      </c>
      <c r="AC116" s="101">
        <f t="shared" si="54"/>
        <v>1</v>
      </c>
      <c r="AD116" s="100">
        <v>0.0</v>
      </c>
      <c r="AE116" s="101">
        <f>IFERROR(__xludf.DUMMYFUNCTION("IFERROR(IF(Match(L116,IMPORTRANGE(""https://docs.google.com/spreadsheets/d/1hvckjcCpxEuDQDPrBMml_I1kBhYyjrgR8qBKC9QGVUc/edit?resourcekey=&amp;gid=230793720#gid=230793720"",""Form Responses 1!B2:B199""),0),1), 0)"),0.0)</f>
        <v>0</v>
      </c>
      <c r="AF116" s="75">
        <f>IFERROR(__xludf.DUMMYFUNCTION("IFERROR(IF(Match(L116,IMPORTRANGE(""https://docs.google.com/spreadsheets/d/1UY0hI2S83Fmafa5P-C1LM9yqe4v4qIKTnVy_CzLzRPs/edit?resourcekey=&amp;gid=1583835601#gid=1583835601"",""Form Responses 1!B2:B194""),0),1), 0)"),0.0)</f>
        <v>0</v>
      </c>
      <c r="AG116" s="75">
        <f>IFERROR(__xludf.DUMMYFUNCTION("IFERROR(IF(Match(L116,IMPORTRANGE(""https://docs.google.com/spreadsheets/d/1hO4mQ22n6cudUygJ2ss_JeJdm2Ua_7hJl_79lWWEtic/edit?resourcekey=&amp;gid=2087212010#gid=2087212010"",""Form Responses 1!B2:B104""),0),1), 0)"),0.0)</f>
        <v>0</v>
      </c>
      <c r="AH116" s="75">
        <f>IFERROR(__xludf.DUMMYFUNCTION("IFERROR(IF(Match(L116,IMPORTRANGE(""https://docs.google.com/spreadsheets/d/1HbfCXhSXbtTODKKY1MOFwJccyhgDKD0J9sO1k5l_6lM/edit?resourcekey=&amp;gid=1616384832#gid=1616384832"",""Form Responses 1!E2:E143""),0),1), 0)"),0.0)</f>
        <v>0</v>
      </c>
      <c r="AI116" s="124"/>
      <c r="AJ116" s="124"/>
      <c r="AK116" s="124"/>
      <c r="AL116" s="124"/>
      <c r="AM116" s="124"/>
      <c r="AN116" s="124"/>
      <c r="AO116" s="124"/>
      <c r="AP116" s="124"/>
      <c r="AQ116" s="124"/>
    </row>
    <row r="117" ht="22.5" customHeight="1">
      <c r="A117" s="102">
        <v>45917.665848055556</v>
      </c>
      <c r="B117" s="103" t="s">
        <v>145</v>
      </c>
      <c r="C117" s="103" t="s">
        <v>783</v>
      </c>
      <c r="D117" s="103" t="s">
        <v>545</v>
      </c>
      <c r="E117" s="103" t="s">
        <v>450</v>
      </c>
      <c r="F117" s="103" t="s">
        <v>436</v>
      </c>
      <c r="G117" s="103" t="s">
        <v>784</v>
      </c>
      <c r="H117" s="103" t="s">
        <v>785</v>
      </c>
      <c r="I117" s="96"/>
      <c r="J117" s="7"/>
      <c r="K117" s="7" t="s">
        <v>267</v>
      </c>
      <c r="L117" s="7" t="s">
        <v>268</v>
      </c>
      <c r="M117" s="7" t="s">
        <v>266</v>
      </c>
      <c r="N117" s="8" t="s">
        <v>11</v>
      </c>
      <c r="O117" s="7" t="s">
        <v>12</v>
      </c>
      <c r="P117" s="31">
        <v>21.0</v>
      </c>
      <c r="Q117" s="7" t="s">
        <v>507</v>
      </c>
      <c r="R117" s="97">
        <f t="shared" ref="R117:R125" si="81">IF(COUNTIF(B$2:B$149,L117)=0,0,1)</f>
        <v>1</v>
      </c>
      <c r="S117" s="97">
        <f t="shared" si="75"/>
        <v>1</v>
      </c>
      <c r="T117" s="98">
        <f t="shared" si="62"/>
        <v>1</v>
      </c>
      <c r="U117" s="99">
        <f>IFERROR(__xludf.DUMMYFUNCTION("IFERROR(IF(Match(L117,IMPORTRANGE(""https://docs.google.com/spreadsheets/d/1CAXKDiOnZb21bZOY_nacH9xI9AiD-nH8ZZQAwYKkVC0/edit?usp=drivesdk"",""Completed Exams!A1:A135""),0),1), 0)"),0.0)</f>
        <v>0</v>
      </c>
      <c r="V117" s="100">
        <f t="shared" si="66"/>
        <v>1</v>
      </c>
      <c r="W117" s="100">
        <f t="shared" si="78"/>
        <v>1</v>
      </c>
      <c r="X117" s="101">
        <f t="shared" si="80"/>
        <v>1</v>
      </c>
      <c r="Y117" s="101">
        <f t="shared" si="77"/>
        <v>1</v>
      </c>
      <c r="Z117" s="101">
        <f t="shared" si="79"/>
        <v>1</v>
      </c>
      <c r="AA117" s="101">
        <f t="shared" si="68"/>
        <v>1</v>
      </c>
      <c r="AB117" s="100">
        <v>1.0</v>
      </c>
      <c r="AC117" s="101">
        <f t="shared" si="54"/>
        <v>1</v>
      </c>
      <c r="AD117" s="100">
        <v>0.0</v>
      </c>
      <c r="AE117" s="101">
        <f>IFERROR(__xludf.DUMMYFUNCTION("IFERROR(IF(Match(L117,IMPORTRANGE(""https://docs.google.com/spreadsheets/d/1hvckjcCpxEuDQDPrBMml_I1kBhYyjrgR8qBKC9QGVUc/edit?resourcekey=&amp;gid=230793720#gid=230793720"",""Form Responses 1!B2:B199""),0),1), 0)"),0.0)</f>
        <v>0</v>
      </c>
      <c r="AF117" s="75">
        <f>IFERROR(__xludf.DUMMYFUNCTION("IFERROR(IF(Match(L117,IMPORTRANGE(""https://docs.google.com/spreadsheets/d/1UY0hI2S83Fmafa5P-C1LM9yqe4v4qIKTnVy_CzLzRPs/edit?resourcekey=&amp;gid=1583835601#gid=1583835601"",""Form Responses 1!B2:B194""),0),1), 0)"),0.0)</f>
        <v>0</v>
      </c>
      <c r="AG117" s="75">
        <f>IFERROR(__xludf.DUMMYFUNCTION("IFERROR(IF(Match(L117,IMPORTRANGE(""https://docs.google.com/spreadsheets/d/1hO4mQ22n6cudUygJ2ss_JeJdm2Ua_7hJl_79lWWEtic/edit?resourcekey=&amp;gid=2087212010#gid=2087212010"",""Form Responses 1!B2:B104""),0),1), 0)"),0.0)</f>
        <v>0</v>
      </c>
      <c r="AH117" s="75">
        <f>IFERROR(__xludf.DUMMYFUNCTION("IFERROR(IF(Match(L117,IMPORTRANGE(""https://docs.google.com/spreadsheets/d/1HbfCXhSXbtTODKKY1MOFwJccyhgDKD0J9sO1k5l_6lM/edit?resourcekey=&amp;gid=1616384832#gid=1616384832"",""Form Responses 1!E2:E143""),0),1), 0)"),0.0)</f>
        <v>0</v>
      </c>
    </row>
    <row r="118" ht="22.5" customHeight="1">
      <c r="A118" s="102">
        <v>45917.66584740741</v>
      </c>
      <c r="B118" s="103" t="s">
        <v>187</v>
      </c>
      <c r="C118" s="103" t="s">
        <v>751</v>
      </c>
      <c r="D118" s="103" t="s">
        <v>647</v>
      </c>
      <c r="E118" s="103" t="s">
        <v>420</v>
      </c>
      <c r="F118" s="103" t="s">
        <v>436</v>
      </c>
      <c r="G118" s="103" t="s">
        <v>185</v>
      </c>
      <c r="H118" s="103" t="s">
        <v>786</v>
      </c>
      <c r="I118" s="96"/>
      <c r="J118" s="7"/>
      <c r="K118" s="7" t="s">
        <v>269</v>
      </c>
      <c r="L118" s="7" t="s">
        <v>270</v>
      </c>
      <c r="M118" s="7" t="s">
        <v>266</v>
      </c>
      <c r="N118" s="8" t="s">
        <v>28</v>
      </c>
      <c r="O118" s="7" t="s">
        <v>29</v>
      </c>
      <c r="P118" s="31">
        <v>21.0</v>
      </c>
      <c r="Q118" s="7" t="s">
        <v>507</v>
      </c>
      <c r="R118" s="97">
        <f t="shared" si="81"/>
        <v>1</v>
      </c>
      <c r="S118" s="97">
        <f t="shared" si="75"/>
        <v>1</v>
      </c>
      <c r="T118" s="98">
        <f t="shared" si="62"/>
        <v>1</v>
      </c>
      <c r="U118" s="99">
        <f>IFERROR(__xludf.DUMMYFUNCTION("IFERROR(IF(Match(L118,IMPORTRANGE(""https://docs.google.com/spreadsheets/d/1CAXKDiOnZb21bZOY_nacH9xI9AiD-nH8ZZQAwYKkVC0/edit?usp=drivesdk"",""Completed Exams!A1:A135""),0),1), 0)"),0.0)</f>
        <v>0</v>
      </c>
      <c r="V118" s="100">
        <f t="shared" si="66"/>
        <v>0</v>
      </c>
      <c r="W118" s="100">
        <f t="shared" si="78"/>
        <v>1</v>
      </c>
      <c r="X118" s="101">
        <f t="shared" si="80"/>
        <v>1</v>
      </c>
      <c r="Y118" s="101">
        <f t="shared" si="77"/>
        <v>1</v>
      </c>
      <c r="Z118" s="101">
        <f t="shared" si="79"/>
        <v>1</v>
      </c>
      <c r="AA118" s="101">
        <f t="shared" si="68"/>
        <v>1</v>
      </c>
      <c r="AB118" s="100">
        <v>1.0</v>
      </c>
      <c r="AC118" s="101">
        <f t="shared" si="54"/>
        <v>1</v>
      </c>
      <c r="AD118" s="100">
        <v>0.0</v>
      </c>
      <c r="AE118" s="101">
        <f>IFERROR(__xludf.DUMMYFUNCTION("IFERROR(IF(Match(L118,IMPORTRANGE(""https://docs.google.com/spreadsheets/d/1hvckjcCpxEuDQDPrBMml_I1kBhYyjrgR8qBKC9QGVUc/edit?resourcekey=&amp;gid=230793720#gid=230793720"",""Form Responses 1!B2:B199""),0),1), 0)"),0.0)</f>
        <v>0</v>
      </c>
      <c r="AF118" s="75">
        <f>IFERROR(__xludf.DUMMYFUNCTION("IFERROR(IF(Match(L118,IMPORTRANGE(""https://docs.google.com/spreadsheets/d/1UY0hI2S83Fmafa5P-C1LM9yqe4v4qIKTnVy_CzLzRPs/edit?resourcekey=&amp;gid=1583835601#gid=1583835601"",""Form Responses 1!B2:B194""),0),1), 0)"),0.0)</f>
        <v>0</v>
      </c>
      <c r="AG118" s="75">
        <f>IFERROR(__xludf.DUMMYFUNCTION("IFERROR(IF(Match(L118,IMPORTRANGE(""https://docs.google.com/spreadsheets/d/1hO4mQ22n6cudUygJ2ss_JeJdm2Ua_7hJl_79lWWEtic/edit?resourcekey=&amp;gid=2087212010#gid=2087212010"",""Form Responses 1!B2:B104""),0),1), 0)"),0.0)</f>
        <v>0</v>
      </c>
      <c r="AH118" s="75">
        <f>IFERROR(__xludf.DUMMYFUNCTION("IFERROR(IF(Match(L118,IMPORTRANGE(""https://docs.google.com/spreadsheets/d/1HbfCXhSXbtTODKKY1MOFwJccyhgDKD0J9sO1k5l_6lM/edit?resourcekey=&amp;gid=1616384832#gid=1616384832"",""Form Responses 1!E2:E143""),0),1), 0)"),0.0)</f>
        <v>0</v>
      </c>
    </row>
    <row r="119" ht="22.5" customHeight="1">
      <c r="A119" s="102">
        <v>45917.66587542824</v>
      </c>
      <c r="B119" s="103" t="s">
        <v>221</v>
      </c>
      <c r="C119" s="103" t="s">
        <v>787</v>
      </c>
      <c r="D119" s="103" t="s">
        <v>788</v>
      </c>
      <c r="E119" s="103" t="s">
        <v>639</v>
      </c>
      <c r="F119" s="103" t="s">
        <v>436</v>
      </c>
      <c r="G119" s="103" t="s">
        <v>211</v>
      </c>
      <c r="H119" s="103" t="s">
        <v>789</v>
      </c>
      <c r="I119" s="96"/>
      <c r="J119" s="7"/>
      <c r="K119" s="7" t="s">
        <v>271</v>
      </c>
      <c r="L119" s="7" t="s">
        <v>272</v>
      </c>
      <c r="M119" s="7" t="s">
        <v>266</v>
      </c>
      <c r="N119" s="8" t="s">
        <v>11</v>
      </c>
      <c r="O119" s="7" t="s">
        <v>12</v>
      </c>
      <c r="P119" s="31">
        <v>21.0</v>
      </c>
      <c r="Q119" s="7" t="s">
        <v>447</v>
      </c>
      <c r="R119" s="97">
        <f t="shared" si="81"/>
        <v>1</v>
      </c>
      <c r="S119" s="97">
        <f t="shared" si="75"/>
        <v>1</v>
      </c>
      <c r="T119" s="98">
        <f t="shared" si="62"/>
        <v>0</v>
      </c>
      <c r="U119" s="99">
        <f>IFERROR(__xludf.DUMMYFUNCTION("IFERROR(IF(Match(L119,IMPORTRANGE(""https://docs.google.com/spreadsheets/d/1CAXKDiOnZb21bZOY_nacH9xI9AiD-nH8ZZQAwYKkVC0/edit?usp=drivesdk"",""Completed Exams!A1:A135""),0),1), 0)"),0.0)</f>
        <v>0</v>
      </c>
      <c r="V119" s="100">
        <f t="shared" si="66"/>
        <v>1</v>
      </c>
      <c r="W119" s="100">
        <v>1.0</v>
      </c>
      <c r="X119" s="101">
        <f t="shared" si="80"/>
        <v>1</v>
      </c>
      <c r="Y119" s="101">
        <f t="shared" si="77"/>
        <v>1</v>
      </c>
      <c r="Z119" s="101">
        <f t="shared" si="79"/>
        <v>1</v>
      </c>
      <c r="AA119" s="100">
        <v>0.5</v>
      </c>
      <c r="AB119" s="101">
        <f>IFERROR(__xludf.DUMMYFUNCTION("IFERROR(IF(Match(L119,IMPORTRANGE(""https://docs.google.com/spreadsheets/d/1n1sT_Q_W3mKmn2Yrd8qcNzuRD4zr4DB9gqARnjQ30B4/edit?gid=1918970062#gid=1918970062"",""Form Responses 1!B2:B49""),0),1), 0)"),0.0)</f>
        <v>0</v>
      </c>
      <c r="AC119" s="101">
        <f t="shared" si="54"/>
        <v>1</v>
      </c>
      <c r="AD119" s="100">
        <v>0.0</v>
      </c>
      <c r="AE119" s="101">
        <f>IFERROR(__xludf.DUMMYFUNCTION("IFERROR(IF(Match(L119,IMPORTRANGE(""https://docs.google.com/spreadsheets/d/1hvckjcCpxEuDQDPrBMml_I1kBhYyjrgR8qBKC9QGVUc/edit?resourcekey=&amp;gid=230793720#gid=230793720"",""Form Responses 1!B2:B199""),0),1), 0)"),0.0)</f>
        <v>0</v>
      </c>
      <c r="AF119" s="75">
        <f>IFERROR(__xludf.DUMMYFUNCTION("IFERROR(IF(Match(L119,IMPORTRANGE(""https://docs.google.com/spreadsheets/d/1UY0hI2S83Fmafa5P-C1LM9yqe4v4qIKTnVy_CzLzRPs/edit?resourcekey=&amp;gid=1583835601#gid=1583835601"",""Form Responses 1!B2:B194""),0),1), 0)"),0.0)</f>
        <v>0</v>
      </c>
      <c r="AG119" s="10">
        <v>0.5</v>
      </c>
      <c r="AH119" s="10">
        <v>0.5</v>
      </c>
    </row>
    <row r="120" ht="22.5" customHeight="1">
      <c r="A120" s="102">
        <v>45917.66591725695</v>
      </c>
      <c r="B120" s="103" t="s">
        <v>285</v>
      </c>
      <c r="C120" s="103" t="s">
        <v>790</v>
      </c>
      <c r="D120" s="103" t="s">
        <v>791</v>
      </c>
      <c r="E120" s="103" t="s">
        <v>450</v>
      </c>
      <c r="F120" s="103" t="s">
        <v>436</v>
      </c>
      <c r="G120" s="103" t="s">
        <v>792</v>
      </c>
      <c r="H120" s="103" t="s">
        <v>793</v>
      </c>
      <c r="I120" s="96"/>
      <c r="J120" s="125"/>
      <c r="K120" s="125" t="s">
        <v>273</v>
      </c>
      <c r="L120" s="125" t="s">
        <v>274</v>
      </c>
      <c r="M120" s="125" t="s">
        <v>266</v>
      </c>
      <c r="N120" s="8" t="s">
        <v>11</v>
      </c>
      <c r="O120" s="7" t="s">
        <v>12</v>
      </c>
      <c r="P120" s="31">
        <v>21.0</v>
      </c>
      <c r="Q120" s="7" t="s">
        <v>447</v>
      </c>
      <c r="R120" s="97">
        <f t="shared" si="81"/>
        <v>1</v>
      </c>
      <c r="S120" s="97">
        <f t="shared" si="75"/>
        <v>1</v>
      </c>
      <c r="T120" s="98">
        <f t="shared" si="62"/>
        <v>0</v>
      </c>
      <c r="U120" s="99">
        <f>IFERROR(__xludf.DUMMYFUNCTION("IFERROR(IF(Match(L120,IMPORTRANGE(""https://docs.google.com/spreadsheets/d/1CAXKDiOnZb21bZOY_nacH9xI9AiD-nH8ZZQAwYKkVC0/edit?usp=drivesdk"",""Completed Exams!A1:A135""),0),1), 0)"),0.0)</f>
        <v>0</v>
      </c>
      <c r="V120" s="100">
        <f t="shared" si="66"/>
        <v>1</v>
      </c>
      <c r="W120" s="100">
        <f>IF(COUNTIF(B$535:B$602,L120)=0,0,1)</f>
        <v>0</v>
      </c>
      <c r="X120" s="101">
        <f t="shared" si="80"/>
        <v>1</v>
      </c>
      <c r="Y120" s="101">
        <f t="shared" si="77"/>
        <v>1</v>
      </c>
      <c r="Z120" s="101">
        <f t="shared" si="79"/>
        <v>1</v>
      </c>
      <c r="AA120" s="101">
        <f t="shared" ref="AA120:AA136" si="82">IF(COUNTIF(B$971:B$1124,L120)=0,0,1)</f>
        <v>1</v>
      </c>
      <c r="AB120" s="101">
        <f>IFERROR(__xludf.DUMMYFUNCTION("IFERROR(IF(Match(L120,IMPORTRANGE(""https://docs.google.com/spreadsheets/d/1n1sT_Q_W3mKmn2Yrd8qcNzuRD4zr4DB9gqARnjQ30B4/edit?gid=1918970062#gid=1918970062"",""Form Responses 1!B2:B49""),0),1), 0)"),0.0)</f>
        <v>0</v>
      </c>
      <c r="AC120" s="101">
        <f t="shared" si="54"/>
        <v>1</v>
      </c>
      <c r="AD120" s="100">
        <v>0.0</v>
      </c>
      <c r="AE120" s="101">
        <f>IFERROR(__xludf.DUMMYFUNCTION("IFERROR(IF(Match(L120,IMPORTRANGE(""https://docs.google.com/spreadsheets/d/1hvckjcCpxEuDQDPrBMml_I1kBhYyjrgR8qBKC9QGVUc/edit?resourcekey=&amp;gid=230793720#gid=230793720"",""Form Responses 1!B2:B199""),0),1), 0)"),0.0)</f>
        <v>0</v>
      </c>
      <c r="AF120" s="10">
        <v>0.5</v>
      </c>
      <c r="AG120" s="75">
        <f>IFERROR(__xludf.DUMMYFUNCTION("IFERROR(IF(Match(L120,IMPORTRANGE(""https://docs.google.com/spreadsheets/d/1hO4mQ22n6cudUygJ2ss_JeJdm2Ua_7hJl_79lWWEtic/edit?resourcekey=&amp;gid=2087212010#gid=2087212010"",""Form Responses 1!B2:B104""),0),1), 0)"),0.0)</f>
        <v>0</v>
      </c>
      <c r="AH120" s="75">
        <f>IFERROR(__xludf.DUMMYFUNCTION("IFERROR(IF(Match(L120,IMPORTRANGE(""https://docs.google.com/spreadsheets/d/1HbfCXhSXbtTODKKY1MOFwJccyhgDKD0J9sO1k5l_6lM/edit?resourcekey=&amp;gid=1616384832#gid=1616384832"",""Form Responses 1!E2:E143""),0),1), 0)"),0.0)</f>
        <v>0</v>
      </c>
    </row>
    <row r="121" ht="22.5" customHeight="1">
      <c r="A121" s="102">
        <v>45917.665926539354</v>
      </c>
      <c r="B121" s="103" t="s">
        <v>66</v>
      </c>
      <c r="C121" s="103" t="s">
        <v>794</v>
      </c>
      <c r="D121" s="103" t="s">
        <v>795</v>
      </c>
      <c r="E121" s="103" t="s">
        <v>450</v>
      </c>
      <c r="F121" s="103" t="s">
        <v>436</v>
      </c>
      <c r="G121" s="103" t="s">
        <v>762</v>
      </c>
      <c r="H121" s="103" t="s">
        <v>796</v>
      </c>
      <c r="I121" s="96"/>
      <c r="J121" s="7"/>
      <c r="K121" s="7" t="s">
        <v>275</v>
      </c>
      <c r="L121" s="7" t="s">
        <v>276</v>
      </c>
      <c r="M121" s="7" t="s">
        <v>266</v>
      </c>
      <c r="N121" s="8" t="s">
        <v>11</v>
      </c>
      <c r="O121" s="7" t="s">
        <v>29</v>
      </c>
      <c r="P121" s="31">
        <v>21.0</v>
      </c>
      <c r="Q121" s="7" t="s">
        <v>507</v>
      </c>
      <c r="R121" s="97">
        <f t="shared" si="81"/>
        <v>1</v>
      </c>
      <c r="S121" s="97">
        <f t="shared" si="75"/>
        <v>1</v>
      </c>
      <c r="T121" s="98">
        <f t="shared" si="62"/>
        <v>1</v>
      </c>
      <c r="U121" s="99">
        <f>IFERROR(__xludf.DUMMYFUNCTION("IFERROR(IF(Match(L121,IMPORTRANGE(""https://docs.google.com/spreadsheets/d/1CAXKDiOnZb21bZOY_nacH9xI9AiD-nH8ZZQAwYKkVC0/edit?usp=drivesdk"",""Completed Exams!A1:A135""),0),1), 0)"),0.0)</f>
        <v>0</v>
      </c>
      <c r="V121" s="100">
        <f t="shared" si="66"/>
        <v>1</v>
      </c>
      <c r="W121" s="100">
        <v>1.0</v>
      </c>
      <c r="X121" s="100">
        <v>1.0</v>
      </c>
      <c r="Y121" s="101">
        <f t="shared" si="77"/>
        <v>0</v>
      </c>
      <c r="Z121" s="101">
        <f t="shared" si="79"/>
        <v>0</v>
      </c>
      <c r="AA121" s="101">
        <f t="shared" si="82"/>
        <v>1</v>
      </c>
      <c r="AB121" s="100">
        <v>1.0</v>
      </c>
      <c r="AC121" s="101">
        <f t="shared" si="54"/>
        <v>1</v>
      </c>
      <c r="AD121" s="100">
        <v>1.0</v>
      </c>
      <c r="AE121" s="101">
        <f>IFERROR(__xludf.DUMMYFUNCTION("IFERROR(IF(Match(L121,IMPORTRANGE(""https://docs.google.com/spreadsheets/d/1hvckjcCpxEuDQDPrBMml_I1kBhYyjrgR8qBKC9QGVUc/edit?resourcekey=&amp;gid=230793720#gid=230793720"",""Form Responses 1!B2:B199""),0),1), 0)"),0.0)</f>
        <v>0</v>
      </c>
      <c r="AF121" s="75">
        <f>IFERROR(__xludf.DUMMYFUNCTION("IFERROR(IF(Match(L121,IMPORTRANGE(""https://docs.google.com/spreadsheets/d/1UY0hI2S83Fmafa5P-C1LM9yqe4v4qIKTnVy_CzLzRPs/edit?resourcekey=&amp;gid=1583835601#gid=1583835601"",""Form Responses 1!B2:B194""),0),1), 0)"),0.0)</f>
        <v>0</v>
      </c>
      <c r="AG121" s="75">
        <f>IFERROR(__xludf.DUMMYFUNCTION("IFERROR(IF(Match(L121,IMPORTRANGE(""https://docs.google.com/spreadsheets/d/1hO4mQ22n6cudUygJ2ss_JeJdm2Ua_7hJl_79lWWEtic/edit?resourcekey=&amp;gid=2087212010#gid=2087212010"",""Form Responses 1!B2:B104""),0),1), 0)"),0.0)</f>
        <v>0</v>
      </c>
      <c r="AH121" s="75">
        <f>IFERROR(__xludf.DUMMYFUNCTION("IFERROR(IF(Match(L121,IMPORTRANGE(""https://docs.google.com/spreadsheets/d/1HbfCXhSXbtTODKKY1MOFwJccyhgDKD0J9sO1k5l_6lM/edit?resourcekey=&amp;gid=1616384832#gid=1616384832"",""Form Responses 1!E2:E143""),0),1), 0)"),0.0)</f>
        <v>0</v>
      </c>
    </row>
    <row r="122" ht="22.5" customHeight="1">
      <c r="A122" s="102">
        <v>45917.66594202546</v>
      </c>
      <c r="B122" s="103" t="s">
        <v>46</v>
      </c>
      <c r="C122" s="103" t="s">
        <v>797</v>
      </c>
      <c r="D122" s="103" t="s">
        <v>798</v>
      </c>
      <c r="E122" s="103" t="s">
        <v>420</v>
      </c>
      <c r="F122" s="103" t="s">
        <v>436</v>
      </c>
      <c r="G122" s="103" t="s">
        <v>38</v>
      </c>
      <c r="H122" s="103" t="s">
        <v>799</v>
      </c>
      <c r="I122" s="96"/>
      <c r="J122" s="7"/>
      <c r="K122" s="16" t="s">
        <v>277</v>
      </c>
      <c r="L122" s="16" t="s">
        <v>278</v>
      </c>
      <c r="M122" s="16" t="s">
        <v>266</v>
      </c>
      <c r="N122" s="17" t="s">
        <v>11</v>
      </c>
      <c r="O122" s="16" t="s">
        <v>12</v>
      </c>
      <c r="P122" s="33">
        <v>21.0</v>
      </c>
      <c r="Q122" s="16" t="s">
        <v>507</v>
      </c>
      <c r="R122" s="97">
        <f t="shared" si="81"/>
        <v>1</v>
      </c>
      <c r="S122" s="97">
        <f t="shared" si="75"/>
        <v>1</v>
      </c>
      <c r="T122" s="98">
        <f t="shared" si="62"/>
        <v>1</v>
      </c>
      <c r="U122" s="99">
        <f>IFERROR(__xludf.DUMMYFUNCTION("IFERROR(IF(Match(L122,IMPORTRANGE(""https://docs.google.com/spreadsheets/d/1CAXKDiOnZb21bZOY_nacH9xI9AiD-nH8ZZQAwYKkVC0/edit?usp=drivesdk"",""Completed Exams!A1:A135""),0),1), 0)"),0.0)</f>
        <v>0</v>
      </c>
      <c r="V122" s="100">
        <f t="shared" si="66"/>
        <v>1</v>
      </c>
      <c r="W122" s="100">
        <f>IF(COUNTIF(B$535:B$602,L122)=0,0,1)</f>
        <v>0</v>
      </c>
      <c r="X122" s="101">
        <f t="shared" ref="X122:X129" si="83">IF(COUNTIF(B$603:B$725,L122)=0,0,1)</f>
        <v>1</v>
      </c>
      <c r="Y122" s="101">
        <f t="shared" si="77"/>
        <v>1</v>
      </c>
      <c r="Z122" s="101">
        <f t="shared" si="79"/>
        <v>0</v>
      </c>
      <c r="AA122" s="101">
        <f t="shared" si="82"/>
        <v>1</v>
      </c>
      <c r="AB122" s="100">
        <v>1.0</v>
      </c>
      <c r="AC122" s="101">
        <f t="shared" si="54"/>
        <v>1</v>
      </c>
      <c r="AD122" s="100">
        <v>1.0</v>
      </c>
      <c r="AE122" s="101">
        <f>IFERROR(__xludf.DUMMYFUNCTION("IFERROR(IF(Match(L122,IMPORTRANGE(""https://docs.google.com/spreadsheets/d/1hvckjcCpxEuDQDPrBMml_I1kBhYyjrgR8qBKC9QGVUc/edit?resourcekey=&amp;gid=230793720#gid=230793720"",""Form Responses 1!B2:B199""),0),1), 0)"),0.0)</f>
        <v>0</v>
      </c>
      <c r="AF122" s="75">
        <f>IFERROR(__xludf.DUMMYFUNCTION("IFERROR(IF(Match(L122,IMPORTRANGE(""https://docs.google.com/spreadsheets/d/1UY0hI2S83Fmafa5P-C1LM9yqe4v4qIKTnVy_CzLzRPs/edit?resourcekey=&amp;gid=1583835601#gid=1583835601"",""Form Responses 1!B2:B194""),0),1), 0)"),0.0)</f>
        <v>0</v>
      </c>
      <c r="AG122" s="75">
        <f>IFERROR(__xludf.DUMMYFUNCTION("IFERROR(IF(Match(L122,IMPORTRANGE(""https://docs.google.com/spreadsheets/d/1hO4mQ22n6cudUygJ2ss_JeJdm2Ua_7hJl_79lWWEtic/edit?resourcekey=&amp;gid=2087212010#gid=2087212010"",""Form Responses 1!B2:B104""),0),1), 0)"),0.0)</f>
        <v>0</v>
      </c>
      <c r="AH122" s="75">
        <f>IFERROR(__xludf.DUMMYFUNCTION("IFERROR(IF(Match(L122,IMPORTRANGE(""https://docs.google.com/spreadsheets/d/1HbfCXhSXbtTODKKY1MOFwJccyhgDKD0J9sO1k5l_6lM/edit?resourcekey=&amp;gid=1616384832#gid=1616384832"",""Form Responses 1!E2:E143""),0),1), 0)"),0.0)</f>
        <v>0</v>
      </c>
    </row>
    <row r="123" ht="22.5" customHeight="1">
      <c r="A123" s="102">
        <v>45917.6659840625</v>
      </c>
      <c r="B123" s="103" t="s">
        <v>358</v>
      </c>
      <c r="C123" s="103" t="s">
        <v>800</v>
      </c>
      <c r="D123" s="103" t="s">
        <v>801</v>
      </c>
      <c r="E123" s="103" t="s">
        <v>450</v>
      </c>
      <c r="F123" s="103" t="s">
        <v>436</v>
      </c>
      <c r="G123" s="103" t="s">
        <v>359</v>
      </c>
      <c r="H123" s="103" t="s">
        <v>802</v>
      </c>
      <c r="I123" s="96"/>
      <c r="J123" s="7"/>
      <c r="K123" s="7" t="s">
        <v>279</v>
      </c>
      <c r="L123" s="7" t="s">
        <v>280</v>
      </c>
      <c r="M123" s="7" t="s">
        <v>281</v>
      </c>
      <c r="N123" s="8" t="s">
        <v>11</v>
      </c>
      <c r="O123" s="7" t="s">
        <v>12</v>
      </c>
      <c r="P123" s="51">
        <v>22.0</v>
      </c>
      <c r="Q123" s="7" t="s">
        <v>612</v>
      </c>
      <c r="R123" s="97">
        <f t="shared" si="81"/>
        <v>1</v>
      </c>
      <c r="S123" s="104">
        <v>0.5</v>
      </c>
      <c r="T123" s="98">
        <f t="shared" si="62"/>
        <v>1</v>
      </c>
      <c r="U123" s="99">
        <f>IFERROR(__xludf.DUMMYFUNCTION("IFERROR(IF(Match(L123,IMPORTRANGE(""https://docs.google.com/spreadsheets/d/1CAXKDiOnZb21bZOY_nacH9xI9AiD-nH8ZZQAwYKkVC0/edit?usp=drivesdk"",""Completed Exams!A1:A135""),0),1), 0)"),0.0)</f>
        <v>0</v>
      </c>
      <c r="V123" s="100">
        <f t="shared" si="66"/>
        <v>0</v>
      </c>
      <c r="W123" s="100">
        <v>1.0</v>
      </c>
      <c r="X123" s="101">
        <f t="shared" si="83"/>
        <v>1</v>
      </c>
      <c r="Y123" s="100">
        <v>1.0</v>
      </c>
      <c r="Z123" s="101">
        <f t="shared" si="79"/>
        <v>1</v>
      </c>
      <c r="AA123" s="101">
        <f t="shared" si="82"/>
        <v>1</v>
      </c>
      <c r="AB123" s="101">
        <f>IFERROR(__xludf.DUMMYFUNCTION("IFERROR(IF(Match(L123,IMPORTRANGE(""https://docs.google.com/spreadsheets/d/1n1sT_Q_W3mKmn2Yrd8qcNzuRD4zr4DB9gqARnjQ30B4/edit?gid=1918970062#gid=1918970062"",""Form Responses 1!B2:B49""),0),1), 0)"),0.0)</f>
        <v>0</v>
      </c>
      <c r="AC123" s="101">
        <f t="shared" si="54"/>
        <v>1</v>
      </c>
      <c r="AD123" s="100">
        <v>1.0</v>
      </c>
      <c r="AE123" s="101">
        <f>IFERROR(__xludf.DUMMYFUNCTION("IFERROR(IF(Match(L123,IMPORTRANGE(""https://docs.google.com/spreadsheets/d/1hvckjcCpxEuDQDPrBMml_I1kBhYyjrgR8qBKC9QGVUc/edit?resourcekey=&amp;gid=230793720#gid=230793720"",""Form Responses 1!B2:B199""),0),1), 0)"),0.0)</f>
        <v>0</v>
      </c>
      <c r="AF123" s="75">
        <f>IFERROR(__xludf.DUMMYFUNCTION("IFERROR(IF(Match(L123,IMPORTRANGE(""https://docs.google.com/spreadsheets/d/1UY0hI2S83Fmafa5P-C1LM9yqe4v4qIKTnVy_CzLzRPs/edit?resourcekey=&amp;gid=1583835601#gid=1583835601"",""Form Responses 1!B2:B194""),0),1), 0)"),0.0)</f>
        <v>0</v>
      </c>
      <c r="AG123" s="75">
        <f>IFERROR(__xludf.DUMMYFUNCTION("IFERROR(IF(Match(L123,IMPORTRANGE(""https://docs.google.com/spreadsheets/d/1hO4mQ22n6cudUygJ2ss_JeJdm2Ua_7hJl_79lWWEtic/edit?resourcekey=&amp;gid=2087212010#gid=2087212010"",""Form Responses 1!B2:B104""),0),1), 0)"),0.0)</f>
        <v>0</v>
      </c>
      <c r="AH123" s="75">
        <f>IFERROR(__xludf.DUMMYFUNCTION("IFERROR(IF(Match(L123,IMPORTRANGE(""https://docs.google.com/spreadsheets/d/1HbfCXhSXbtTODKKY1MOFwJccyhgDKD0J9sO1k5l_6lM/edit?resourcekey=&amp;gid=1616384832#gid=1616384832"",""Form Responses 1!E2:E143""),0),1), 0)"),0.0)</f>
        <v>0</v>
      </c>
    </row>
    <row r="124" ht="22.5" customHeight="1">
      <c r="A124" s="102">
        <v>45917.66598706019</v>
      </c>
      <c r="B124" s="103" t="s">
        <v>141</v>
      </c>
      <c r="C124" s="103" t="s">
        <v>803</v>
      </c>
      <c r="D124" s="103" t="s">
        <v>804</v>
      </c>
      <c r="E124" s="103" t="s">
        <v>420</v>
      </c>
      <c r="F124" s="103" t="s">
        <v>436</v>
      </c>
      <c r="G124" s="103" t="s">
        <v>805</v>
      </c>
      <c r="H124" s="103" t="s">
        <v>806</v>
      </c>
      <c r="I124" s="96"/>
      <c r="J124" s="7"/>
      <c r="K124" s="7" t="s">
        <v>282</v>
      </c>
      <c r="L124" s="7" t="s">
        <v>283</v>
      </c>
      <c r="M124" s="7" t="s">
        <v>281</v>
      </c>
      <c r="N124" s="8" t="s">
        <v>11</v>
      </c>
      <c r="O124" s="7" t="s">
        <v>12</v>
      </c>
      <c r="P124" s="51">
        <v>22.0</v>
      </c>
      <c r="Q124" s="7" t="s">
        <v>612</v>
      </c>
      <c r="R124" s="97">
        <f t="shared" si="81"/>
        <v>1</v>
      </c>
      <c r="S124" s="104">
        <v>0.5</v>
      </c>
      <c r="T124" s="98">
        <f t="shared" si="62"/>
        <v>1</v>
      </c>
      <c r="U124" s="99">
        <f>IFERROR(__xludf.DUMMYFUNCTION("IFERROR(IF(Match(L124,IMPORTRANGE(""https://docs.google.com/spreadsheets/d/1CAXKDiOnZb21bZOY_nacH9xI9AiD-nH8ZZQAwYKkVC0/edit?usp=drivesdk"",""Completed Exams!A1:A135""),0),1), 0)"),0.0)</f>
        <v>0</v>
      </c>
      <c r="V124" s="100">
        <f t="shared" si="66"/>
        <v>0</v>
      </c>
      <c r="W124" s="100">
        <v>1.0</v>
      </c>
      <c r="X124" s="101">
        <f t="shared" si="83"/>
        <v>1</v>
      </c>
      <c r="Y124" s="101">
        <f t="shared" ref="Y124:Y136" si="84">IF(COUNTIF(B$725:B$844,L124)=0,0,1)</f>
        <v>0</v>
      </c>
      <c r="Z124" s="101">
        <f t="shared" si="79"/>
        <v>1</v>
      </c>
      <c r="AA124" s="101">
        <f t="shared" si="82"/>
        <v>1</v>
      </c>
      <c r="AB124" s="101">
        <f>IFERROR(__xludf.DUMMYFUNCTION("IFERROR(IF(Match(L124,IMPORTRANGE(""https://docs.google.com/spreadsheets/d/1n1sT_Q_W3mKmn2Yrd8qcNzuRD4zr4DB9gqARnjQ30B4/edit?gid=1918970062#gid=1918970062"",""Form Responses 1!B2:B49""),0),1), 0)"),0.0)</f>
        <v>0</v>
      </c>
      <c r="AC124" s="101">
        <f t="shared" si="54"/>
        <v>1</v>
      </c>
      <c r="AD124" s="100">
        <v>1.0</v>
      </c>
      <c r="AE124" s="101">
        <f>IFERROR(__xludf.DUMMYFUNCTION("IFERROR(IF(Match(L124,IMPORTRANGE(""https://docs.google.com/spreadsheets/d/1hvckjcCpxEuDQDPrBMml_I1kBhYyjrgR8qBKC9QGVUc/edit?resourcekey=&amp;gid=230793720#gid=230793720"",""Form Responses 1!B2:B199""),0),1), 0)"),0.0)</f>
        <v>0</v>
      </c>
      <c r="AF124" s="75">
        <f>IFERROR(__xludf.DUMMYFUNCTION("IFERROR(IF(Match(L124,IMPORTRANGE(""https://docs.google.com/spreadsheets/d/1UY0hI2S83Fmafa5P-C1LM9yqe4v4qIKTnVy_CzLzRPs/edit?resourcekey=&amp;gid=1583835601#gid=1583835601"",""Form Responses 1!B2:B194""),0),1), 0)"),0.0)</f>
        <v>0</v>
      </c>
      <c r="AG124" s="75">
        <f>IFERROR(__xludf.DUMMYFUNCTION("IFERROR(IF(Match(L124,IMPORTRANGE(""https://docs.google.com/spreadsheets/d/1hO4mQ22n6cudUygJ2ss_JeJdm2Ua_7hJl_79lWWEtic/edit?resourcekey=&amp;gid=2087212010#gid=2087212010"",""Form Responses 1!B2:B104""),0),1), 0)"),0.0)</f>
        <v>0</v>
      </c>
      <c r="AH124" s="75">
        <f>IFERROR(__xludf.DUMMYFUNCTION("IFERROR(IF(Match(L124,IMPORTRANGE(""https://docs.google.com/spreadsheets/d/1HbfCXhSXbtTODKKY1MOFwJccyhgDKD0J9sO1k5l_6lM/edit?resourcekey=&amp;gid=1616384832#gid=1616384832"",""Form Responses 1!E2:E143""),0),1), 0)"),0.0)</f>
        <v>0</v>
      </c>
    </row>
    <row r="125" ht="22.5" customHeight="1">
      <c r="A125" s="102">
        <v>45917.66601582176</v>
      </c>
      <c r="B125" s="103" t="s">
        <v>350</v>
      </c>
      <c r="C125" s="103" t="s">
        <v>807</v>
      </c>
      <c r="D125" s="103" t="s">
        <v>808</v>
      </c>
      <c r="E125" s="103" t="s">
        <v>494</v>
      </c>
      <c r="F125" s="103" t="s">
        <v>441</v>
      </c>
      <c r="G125" s="103" t="s">
        <v>809</v>
      </c>
      <c r="H125" s="103" t="s">
        <v>810</v>
      </c>
      <c r="I125" s="96"/>
      <c r="J125" s="7"/>
      <c r="K125" s="7" t="s">
        <v>284</v>
      </c>
      <c r="L125" s="7" t="s">
        <v>285</v>
      </c>
      <c r="M125" s="7" t="s">
        <v>281</v>
      </c>
      <c r="N125" s="8" t="s">
        <v>11</v>
      </c>
      <c r="O125" s="7" t="s">
        <v>12</v>
      </c>
      <c r="P125" s="51">
        <v>22.0</v>
      </c>
      <c r="Q125" s="7" t="s">
        <v>447</v>
      </c>
      <c r="R125" s="97">
        <f t="shared" si="81"/>
        <v>1</v>
      </c>
      <c r="S125" s="97">
        <f t="shared" ref="S125:S140" si="85">IF(COUNTIF(B$150:B$274,L125)=0,0,1)</f>
        <v>1</v>
      </c>
      <c r="T125" s="98">
        <f t="shared" si="62"/>
        <v>1</v>
      </c>
      <c r="U125" s="99">
        <f>IFERROR(__xludf.DUMMYFUNCTION("IFERROR(IF(Match(L125,IMPORTRANGE(""https://docs.google.com/spreadsheets/d/1CAXKDiOnZb21bZOY_nacH9xI9AiD-nH8ZZQAwYKkVC0/edit?usp=drivesdk"",""Completed Exams!A1:A135""),0),1), 0)"),0.0)</f>
        <v>0</v>
      </c>
      <c r="V125" s="100">
        <f t="shared" si="66"/>
        <v>1</v>
      </c>
      <c r="W125" s="100">
        <v>0.5</v>
      </c>
      <c r="X125" s="101">
        <f t="shared" si="83"/>
        <v>1</v>
      </c>
      <c r="Y125" s="101">
        <f t="shared" si="84"/>
        <v>1</v>
      </c>
      <c r="Z125" s="101">
        <f t="shared" si="79"/>
        <v>1</v>
      </c>
      <c r="AA125" s="101">
        <f t="shared" si="82"/>
        <v>1</v>
      </c>
      <c r="AB125" s="101">
        <f>IFERROR(__xludf.DUMMYFUNCTION("IFERROR(IF(Match(L125,IMPORTRANGE(""https://docs.google.com/spreadsheets/d/1n1sT_Q_W3mKmn2Yrd8qcNzuRD4zr4DB9gqARnjQ30B4/edit?gid=1918970062#gid=1918970062"",""Form Responses 1!B2:B49""),0),1), 0)"),0.0)</f>
        <v>0</v>
      </c>
      <c r="AC125" s="101">
        <f t="shared" si="54"/>
        <v>1</v>
      </c>
      <c r="AD125" s="100">
        <v>1.0</v>
      </c>
      <c r="AE125" s="101">
        <f>IFERROR(__xludf.DUMMYFUNCTION("IFERROR(IF(Match(L125,IMPORTRANGE(""https://docs.google.com/spreadsheets/d/1hvckjcCpxEuDQDPrBMml_I1kBhYyjrgR8qBKC9QGVUc/edit?resourcekey=&amp;gid=230793720#gid=230793720"",""Form Responses 1!B2:B199""),0),1), 0)"),0.0)</f>
        <v>0</v>
      </c>
      <c r="AF125" s="10">
        <v>0.5</v>
      </c>
      <c r="AG125" s="75">
        <f>IFERROR(__xludf.DUMMYFUNCTION("IFERROR(IF(Match(L125,IMPORTRANGE(""https://docs.google.com/spreadsheets/d/1hO4mQ22n6cudUygJ2ss_JeJdm2Ua_7hJl_79lWWEtic/edit?resourcekey=&amp;gid=2087212010#gid=2087212010"",""Form Responses 1!B2:B104""),0),1), 0)"),0.0)</f>
        <v>0</v>
      </c>
      <c r="AH125" s="75">
        <f>IFERROR(__xludf.DUMMYFUNCTION("IFERROR(IF(Match(L125,IMPORTRANGE(""https://docs.google.com/spreadsheets/d/1HbfCXhSXbtTODKKY1MOFwJccyhgDKD0J9sO1k5l_6lM/edit?resourcekey=&amp;gid=1616384832#gid=1616384832"",""Form Responses 1!E2:E143""),0),1), 0)"),0.0)</f>
        <v>0</v>
      </c>
    </row>
    <row r="126" ht="22.5" customHeight="1">
      <c r="A126" s="102">
        <v>45917.66603709491</v>
      </c>
      <c r="B126" s="103" t="s">
        <v>18</v>
      </c>
      <c r="C126" s="103" t="s">
        <v>811</v>
      </c>
      <c r="D126" s="103" t="s">
        <v>812</v>
      </c>
      <c r="E126" s="103" t="s">
        <v>578</v>
      </c>
      <c r="F126" s="103" t="s">
        <v>436</v>
      </c>
      <c r="G126" s="103" t="s">
        <v>38</v>
      </c>
      <c r="H126" s="103" t="s">
        <v>813</v>
      </c>
      <c r="I126" s="96"/>
      <c r="J126" s="7"/>
      <c r="K126" s="7" t="s">
        <v>286</v>
      </c>
      <c r="L126" s="7" t="s">
        <v>287</v>
      </c>
      <c r="M126" s="7" t="s">
        <v>281</v>
      </c>
      <c r="N126" s="8" t="s">
        <v>11</v>
      </c>
      <c r="O126" s="7" t="s">
        <v>12</v>
      </c>
      <c r="P126" s="51">
        <v>22.0</v>
      </c>
      <c r="Q126" s="7" t="s">
        <v>447</v>
      </c>
      <c r="R126" s="104">
        <v>0.5</v>
      </c>
      <c r="S126" s="97">
        <f t="shared" si="85"/>
        <v>1</v>
      </c>
      <c r="T126" s="98">
        <v>0.5</v>
      </c>
      <c r="U126" s="99">
        <f>IFERROR(__xludf.DUMMYFUNCTION("IFERROR(IF(Match(L126,IMPORTRANGE(""https://docs.google.com/spreadsheets/d/1CAXKDiOnZb21bZOY_nacH9xI9AiD-nH8ZZQAwYKkVC0/edit?usp=drivesdk"",""Completed Exams!A1:A135""),0),1), 0)"),0.0)</f>
        <v>0</v>
      </c>
      <c r="V126" s="100">
        <f t="shared" si="66"/>
        <v>1</v>
      </c>
      <c r="W126" s="100">
        <v>0.5</v>
      </c>
      <c r="X126" s="101">
        <f t="shared" si="83"/>
        <v>1</v>
      </c>
      <c r="Y126" s="101">
        <f t="shared" si="84"/>
        <v>1</v>
      </c>
      <c r="Z126" s="101">
        <f t="shared" si="79"/>
        <v>1</v>
      </c>
      <c r="AA126" s="101">
        <f t="shared" si="82"/>
        <v>1</v>
      </c>
      <c r="AB126" s="101">
        <f>IFERROR(__xludf.DUMMYFUNCTION("IFERROR(IF(Match(L126,IMPORTRANGE(""https://docs.google.com/spreadsheets/d/1n1sT_Q_W3mKmn2Yrd8qcNzuRD4zr4DB9gqARnjQ30B4/edit?gid=1918970062#gid=1918970062"",""Form Responses 1!B2:B49""),0),1), 0)"),0.0)</f>
        <v>0</v>
      </c>
      <c r="AC126" s="101">
        <f t="shared" si="54"/>
        <v>1</v>
      </c>
      <c r="AD126" s="100">
        <v>1.0</v>
      </c>
      <c r="AE126" s="101">
        <f>IFERROR(__xludf.DUMMYFUNCTION("IFERROR(IF(Match(L126,IMPORTRANGE(""https://docs.google.com/spreadsheets/d/1hvckjcCpxEuDQDPrBMml_I1kBhYyjrgR8qBKC9QGVUc/edit?resourcekey=&amp;gid=230793720#gid=230793720"",""Form Responses 1!B2:B199""),0),1), 0)"),0.0)</f>
        <v>0</v>
      </c>
      <c r="AF126" s="75">
        <f>IFERROR(__xludf.DUMMYFUNCTION("IFERROR(IF(Match(L126,IMPORTRANGE(""https://docs.google.com/spreadsheets/d/1UY0hI2S83Fmafa5P-C1LM9yqe4v4qIKTnVy_CzLzRPs/edit?resourcekey=&amp;gid=1583835601#gid=1583835601"",""Form Responses 1!B2:B194""),0),1), 0)"),0.0)</f>
        <v>0</v>
      </c>
      <c r="AG126" s="75">
        <f>IFERROR(__xludf.DUMMYFUNCTION("IFERROR(IF(Match(L126,IMPORTRANGE(""https://docs.google.com/spreadsheets/d/1hO4mQ22n6cudUygJ2ss_JeJdm2Ua_7hJl_79lWWEtic/edit?resourcekey=&amp;gid=2087212010#gid=2087212010"",""Form Responses 1!B2:B104""),0),1), 0)"),0.0)</f>
        <v>0</v>
      </c>
      <c r="AH126" s="10">
        <v>0.5</v>
      </c>
    </row>
    <row r="127" ht="22.5" customHeight="1">
      <c r="A127" s="102">
        <v>45917.666066562495</v>
      </c>
      <c r="B127" s="103" t="s">
        <v>119</v>
      </c>
      <c r="C127" s="103" t="s">
        <v>814</v>
      </c>
      <c r="D127" s="103" t="s">
        <v>493</v>
      </c>
      <c r="E127" s="103" t="s">
        <v>450</v>
      </c>
      <c r="F127" s="103" t="s">
        <v>436</v>
      </c>
      <c r="G127" s="103" t="s">
        <v>113</v>
      </c>
      <c r="H127" s="103" t="s">
        <v>815</v>
      </c>
      <c r="I127" s="96"/>
      <c r="J127" s="7"/>
      <c r="K127" s="7" t="s">
        <v>288</v>
      </c>
      <c r="L127" s="7" t="s">
        <v>289</v>
      </c>
      <c r="M127" s="7" t="s">
        <v>281</v>
      </c>
      <c r="N127" s="8" t="s">
        <v>28</v>
      </c>
      <c r="O127" s="7" t="s">
        <v>29</v>
      </c>
      <c r="P127" s="51">
        <v>22.0</v>
      </c>
      <c r="Q127" s="7" t="s">
        <v>447</v>
      </c>
      <c r="R127" s="97">
        <f t="shared" ref="R127:R139" si="86">IF(COUNTIF(B$2:B$149,L127)=0,0,1)</f>
        <v>1</v>
      </c>
      <c r="S127" s="97">
        <f t="shared" si="85"/>
        <v>1</v>
      </c>
      <c r="T127" s="98">
        <f t="shared" ref="T127:T140" si="87">IF(COUNTIF(B$275:B$401,L127)=0,0,1)</f>
        <v>1</v>
      </c>
      <c r="U127" s="99">
        <f>IFERROR(__xludf.DUMMYFUNCTION("IFERROR(IF(Match(L127,IMPORTRANGE(""https://docs.google.com/spreadsheets/d/1CAXKDiOnZb21bZOY_nacH9xI9AiD-nH8ZZQAwYKkVC0/edit?usp=drivesdk"",""Completed Exams!A1:A135""),0),1), 0)"),0.0)</f>
        <v>0</v>
      </c>
      <c r="V127" s="100">
        <f t="shared" si="66"/>
        <v>1</v>
      </c>
      <c r="W127" s="100">
        <v>1.0</v>
      </c>
      <c r="X127" s="101">
        <f t="shared" si="83"/>
        <v>1</v>
      </c>
      <c r="Y127" s="101">
        <f t="shared" si="84"/>
        <v>1</v>
      </c>
      <c r="Z127" s="101">
        <f t="shared" si="79"/>
        <v>1</v>
      </c>
      <c r="AA127" s="101">
        <f t="shared" si="82"/>
        <v>1</v>
      </c>
      <c r="AB127" s="101">
        <f>IFERROR(__xludf.DUMMYFUNCTION("IFERROR(IF(Match(L127,IMPORTRANGE(""https://docs.google.com/spreadsheets/d/1n1sT_Q_W3mKmn2Yrd8qcNzuRD4zr4DB9gqARnjQ30B4/edit?gid=1918970062#gid=1918970062"",""Form Responses 1!B2:B49""),0),1), 0)"),0.0)</f>
        <v>0</v>
      </c>
      <c r="AC127" s="101">
        <f t="shared" si="54"/>
        <v>1</v>
      </c>
      <c r="AD127" s="100">
        <v>1.0</v>
      </c>
      <c r="AE127" s="101">
        <f>IFERROR(__xludf.DUMMYFUNCTION("IFERROR(IF(Match(L127,IMPORTRANGE(""https://docs.google.com/spreadsheets/d/1hvckjcCpxEuDQDPrBMml_I1kBhYyjrgR8qBKC9QGVUc/edit?resourcekey=&amp;gid=230793720#gid=230793720"",""Form Responses 1!B2:B199""),0),1), 0)"),0.0)</f>
        <v>0</v>
      </c>
      <c r="AF127" s="75">
        <f>IFERROR(__xludf.DUMMYFUNCTION("IFERROR(IF(Match(L127,IMPORTRANGE(""https://docs.google.com/spreadsheets/d/1UY0hI2S83Fmafa5P-C1LM9yqe4v4qIKTnVy_CzLzRPs/edit?resourcekey=&amp;gid=1583835601#gid=1583835601"",""Form Responses 1!B2:B194""),0),1), 0)"),0.0)</f>
        <v>0</v>
      </c>
      <c r="AG127" s="75">
        <f>IFERROR(__xludf.DUMMYFUNCTION("IFERROR(IF(Match(L127,IMPORTRANGE(""https://docs.google.com/spreadsheets/d/1hO4mQ22n6cudUygJ2ss_JeJdm2Ua_7hJl_79lWWEtic/edit?resourcekey=&amp;gid=2087212010#gid=2087212010"",""Form Responses 1!B2:B104""),0),1), 0)"),0.0)</f>
        <v>0</v>
      </c>
      <c r="AH127" s="75">
        <f>IFERROR(__xludf.DUMMYFUNCTION("IFERROR(IF(Match(L127,IMPORTRANGE(""https://docs.google.com/spreadsheets/d/1HbfCXhSXbtTODKKY1MOFwJccyhgDKD0J9sO1k5l_6lM/edit?resourcekey=&amp;gid=1616384832#gid=1616384832"",""Form Responses 1!E2:E143""),0),1), 0)"),0.0)</f>
        <v>0</v>
      </c>
    </row>
    <row r="128" ht="22.5" customHeight="1">
      <c r="A128" s="102">
        <v>45917.66620892361</v>
      </c>
      <c r="B128" s="103" t="s">
        <v>217</v>
      </c>
      <c r="C128" s="103" t="s">
        <v>816</v>
      </c>
      <c r="D128" s="103" t="s">
        <v>647</v>
      </c>
      <c r="E128" s="103" t="s">
        <v>639</v>
      </c>
      <c r="F128" s="103" t="s">
        <v>436</v>
      </c>
      <c r="G128" s="103" t="s">
        <v>211</v>
      </c>
      <c r="H128" s="103" t="s">
        <v>817</v>
      </c>
      <c r="I128" s="96"/>
      <c r="J128" s="7"/>
      <c r="K128" s="16" t="s">
        <v>290</v>
      </c>
      <c r="L128" s="16" t="s">
        <v>291</v>
      </c>
      <c r="M128" s="16" t="s">
        <v>281</v>
      </c>
      <c r="N128" s="17" t="s">
        <v>28</v>
      </c>
      <c r="O128" s="16" t="s">
        <v>29</v>
      </c>
      <c r="P128" s="52">
        <v>22.0</v>
      </c>
      <c r="Q128" s="16" t="s">
        <v>447</v>
      </c>
      <c r="R128" s="97">
        <f t="shared" si="86"/>
        <v>1</v>
      </c>
      <c r="S128" s="97">
        <f t="shared" si="85"/>
        <v>1</v>
      </c>
      <c r="T128" s="98">
        <f t="shared" si="87"/>
        <v>1</v>
      </c>
      <c r="U128" s="99">
        <f>IFERROR(__xludf.DUMMYFUNCTION("IFERROR(IF(Match(L128,IMPORTRANGE(""https://docs.google.com/spreadsheets/d/1CAXKDiOnZb21bZOY_nacH9xI9AiD-nH8ZZQAwYKkVC0/edit?usp=drivesdk"",""Completed Exams!A1:A135""),0),1), 0)"),0.0)</f>
        <v>0</v>
      </c>
      <c r="V128" s="100">
        <f t="shared" si="66"/>
        <v>1</v>
      </c>
      <c r="W128" s="100">
        <f>IF(COUNTIF(B$535:B$602,L128)=0,0,1)</f>
        <v>0</v>
      </c>
      <c r="X128" s="101">
        <f t="shared" si="83"/>
        <v>0</v>
      </c>
      <c r="Y128" s="101">
        <f t="shared" si="84"/>
        <v>1</v>
      </c>
      <c r="Z128" s="101">
        <f t="shared" si="79"/>
        <v>1</v>
      </c>
      <c r="AA128" s="101">
        <f t="shared" si="82"/>
        <v>1</v>
      </c>
      <c r="AB128" s="101">
        <f>IFERROR(__xludf.DUMMYFUNCTION("IFERROR(IF(Match(L128,IMPORTRANGE(""https://docs.google.com/spreadsheets/d/1n1sT_Q_W3mKmn2Yrd8qcNzuRD4zr4DB9gqARnjQ30B4/edit?gid=1918970062#gid=1918970062"",""Form Responses 1!B2:B49""),0),1), 0)"),0.0)</f>
        <v>0</v>
      </c>
      <c r="AC128" s="101">
        <f t="shared" si="54"/>
        <v>0</v>
      </c>
      <c r="AD128" s="100">
        <v>0.0</v>
      </c>
      <c r="AE128" s="101">
        <f>IFERROR(__xludf.DUMMYFUNCTION("IFERROR(IF(Match(L128,IMPORTRANGE(""https://docs.google.com/spreadsheets/d/1hvckjcCpxEuDQDPrBMml_I1kBhYyjrgR8qBKC9QGVUc/edit?resourcekey=&amp;gid=230793720#gid=230793720"",""Form Responses 1!B2:B199""),0),1), 0)"),0.0)</f>
        <v>0</v>
      </c>
      <c r="AF128" s="75">
        <f>IFERROR(__xludf.DUMMYFUNCTION("IFERROR(IF(Match(L128,IMPORTRANGE(""https://docs.google.com/spreadsheets/d/1UY0hI2S83Fmafa5P-C1LM9yqe4v4qIKTnVy_CzLzRPs/edit?resourcekey=&amp;gid=1583835601#gid=1583835601"",""Form Responses 1!B2:B194""),0),1), 0)"),0.0)</f>
        <v>0</v>
      </c>
      <c r="AG128" s="75">
        <f>IFERROR(__xludf.DUMMYFUNCTION("IFERROR(IF(Match(L128,IMPORTRANGE(""https://docs.google.com/spreadsheets/d/1hO4mQ22n6cudUygJ2ss_JeJdm2Ua_7hJl_79lWWEtic/edit?resourcekey=&amp;gid=2087212010#gid=2087212010"",""Form Responses 1!B2:B104""),0),1), 0)"),0.0)</f>
        <v>0</v>
      </c>
      <c r="AH128" s="75">
        <f>IFERROR(__xludf.DUMMYFUNCTION("IFERROR(IF(Match(L128,IMPORTRANGE(""https://docs.google.com/spreadsheets/d/1HbfCXhSXbtTODKKY1MOFwJccyhgDKD0J9sO1k5l_6lM/edit?resourcekey=&amp;gid=1616384832#gid=1616384832"",""Form Responses 1!E2:E143""),0),1), 0)"),0.0)</f>
        <v>0</v>
      </c>
    </row>
    <row r="129" ht="22.5" customHeight="1">
      <c r="A129" s="102">
        <v>45917.66631262732</v>
      </c>
      <c r="B129" s="103" t="s">
        <v>219</v>
      </c>
      <c r="C129" s="103" t="s">
        <v>818</v>
      </c>
      <c r="D129" s="103" t="s">
        <v>819</v>
      </c>
      <c r="E129" s="103" t="s">
        <v>450</v>
      </c>
      <c r="F129" s="103" t="s">
        <v>436</v>
      </c>
      <c r="G129" s="103" t="s">
        <v>820</v>
      </c>
      <c r="H129" s="103" t="s">
        <v>817</v>
      </c>
      <c r="I129" s="96"/>
      <c r="J129" s="7"/>
      <c r="K129" s="7" t="s">
        <v>292</v>
      </c>
      <c r="L129" s="7" t="s">
        <v>293</v>
      </c>
      <c r="M129" s="7" t="s">
        <v>294</v>
      </c>
      <c r="N129" s="8" t="s">
        <v>28</v>
      </c>
      <c r="O129" s="7" t="s">
        <v>29</v>
      </c>
      <c r="P129" s="38">
        <v>23.0</v>
      </c>
      <c r="Q129" s="7" t="s">
        <v>821</v>
      </c>
      <c r="R129" s="97">
        <f t="shared" si="86"/>
        <v>1</v>
      </c>
      <c r="S129" s="97">
        <f t="shared" si="85"/>
        <v>1</v>
      </c>
      <c r="T129" s="98">
        <f t="shared" si="87"/>
        <v>1</v>
      </c>
      <c r="U129" s="99">
        <f>IFERROR(__xludf.DUMMYFUNCTION("IFERROR(IF(Match(L129,IMPORTRANGE(""https://docs.google.com/spreadsheets/d/1CAXKDiOnZb21bZOY_nacH9xI9AiD-nH8ZZQAwYKkVC0/edit?usp=drivesdk"",""Completed Exams!A1:A135""),0),1), 0)"),0.0)</f>
        <v>0</v>
      </c>
      <c r="V129" s="100">
        <f t="shared" si="66"/>
        <v>1</v>
      </c>
      <c r="W129" s="100">
        <v>1.0</v>
      </c>
      <c r="X129" s="101">
        <f t="shared" si="83"/>
        <v>1</v>
      </c>
      <c r="Y129" s="101">
        <f t="shared" si="84"/>
        <v>1</v>
      </c>
      <c r="Z129" s="101">
        <f t="shared" si="79"/>
        <v>1</v>
      </c>
      <c r="AA129" s="101">
        <f t="shared" si="82"/>
        <v>1</v>
      </c>
      <c r="AB129" s="101">
        <f>IFERROR(__xludf.DUMMYFUNCTION("IFERROR(IF(Match(L129,IMPORTRANGE(""https://docs.google.com/spreadsheets/d/1n1sT_Q_W3mKmn2Yrd8qcNzuRD4zr4DB9gqARnjQ30B4/edit?gid=1918970062#gid=1918970062"",""Form Responses 1!B2:B49""),0),1), 0)"),0.0)</f>
        <v>0</v>
      </c>
      <c r="AC129" s="101">
        <f t="shared" si="54"/>
        <v>1</v>
      </c>
      <c r="AD129" s="100">
        <v>1.0</v>
      </c>
      <c r="AE129" s="101">
        <f>IFERROR(__xludf.DUMMYFUNCTION("IFERROR(IF(Match(L129,IMPORTRANGE(""https://docs.google.com/spreadsheets/d/1hvckjcCpxEuDQDPrBMml_I1kBhYyjrgR8qBKC9QGVUc/edit?resourcekey=&amp;gid=230793720#gid=230793720"",""Form Responses 1!B2:B199""),0),1), 0)"),0.0)</f>
        <v>0</v>
      </c>
      <c r="AF129" s="75">
        <f>IFERROR(__xludf.DUMMYFUNCTION("IFERROR(IF(Match(L129,IMPORTRANGE(""https://docs.google.com/spreadsheets/d/1UY0hI2S83Fmafa5P-C1LM9yqe4v4qIKTnVy_CzLzRPs/edit?resourcekey=&amp;gid=1583835601#gid=1583835601"",""Form Responses 1!B2:B194""),0),1), 0)"),0.0)</f>
        <v>0</v>
      </c>
      <c r="AG129" s="75">
        <f>IFERROR(__xludf.DUMMYFUNCTION("IFERROR(IF(Match(L129,IMPORTRANGE(""https://docs.google.com/spreadsheets/d/1hO4mQ22n6cudUygJ2ss_JeJdm2Ua_7hJl_79lWWEtic/edit?resourcekey=&amp;gid=2087212010#gid=2087212010"",""Form Responses 1!B2:B104""),0),1), 0)"),0.0)</f>
        <v>0</v>
      </c>
      <c r="AH129" s="75">
        <f>IFERROR(__xludf.DUMMYFUNCTION("IFERROR(IF(Match(L129,IMPORTRANGE(""https://docs.google.com/spreadsheets/d/1HbfCXhSXbtTODKKY1MOFwJccyhgDKD0J9sO1k5l_6lM/edit?resourcekey=&amp;gid=1616384832#gid=1616384832"",""Form Responses 1!E2:E143""),0),1), 0)"),0.0)</f>
        <v>0</v>
      </c>
    </row>
    <row r="130" ht="22.5" customHeight="1">
      <c r="A130" s="102">
        <v>45917.666375960645</v>
      </c>
      <c r="B130" s="103" t="s">
        <v>822</v>
      </c>
      <c r="C130" s="103" t="s">
        <v>741</v>
      </c>
      <c r="D130" s="103" t="s">
        <v>823</v>
      </c>
      <c r="E130" s="103" t="s">
        <v>420</v>
      </c>
      <c r="F130" s="103" t="s">
        <v>436</v>
      </c>
      <c r="G130" s="103" t="s">
        <v>71</v>
      </c>
      <c r="H130" s="103" t="s">
        <v>824</v>
      </c>
      <c r="I130" s="96"/>
      <c r="J130" s="7"/>
      <c r="K130" s="7" t="s">
        <v>295</v>
      </c>
      <c r="L130" s="7" t="s">
        <v>296</v>
      </c>
      <c r="M130" s="7" t="s">
        <v>294</v>
      </c>
      <c r="N130" s="8" t="s">
        <v>28</v>
      </c>
      <c r="O130" s="7" t="s">
        <v>29</v>
      </c>
      <c r="P130" s="38">
        <v>23.0</v>
      </c>
      <c r="Q130" s="7" t="s">
        <v>464</v>
      </c>
      <c r="R130" s="97">
        <f t="shared" si="86"/>
        <v>1</v>
      </c>
      <c r="S130" s="97">
        <f t="shared" si="85"/>
        <v>0</v>
      </c>
      <c r="T130" s="98">
        <f t="shared" si="87"/>
        <v>1</v>
      </c>
      <c r="U130" s="99">
        <f>IFERROR(__xludf.DUMMYFUNCTION("IFERROR(IF(Match(L130,IMPORTRANGE(""https://docs.google.com/spreadsheets/d/1CAXKDiOnZb21bZOY_nacH9xI9AiD-nH8ZZQAwYKkVC0/edit?usp=drivesdk"",""Completed Exams!A1:A135""),0),1), 0)"),0.0)</f>
        <v>0</v>
      </c>
      <c r="V130" s="100">
        <f t="shared" si="66"/>
        <v>0</v>
      </c>
      <c r="W130" s="100">
        <f t="shared" ref="W130:W132" si="88">IF(COUNTIF(B$535:B$602,L130)=0,0,1)</f>
        <v>1</v>
      </c>
      <c r="X130" s="100">
        <v>0.5</v>
      </c>
      <c r="Y130" s="101">
        <f t="shared" si="84"/>
        <v>1</v>
      </c>
      <c r="Z130" s="101">
        <f t="shared" si="79"/>
        <v>1</v>
      </c>
      <c r="AA130" s="101">
        <f t="shared" si="82"/>
        <v>1</v>
      </c>
      <c r="AB130" s="101">
        <f>IFERROR(__xludf.DUMMYFUNCTION("IFERROR(IF(Match(L130,IMPORTRANGE(""https://docs.google.com/spreadsheets/d/1n1sT_Q_W3mKmn2Yrd8qcNzuRD4zr4DB9gqARnjQ30B4/edit?gid=1918970062#gid=1918970062"",""Form Responses 1!B2:B49""),0),1), 0)"),0.0)</f>
        <v>0</v>
      </c>
      <c r="AC130" s="101">
        <f t="shared" si="54"/>
        <v>1</v>
      </c>
      <c r="AD130" s="100">
        <v>0.5</v>
      </c>
      <c r="AE130" s="101">
        <f>IFERROR(__xludf.DUMMYFUNCTION("IFERROR(IF(Match(L130,IMPORTRANGE(""https://docs.google.com/spreadsheets/d/1hvckjcCpxEuDQDPrBMml_I1kBhYyjrgR8qBKC9QGVUc/edit?resourcekey=&amp;gid=230793720#gid=230793720"",""Form Responses 1!B2:B199""),0),1), 0)"),0.0)</f>
        <v>0</v>
      </c>
      <c r="AF130" s="75">
        <f>IFERROR(__xludf.DUMMYFUNCTION("IFERROR(IF(Match(L130,IMPORTRANGE(""https://docs.google.com/spreadsheets/d/1UY0hI2S83Fmafa5P-C1LM9yqe4v4qIKTnVy_CzLzRPs/edit?resourcekey=&amp;gid=1583835601#gid=1583835601"",""Form Responses 1!B2:B194""),0),1), 0)"),0.0)</f>
        <v>0</v>
      </c>
      <c r="AG130" s="75">
        <f>IFERROR(__xludf.DUMMYFUNCTION("IFERROR(IF(Match(L130,IMPORTRANGE(""https://docs.google.com/spreadsheets/d/1hO4mQ22n6cudUygJ2ss_JeJdm2Ua_7hJl_79lWWEtic/edit?resourcekey=&amp;gid=2087212010#gid=2087212010"",""Form Responses 1!B2:B104""),0),1), 0)"),0.0)</f>
        <v>0</v>
      </c>
      <c r="AH130" s="75">
        <f>IFERROR(__xludf.DUMMYFUNCTION("IFERROR(IF(Match(L130,IMPORTRANGE(""https://docs.google.com/spreadsheets/d/1HbfCXhSXbtTODKKY1MOFwJccyhgDKD0J9sO1k5l_6lM/edit?resourcekey=&amp;gid=1616384832#gid=1616384832"",""Form Responses 1!E2:E143""),0),1), 0)"),0.0)</f>
        <v>0</v>
      </c>
    </row>
    <row r="131" ht="22.5" customHeight="1">
      <c r="A131" s="102">
        <v>45917.66641842593</v>
      </c>
      <c r="B131" s="103" t="s">
        <v>68</v>
      </c>
      <c r="C131" s="103" t="s">
        <v>825</v>
      </c>
      <c r="D131" s="103" t="s">
        <v>515</v>
      </c>
      <c r="E131" s="103" t="s">
        <v>450</v>
      </c>
      <c r="F131" s="103" t="s">
        <v>436</v>
      </c>
      <c r="G131" s="103" t="s">
        <v>62</v>
      </c>
      <c r="H131" s="103" t="s">
        <v>684</v>
      </c>
      <c r="I131" s="96"/>
      <c r="J131" s="7"/>
      <c r="K131" s="7" t="s">
        <v>297</v>
      </c>
      <c r="L131" s="7" t="s">
        <v>298</v>
      </c>
      <c r="M131" s="7" t="s">
        <v>294</v>
      </c>
      <c r="N131" s="8" t="s">
        <v>28</v>
      </c>
      <c r="O131" s="7" t="s">
        <v>29</v>
      </c>
      <c r="P131" s="38">
        <v>23.0</v>
      </c>
      <c r="Q131" s="7" t="s">
        <v>575</v>
      </c>
      <c r="R131" s="97">
        <f t="shared" si="86"/>
        <v>1</v>
      </c>
      <c r="S131" s="97">
        <f t="shared" si="85"/>
        <v>1</v>
      </c>
      <c r="T131" s="98">
        <f t="shared" si="87"/>
        <v>1</v>
      </c>
      <c r="U131" s="99">
        <f>IFERROR(__xludf.DUMMYFUNCTION("IFERROR(IF(Match(L131,IMPORTRANGE(""https://docs.google.com/spreadsheets/d/1CAXKDiOnZb21bZOY_nacH9xI9AiD-nH8ZZQAwYKkVC0/edit?usp=drivesdk"",""Completed Exams!A1:A135""),0),1), 0)"),0.0)</f>
        <v>0</v>
      </c>
      <c r="V131" s="100">
        <f t="shared" si="66"/>
        <v>1</v>
      </c>
      <c r="W131" s="100">
        <f t="shared" si="88"/>
        <v>1</v>
      </c>
      <c r="X131" s="101">
        <f t="shared" ref="X131:X151" si="89">IF(COUNTIF(B$603:B$725,L131)=0,0,1)</f>
        <v>1</v>
      </c>
      <c r="Y131" s="101">
        <f t="shared" si="84"/>
        <v>1</v>
      </c>
      <c r="Z131" s="101">
        <f t="shared" si="79"/>
        <v>1</v>
      </c>
      <c r="AA131" s="101">
        <f t="shared" si="82"/>
        <v>1</v>
      </c>
      <c r="AB131" s="101">
        <f>IFERROR(__xludf.DUMMYFUNCTION("IFERROR(IF(Match(L131,IMPORTRANGE(""https://docs.google.com/spreadsheets/d/1n1sT_Q_W3mKmn2Yrd8qcNzuRD4zr4DB9gqARnjQ30B4/edit?gid=1918970062#gid=1918970062"",""Form Responses 1!B2:B49""),0),1), 0)"),0.0)</f>
        <v>0</v>
      </c>
      <c r="AC131" s="101">
        <f t="shared" si="54"/>
        <v>1</v>
      </c>
      <c r="AD131" s="100">
        <v>0.0</v>
      </c>
      <c r="AE131" s="101">
        <f>IFERROR(__xludf.DUMMYFUNCTION("IFERROR(IF(Match(L131,IMPORTRANGE(""https://docs.google.com/spreadsheets/d/1hvckjcCpxEuDQDPrBMml_I1kBhYyjrgR8qBKC9QGVUc/edit?resourcekey=&amp;gid=230793720#gid=230793720"",""Form Responses 1!B2:B199""),0),1), 0)"),0.0)</f>
        <v>0</v>
      </c>
      <c r="AF131" s="10">
        <v>0.5</v>
      </c>
      <c r="AG131" s="75">
        <f>IFERROR(__xludf.DUMMYFUNCTION("IFERROR(IF(Match(L131,IMPORTRANGE(""https://docs.google.com/spreadsheets/d/1hO4mQ22n6cudUygJ2ss_JeJdm2Ua_7hJl_79lWWEtic/edit?resourcekey=&amp;gid=2087212010#gid=2087212010"",""Form Responses 1!B2:B104""),0),1), 0)"),0.0)</f>
        <v>0</v>
      </c>
      <c r="AH131" s="75">
        <f>IFERROR(__xludf.DUMMYFUNCTION("IFERROR(IF(Match(L131,IMPORTRANGE(""https://docs.google.com/spreadsheets/d/1HbfCXhSXbtTODKKY1MOFwJccyhgDKD0J9sO1k5l_6lM/edit?resourcekey=&amp;gid=1616384832#gid=1616384832"",""Form Responses 1!E2:E143""),0),1), 0)"),0.0)</f>
        <v>0</v>
      </c>
    </row>
    <row r="132" ht="22.5" customHeight="1">
      <c r="A132" s="102">
        <v>45917.666456273146</v>
      </c>
      <c r="B132" s="103" t="s">
        <v>328</v>
      </c>
      <c r="C132" s="103" t="s">
        <v>826</v>
      </c>
      <c r="D132" s="103" t="s">
        <v>827</v>
      </c>
      <c r="E132" s="103" t="s">
        <v>578</v>
      </c>
      <c r="F132" s="103" t="s">
        <v>436</v>
      </c>
      <c r="G132" s="103" t="s">
        <v>38</v>
      </c>
      <c r="H132" s="103" t="s">
        <v>828</v>
      </c>
      <c r="I132" s="96"/>
      <c r="J132" s="37"/>
      <c r="K132" s="37" t="s">
        <v>299</v>
      </c>
      <c r="L132" s="7" t="s">
        <v>300</v>
      </c>
      <c r="M132" s="7" t="s">
        <v>294</v>
      </c>
      <c r="N132" s="74" t="s">
        <v>24</v>
      </c>
      <c r="O132" s="13" t="s">
        <v>25</v>
      </c>
      <c r="P132" s="38">
        <v>23.0</v>
      </c>
      <c r="Q132" s="7" t="s">
        <v>575</v>
      </c>
      <c r="R132" s="97">
        <f t="shared" si="86"/>
        <v>1</v>
      </c>
      <c r="S132" s="97">
        <f t="shared" si="85"/>
        <v>0</v>
      </c>
      <c r="T132" s="98">
        <f t="shared" si="87"/>
        <v>0</v>
      </c>
      <c r="U132" s="99">
        <f>IFERROR(__xludf.DUMMYFUNCTION("IFERROR(IF(Match(L132,IMPORTRANGE(""https://docs.google.com/spreadsheets/d/1CAXKDiOnZb21bZOY_nacH9xI9AiD-nH8ZZQAwYKkVC0/edit?usp=drivesdk"",""Completed Exams!A1:A135""),0),1), 0)"),0.0)</f>
        <v>0</v>
      </c>
      <c r="V132" s="100">
        <f t="shared" si="66"/>
        <v>0</v>
      </c>
      <c r="W132" s="100">
        <f t="shared" si="88"/>
        <v>1</v>
      </c>
      <c r="X132" s="101">
        <f t="shared" si="89"/>
        <v>0</v>
      </c>
      <c r="Y132" s="101">
        <f t="shared" si="84"/>
        <v>0</v>
      </c>
      <c r="Z132" s="101">
        <f t="shared" si="79"/>
        <v>1</v>
      </c>
      <c r="AA132" s="101">
        <f t="shared" si="82"/>
        <v>1</v>
      </c>
      <c r="AB132" s="101">
        <f>IFERROR(__xludf.DUMMYFUNCTION("IFERROR(IF(Match(L132,IMPORTRANGE(""https://docs.google.com/spreadsheets/d/1n1sT_Q_W3mKmn2Yrd8qcNzuRD4zr4DB9gqARnjQ30B4/edit?gid=1918970062#gid=1918970062"",""Form Responses 1!B2:B49""),0),1), 0)"),0.0)</f>
        <v>0</v>
      </c>
      <c r="AC132" s="101">
        <f t="shared" si="54"/>
        <v>0</v>
      </c>
      <c r="AD132" s="100">
        <v>0.0</v>
      </c>
      <c r="AE132" s="101">
        <f>IFERROR(__xludf.DUMMYFUNCTION("IFERROR(IF(Match(L132,IMPORTRANGE(""https://docs.google.com/spreadsheets/d/1hvckjcCpxEuDQDPrBMml_I1kBhYyjrgR8qBKC9QGVUc/edit?resourcekey=&amp;gid=230793720#gid=230793720"",""Form Responses 1!B2:B199""),0),1), 0)"),0.0)</f>
        <v>0</v>
      </c>
      <c r="AF132" s="75">
        <f>IFERROR(__xludf.DUMMYFUNCTION("IFERROR(IF(Match(L132,IMPORTRANGE(""https://docs.google.com/spreadsheets/d/1UY0hI2S83Fmafa5P-C1LM9yqe4v4qIKTnVy_CzLzRPs/edit?resourcekey=&amp;gid=1583835601#gid=1583835601"",""Form Responses 1!B2:B194""),0),1), 0)"),0.0)</f>
        <v>0</v>
      </c>
      <c r="AG132" s="75">
        <f>IFERROR(__xludf.DUMMYFUNCTION("IFERROR(IF(Match(L132,IMPORTRANGE(""https://docs.google.com/spreadsheets/d/1hO4mQ22n6cudUygJ2ss_JeJdm2Ua_7hJl_79lWWEtic/edit?resourcekey=&amp;gid=2087212010#gid=2087212010"",""Form Responses 1!B2:B104""),0),1), 0)"),0.0)</f>
        <v>0</v>
      </c>
      <c r="AH132" s="75">
        <f>IFERROR(__xludf.DUMMYFUNCTION("IFERROR(IF(Match(L132,IMPORTRANGE(""https://docs.google.com/spreadsheets/d/1HbfCXhSXbtTODKKY1MOFwJccyhgDKD0J9sO1k5l_6lM/edit?resourcekey=&amp;gid=1616384832#gid=1616384832"",""Form Responses 1!E2:E143""),0),1), 0)"),0.0)</f>
        <v>0</v>
      </c>
    </row>
    <row r="133" ht="22.5" customHeight="1">
      <c r="A133" s="102">
        <v>45917.666751655095</v>
      </c>
      <c r="B133" s="103" t="s">
        <v>123</v>
      </c>
      <c r="C133" s="103" t="s">
        <v>829</v>
      </c>
      <c r="D133" s="103" t="s">
        <v>654</v>
      </c>
      <c r="E133" s="103" t="s">
        <v>450</v>
      </c>
      <c r="F133" s="103" t="s">
        <v>436</v>
      </c>
      <c r="G133" s="103" t="s">
        <v>124</v>
      </c>
      <c r="H133" s="103" t="s">
        <v>817</v>
      </c>
      <c r="I133" s="96"/>
      <c r="J133" s="7"/>
      <c r="K133" s="7" t="s">
        <v>301</v>
      </c>
      <c r="L133" s="7" t="s">
        <v>302</v>
      </c>
      <c r="M133" s="7" t="s">
        <v>294</v>
      </c>
      <c r="N133" s="8" t="s">
        <v>28</v>
      </c>
      <c r="O133" s="7" t="s">
        <v>29</v>
      </c>
      <c r="P133" s="38">
        <v>23.0</v>
      </c>
      <c r="Q133" s="7" t="s">
        <v>575</v>
      </c>
      <c r="R133" s="97">
        <f t="shared" si="86"/>
        <v>1</v>
      </c>
      <c r="S133" s="97">
        <f t="shared" si="85"/>
        <v>1</v>
      </c>
      <c r="T133" s="98">
        <f t="shared" si="87"/>
        <v>1</v>
      </c>
      <c r="U133" s="99">
        <f>IFERROR(__xludf.DUMMYFUNCTION("IFERROR(IF(Match(L133,IMPORTRANGE(""https://docs.google.com/spreadsheets/d/1CAXKDiOnZb21bZOY_nacH9xI9AiD-nH8ZZQAwYKkVC0/edit?usp=drivesdk"",""Completed Exams!A1:A135""),0),1), 0)"),0.0)</f>
        <v>0</v>
      </c>
      <c r="V133" s="100">
        <f t="shared" si="66"/>
        <v>1</v>
      </c>
      <c r="W133" s="100">
        <v>1.0</v>
      </c>
      <c r="X133" s="101">
        <f t="shared" si="89"/>
        <v>0</v>
      </c>
      <c r="Y133" s="101">
        <f t="shared" si="84"/>
        <v>1</v>
      </c>
      <c r="Z133" s="101">
        <f t="shared" si="79"/>
        <v>1</v>
      </c>
      <c r="AA133" s="101">
        <f t="shared" si="82"/>
        <v>0</v>
      </c>
      <c r="AB133" s="101">
        <f>IFERROR(__xludf.DUMMYFUNCTION("IFERROR(IF(Match(L133,IMPORTRANGE(""https://docs.google.com/spreadsheets/d/1n1sT_Q_W3mKmn2Yrd8qcNzuRD4zr4DB9gqARnjQ30B4/edit?gid=1918970062#gid=1918970062"",""Form Responses 1!B2:B49""),0),1), 0)"),0.0)</f>
        <v>0</v>
      </c>
      <c r="AC133" s="101">
        <f t="shared" si="54"/>
        <v>1</v>
      </c>
      <c r="AD133" s="100">
        <v>0.0</v>
      </c>
      <c r="AE133" s="101">
        <f>IFERROR(__xludf.DUMMYFUNCTION("IFERROR(IF(Match(L133,IMPORTRANGE(""https://docs.google.com/spreadsheets/d/1hvckjcCpxEuDQDPrBMml_I1kBhYyjrgR8qBKC9QGVUc/edit?resourcekey=&amp;gid=230793720#gid=230793720"",""Form Responses 1!B2:B199""),0),1), 0)"),0.0)</f>
        <v>0</v>
      </c>
      <c r="AF133" s="75">
        <f>IFERROR(__xludf.DUMMYFUNCTION("IFERROR(IF(Match(L133,IMPORTRANGE(""https://docs.google.com/spreadsheets/d/1UY0hI2S83Fmafa5P-C1LM9yqe4v4qIKTnVy_CzLzRPs/edit?resourcekey=&amp;gid=1583835601#gid=1583835601"",""Form Responses 1!B2:B194""),0),1), 0)"),0.0)</f>
        <v>0</v>
      </c>
      <c r="AG133" s="75">
        <f>IFERROR(__xludf.DUMMYFUNCTION("IFERROR(IF(Match(L133,IMPORTRANGE(""https://docs.google.com/spreadsheets/d/1hO4mQ22n6cudUygJ2ss_JeJdm2Ua_7hJl_79lWWEtic/edit?resourcekey=&amp;gid=2087212010#gid=2087212010"",""Form Responses 1!B2:B104""),0),1), 0)"),0.0)</f>
        <v>0</v>
      </c>
      <c r="AH133" s="75">
        <f>IFERROR(__xludf.DUMMYFUNCTION("IFERROR(IF(Match(L133,IMPORTRANGE(""https://docs.google.com/spreadsheets/d/1HbfCXhSXbtTODKKY1MOFwJccyhgDKD0J9sO1k5l_6lM/edit?resourcekey=&amp;gid=1616384832#gid=1616384832"",""Form Responses 1!E2:E143""),0),1), 0)"),0.0)</f>
        <v>0</v>
      </c>
    </row>
    <row r="134" ht="22.5" customHeight="1">
      <c r="A134" s="102">
        <v>45917.666809201386</v>
      </c>
      <c r="B134" s="103" t="s">
        <v>128</v>
      </c>
      <c r="C134" s="103" t="s">
        <v>561</v>
      </c>
      <c r="D134" s="103" t="s">
        <v>830</v>
      </c>
      <c r="E134" s="103" t="s">
        <v>450</v>
      </c>
      <c r="F134" s="103" t="s">
        <v>436</v>
      </c>
      <c r="G134" s="103" t="s">
        <v>831</v>
      </c>
      <c r="H134" s="103" t="s">
        <v>796</v>
      </c>
      <c r="I134" s="96"/>
      <c r="J134" s="7"/>
      <c r="K134" s="7" t="s">
        <v>303</v>
      </c>
      <c r="L134" s="7" t="s">
        <v>304</v>
      </c>
      <c r="M134" s="7" t="s">
        <v>294</v>
      </c>
      <c r="N134" s="8" t="s">
        <v>24</v>
      </c>
      <c r="O134" s="7" t="s">
        <v>93</v>
      </c>
      <c r="P134" s="38">
        <v>23.0</v>
      </c>
      <c r="Q134" s="7" t="s">
        <v>438</v>
      </c>
      <c r="R134" s="97">
        <f t="shared" si="86"/>
        <v>0</v>
      </c>
      <c r="S134" s="97">
        <f t="shared" si="85"/>
        <v>1</v>
      </c>
      <c r="T134" s="98">
        <f t="shared" si="87"/>
        <v>1</v>
      </c>
      <c r="U134" s="99">
        <f>IFERROR(__xludf.DUMMYFUNCTION("IFERROR(IF(Match(L134,IMPORTRANGE(""https://docs.google.com/spreadsheets/d/1CAXKDiOnZb21bZOY_nacH9xI9AiD-nH8ZZQAwYKkVC0/edit?usp=drivesdk"",""Completed Exams!A1:A135""),0),1), 0)"),0.0)</f>
        <v>0</v>
      </c>
      <c r="V134" s="100">
        <f t="shared" si="66"/>
        <v>1</v>
      </c>
      <c r="W134" s="100">
        <f t="shared" ref="W134:W150" si="90">IF(COUNTIF(B$535:B$602,L134)=0,0,1)</f>
        <v>1</v>
      </c>
      <c r="X134" s="101">
        <f t="shared" si="89"/>
        <v>1</v>
      </c>
      <c r="Y134" s="101">
        <f t="shared" si="84"/>
        <v>0</v>
      </c>
      <c r="Z134" s="101">
        <f t="shared" si="79"/>
        <v>0</v>
      </c>
      <c r="AA134" s="101">
        <f t="shared" si="82"/>
        <v>1</v>
      </c>
      <c r="AB134" s="100">
        <v>1.0</v>
      </c>
      <c r="AC134" s="101">
        <f t="shared" si="54"/>
        <v>1</v>
      </c>
      <c r="AD134" s="100">
        <v>0.0</v>
      </c>
      <c r="AE134" s="101">
        <f>IFERROR(__xludf.DUMMYFUNCTION("IFERROR(IF(Match(L134,IMPORTRANGE(""https://docs.google.com/spreadsheets/d/1hvckjcCpxEuDQDPrBMml_I1kBhYyjrgR8qBKC9QGVUc/edit?resourcekey=&amp;gid=230793720#gid=230793720"",""Form Responses 1!B2:B199""),0),1), 0)"),0.0)</f>
        <v>0</v>
      </c>
      <c r="AF134" s="75">
        <f>IFERROR(__xludf.DUMMYFUNCTION("IFERROR(IF(Match(L134,IMPORTRANGE(""https://docs.google.com/spreadsheets/d/1UY0hI2S83Fmafa5P-C1LM9yqe4v4qIKTnVy_CzLzRPs/edit?resourcekey=&amp;gid=1583835601#gid=1583835601"",""Form Responses 1!B2:B194""),0),1), 0)"),0.0)</f>
        <v>0</v>
      </c>
      <c r="AG134" s="75">
        <f>IFERROR(__xludf.DUMMYFUNCTION("IFERROR(IF(Match(L134,IMPORTRANGE(""https://docs.google.com/spreadsheets/d/1hO4mQ22n6cudUygJ2ss_JeJdm2Ua_7hJl_79lWWEtic/edit?resourcekey=&amp;gid=2087212010#gid=2087212010"",""Form Responses 1!B2:B104""),0),1), 0)"),0.0)</f>
        <v>0</v>
      </c>
      <c r="AH134" s="75">
        <f>IFERROR(__xludf.DUMMYFUNCTION("IFERROR(IF(Match(L134,IMPORTRANGE(""https://docs.google.com/spreadsheets/d/1HbfCXhSXbtTODKKY1MOFwJccyhgDKD0J9sO1k5l_6lM/edit?resourcekey=&amp;gid=1616384832#gid=1616384832"",""Form Responses 1!E2:E143""),0),1), 0)"),0.0)</f>
        <v>0</v>
      </c>
    </row>
    <row r="135" ht="22.5" customHeight="1">
      <c r="A135" s="102">
        <v>45917.66750917824</v>
      </c>
      <c r="B135" s="103" t="s">
        <v>48</v>
      </c>
      <c r="C135" s="103" t="s">
        <v>832</v>
      </c>
      <c r="D135" s="103" t="s">
        <v>833</v>
      </c>
      <c r="E135" s="103" t="s">
        <v>494</v>
      </c>
      <c r="F135" s="103" t="s">
        <v>441</v>
      </c>
      <c r="G135" s="103" t="s">
        <v>49</v>
      </c>
      <c r="H135" s="103" t="s">
        <v>496</v>
      </c>
      <c r="I135" s="96"/>
      <c r="J135" s="7"/>
      <c r="K135" s="16" t="s">
        <v>305</v>
      </c>
      <c r="L135" s="16" t="s">
        <v>306</v>
      </c>
      <c r="M135" s="16" t="s">
        <v>294</v>
      </c>
      <c r="N135" s="17" t="s">
        <v>11</v>
      </c>
      <c r="O135" s="16" t="s">
        <v>12</v>
      </c>
      <c r="P135" s="42">
        <v>23.0</v>
      </c>
      <c r="Q135" s="16" t="s">
        <v>438</v>
      </c>
      <c r="R135" s="97">
        <f t="shared" si="86"/>
        <v>0</v>
      </c>
      <c r="S135" s="97">
        <f t="shared" si="85"/>
        <v>1</v>
      </c>
      <c r="T135" s="98">
        <f t="shared" si="87"/>
        <v>1</v>
      </c>
      <c r="U135" s="98">
        <v>0.5</v>
      </c>
      <c r="V135" s="100">
        <f t="shared" si="66"/>
        <v>1</v>
      </c>
      <c r="W135" s="100">
        <f t="shared" si="90"/>
        <v>1</v>
      </c>
      <c r="X135" s="101">
        <f t="shared" si="89"/>
        <v>1</v>
      </c>
      <c r="Y135" s="101">
        <f t="shared" si="84"/>
        <v>1</v>
      </c>
      <c r="Z135" s="101">
        <f t="shared" si="79"/>
        <v>1</v>
      </c>
      <c r="AA135" s="101">
        <f t="shared" si="82"/>
        <v>0</v>
      </c>
      <c r="AB135" s="101">
        <f>IFERROR(__xludf.DUMMYFUNCTION("IFERROR(IF(Match(L135,IMPORTRANGE(""https://docs.google.com/spreadsheets/d/1n1sT_Q_W3mKmn2Yrd8qcNzuRD4zr4DB9gqARnjQ30B4/edit?gid=1918970062#gid=1918970062"",""Form Responses 1!B2:B49""),0),1), 0)"),0.0)</f>
        <v>0</v>
      </c>
      <c r="AC135" s="101">
        <f t="shared" si="54"/>
        <v>1</v>
      </c>
      <c r="AD135" s="100">
        <v>0.0</v>
      </c>
      <c r="AE135" s="101">
        <f>IFERROR(__xludf.DUMMYFUNCTION("IFERROR(IF(Match(L135,IMPORTRANGE(""https://docs.google.com/spreadsheets/d/1hvckjcCpxEuDQDPrBMml_I1kBhYyjrgR8qBKC9QGVUc/edit?resourcekey=&amp;gid=230793720#gid=230793720"",""Form Responses 1!B2:B199""),0),1), 0)"),0.0)</f>
        <v>0</v>
      </c>
      <c r="AF135" s="75">
        <f>IFERROR(__xludf.DUMMYFUNCTION("IFERROR(IF(Match(L135,IMPORTRANGE(""https://docs.google.com/spreadsheets/d/1UY0hI2S83Fmafa5P-C1LM9yqe4v4qIKTnVy_CzLzRPs/edit?resourcekey=&amp;gid=1583835601#gid=1583835601"",""Form Responses 1!B2:B194""),0),1), 0)"),0.0)</f>
        <v>0</v>
      </c>
      <c r="AG135" s="75">
        <f>IFERROR(__xludf.DUMMYFUNCTION("IFERROR(IF(Match(L135,IMPORTRANGE(""https://docs.google.com/spreadsheets/d/1hO4mQ22n6cudUygJ2ss_JeJdm2Ua_7hJl_79lWWEtic/edit?resourcekey=&amp;gid=2087212010#gid=2087212010"",""Form Responses 1!B2:B104""),0),1), 0)"),0.0)</f>
        <v>0</v>
      </c>
      <c r="AH135" s="75">
        <f>IFERROR(__xludf.DUMMYFUNCTION("IFERROR(IF(Match(L135,IMPORTRANGE(""https://docs.google.com/spreadsheets/d/1HbfCXhSXbtTODKKY1MOFwJccyhgDKD0J9sO1k5l_6lM/edit?resourcekey=&amp;gid=1616384832#gid=1616384832"",""Form Responses 1!E2:E143""),0),1), 0)"),0.0)</f>
        <v>0</v>
      </c>
    </row>
    <row r="136" ht="22.5" customHeight="1">
      <c r="A136" s="102">
        <v>45917.667836203706</v>
      </c>
      <c r="B136" s="103" t="s">
        <v>402</v>
      </c>
      <c r="C136" s="103" t="s">
        <v>834</v>
      </c>
      <c r="D136" s="103" t="s">
        <v>835</v>
      </c>
      <c r="E136" s="103" t="s">
        <v>578</v>
      </c>
      <c r="F136" s="103" t="s">
        <v>441</v>
      </c>
      <c r="G136" s="103" t="s">
        <v>585</v>
      </c>
      <c r="H136" s="103" t="s">
        <v>836</v>
      </c>
      <c r="I136" s="96"/>
      <c r="J136" s="7"/>
      <c r="K136" s="7" t="s">
        <v>307</v>
      </c>
      <c r="L136" s="7" t="s">
        <v>308</v>
      </c>
      <c r="M136" s="7" t="s">
        <v>309</v>
      </c>
      <c r="N136" s="8" t="s">
        <v>24</v>
      </c>
      <c r="O136" s="7" t="s">
        <v>25</v>
      </c>
      <c r="P136" s="9">
        <v>24.0</v>
      </c>
      <c r="Q136" s="7" t="s">
        <v>612</v>
      </c>
      <c r="R136" s="97">
        <f t="shared" si="86"/>
        <v>1</v>
      </c>
      <c r="S136" s="97">
        <f t="shared" si="85"/>
        <v>0</v>
      </c>
      <c r="T136" s="98">
        <f t="shared" si="87"/>
        <v>0</v>
      </c>
      <c r="U136" s="99">
        <f>IFERROR(__xludf.DUMMYFUNCTION("IFERROR(IF(Match(L136,IMPORTRANGE(""https://docs.google.com/spreadsheets/d/1CAXKDiOnZb21bZOY_nacH9xI9AiD-nH8ZZQAwYKkVC0/edit?usp=drivesdk"",""Completed Exams!A1:A135""),0),1), 0)"),0.0)</f>
        <v>0</v>
      </c>
      <c r="V136" s="100">
        <f t="shared" si="66"/>
        <v>1</v>
      </c>
      <c r="W136" s="100">
        <f t="shared" si="90"/>
        <v>0</v>
      </c>
      <c r="X136" s="101">
        <f t="shared" si="89"/>
        <v>0</v>
      </c>
      <c r="Y136" s="101">
        <f t="shared" si="84"/>
        <v>1</v>
      </c>
      <c r="Z136" s="101">
        <f t="shared" si="79"/>
        <v>0</v>
      </c>
      <c r="AA136" s="101">
        <f t="shared" si="82"/>
        <v>1</v>
      </c>
      <c r="AB136" s="101">
        <f>IFERROR(__xludf.DUMMYFUNCTION("IFERROR(IF(Match(L136,IMPORTRANGE(""https://docs.google.com/spreadsheets/d/1n1sT_Q_W3mKmn2Yrd8qcNzuRD4zr4DB9gqARnjQ30B4/edit?gid=1918970062#gid=1918970062"",""Form Responses 1!B2:B49""),0),1), 0)"),0.0)</f>
        <v>0</v>
      </c>
      <c r="AC136" s="101">
        <f t="shared" si="54"/>
        <v>1</v>
      </c>
      <c r="AD136" s="100">
        <v>0.0</v>
      </c>
      <c r="AE136" s="101">
        <f>IFERROR(__xludf.DUMMYFUNCTION("IFERROR(IF(Match(L136,IMPORTRANGE(""https://docs.google.com/spreadsheets/d/1hvckjcCpxEuDQDPrBMml_I1kBhYyjrgR8qBKC9QGVUc/edit?resourcekey=&amp;gid=230793720#gid=230793720"",""Form Responses 1!B2:B199""),0),1), 0)"),0.0)</f>
        <v>0</v>
      </c>
      <c r="AF136" s="75">
        <f>IFERROR(__xludf.DUMMYFUNCTION("IFERROR(IF(Match(L136,IMPORTRANGE(""https://docs.google.com/spreadsheets/d/1UY0hI2S83Fmafa5P-C1LM9yqe4v4qIKTnVy_CzLzRPs/edit?resourcekey=&amp;gid=1583835601#gid=1583835601"",""Form Responses 1!B2:B194""),0),1), 0)"),0.0)</f>
        <v>0</v>
      </c>
      <c r="AG136" s="75">
        <f>IFERROR(__xludf.DUMMYFUNCTION("IFERROR(IF(Match(L136,IMPORTRANGE(""https://docs.google.com/spreadsheets/d/1hO4mQ22n6cudUygJ2ss_JeJdm2Ua_7hJl_79lWWEtic/edit?resourcekey=&amp;gid=2087212010#gid=2087212010"",""Form Responses 1!B2:B104""),0),1), 0)"),0.0)</f>
        <v>0</v>
      </c>
      <c r="AH136" s="75">
        <f>IFERROR(__xludf.DUMMYFUNCTION("IFERROR(IF(Match(L136,IMPORTRANGE(""https://docs.google.com/spreadsheets/d/1HbfCXhSXbtTODKKY1MOFwJccyhgDKD0J9sO1k5l_6lM/edit?resourcekey=&amp;gid=1616384832#gid=1616384832"",""Form Responses 1!E2:E143""),0),1), 0)"),0.0)</f>
        <v>0</v>
      </c>
    </row>
    <row r="137" ht="22.5" customHeight="1">
      <c r="A137" s="102">
        <v>45917.66871449074</v>
      </c>
      <c r="B137" s="103" t="s">
        <v>302</v>
      </c>
      <c r="C137" s="103" t="s">
        <v>837</v>
      </c>
      <c r="D137" s="103" t="s">
        <v>838</v>
      </c>
      <c r="E137" s="103" t="s">
        <v>427</v>
      </c>
      <c r="F137" s="103" t="s">
        <v>436</v>
      </c>
      <c r="G137" s="103" t="s">
        <v>839</v>
      </c>
      <c r="H137" s="103" t="s">
        <v>840</v>
      </c>
      <c r="I137" s="96"/>
      <c r="J137" s="7"/>
      <c r="K137" s="7" t="s">
        <v>310</v>
      </c>
      <c r="L137" s="7" t="s">
        <v>311</v>
      </c>
      <c r="M137" s="7" t="s">
        <v>309</v>
      </c>
      <c r="N137" s="8" t="s">
        <v>28</v>
      </c>
      <c r="O137" s="7" t="s">
        <v>12</v>
      </c>
      <c r="P137" s="9">
        <v>24.0</v>
      </c>
      <c r="Q137" s="7" t="s">
        <v>521</v>
      </c>
      <c r="R137" s="97">
        <f t="shared" si="86"/>
        <v>1</v>
      </c>
      <c r="S137" s="97">
        <f t="shared" si="85"/>
        <v>1</v>
      </c>
      <c r="T137" s="98">
        <f t="shared" si="87"/>
        <v>0</v>
      </c>
      <c r="U137" s="99">
        <f>IFERROR(__xludf.DUMMYFUNCTION("IFERROR(IF(Match(L137,IMPORTRANGE(""https://docs.google.com/spreadsheets/d/1CAXKDiOnZb21bZOY_nacH9xI9AiD-nH8ZZQAwYKkVC0/edit?usp=drivesdk"",""Completed Exams!A1:A135""),0),1), 0)"),0.0)</f>
        <v>0</v>
      </c>
      <c r="V137" s="100">
        <f t="shared" si="66"/>
        <v>0</v>
      </c>
      <c r="W137" s="100">
        <f t="shared" si="90"/>
        <v>0</v>
      </c>
      <c r="X137" s="101">
        <f t="shared" si="89"/>
        <v>1</v>
      </c>
      <c r="Y137" s="100">
        <v>1.0</v>
      </c>
      <c r="Z137" s="101">
        <f t="shared" si="79"/>
        <v>0</v>
      </c>
      <c r="AA137" s="100">
        <v>0.5</v>
      </c>
      <c r="AB137" s="101">
        <f>IFERROR(__xludf.DUMMYFUNCTION("IFERROR(IF(Match(L137,IMPORTRANGE(""https://docs.google.com/spreadsheets/d/1n1sT_Q_W3mKmn2Yrd8qcNzuRD4zr4DB9gqARnjQ30B4/edit?gid=1918970062#gid=1918970062"",""Form Responses 1!B2:B49""),0),1), 0)"),0.0)</f>
        <v>0</v>
      </c>
      <c r="AC137" s="101">
        <f t="shared" si="54"/>
        <v>1</v>
      </c>
      <c r="AD137" s="100">
        <v>1.0</v>
      </c>
      <c r="AE137" s="101">
        <f>IFERROR(__xludf.DUMMYFUNCTION("IFERROR(IF(Match(L137,IMPORTRANGE(""https://docs.google.com/spreadsheets/d/1hvckjcCpxEuDQDPrBMml_I1kBhYyjrgR8qBKC9QGVUc/edit?resourcekey=&amp;gid=230793720#gid=230793720"",""Form Responses 1!B2:B199""),0),1), 0)"),0.0)</f>
        <v>0</v>
      </c>
      <c r="AF137" s="75">
        <f>IFERROR(__xludf.DUMMYFUNCTION("IFERROR(IF(Match(L137,IMPORTRANGE(""https://docs.google.com/spreadsheets/d/1UY0hI2S83Fmafa5P-C1LM9yqe4v4qIKTnVy_CzLzRPs/edit?resourcekey=&amp;gid=1583835601#gid=1583835601"",""Form Responses 1!B2:B194""),0),1), 0)"),0.0)</f>
        <v>0</v>
      </c>
      <c r="AG137" s="75">
        <f>IFERROR(__xludf.DUMMYFUNCTION("IFERROR(IF(Match(L137,IMPORTRANGE(""https://docs.google.com/spreadsheets/d/1hO4mQ22n6cudUygJ2ss_JeJdm2Ua_7hJl_79lWWEtic/edit?resourcekey=&amp;gid=2087212010#gid=2087212010"",""Form Responses 1!B2:B104""),0),1), 0)"),0.0)</f>
        <v>0</v>
      </c>
      <c r="AH137" s="75">
        <f>IFERROR(__xludf.DUMMYFUNCTION("IFERROR(IF(Match(L137,IMPORTRANGE(""https://docs.google.com/spreadsheets/d/1HbfCXhSXbtTODKKY1MOFwJccyhgDKD0J9sO1k5l_6lM/edit?resourcekey=&amp;gid=1616384832#gid=1616384832"",""Form Responses 1!E2:E143""),0),1), 0)"),0.0)</f>
        <v>0</v>
      </c>
    </row>
    <row r="138" ht="22.5" customHeight="1">
      <c r="A138" s="102">
        <v>45917.66882400463</v>
      </c>
      <c r="B138" s="103" t="s">
        <v>121</v>
      </c>
      <c r="C138" s="103" t="s">
        <v>841</v>
      </c>
      <c r="D138" s="103" t="s">
        <v>458</v>
      </c>
      <c r="E138" s="103" t="s">
        <v>450</v>
      </c>
      <c r="F138" s="103" t="s">
        <v>436</v>
      </c>
      <c r="G138" s="103" t="s">
        <v>113</v>
      </c>
      <c r="H138" s="103" t="s">
        <v>842</v>
      </c>
      <c r="I138" s="96"/>
      <c r="J138" s="7"/>
      <c r="K138" s="7" t="s">
        <v>312</v>
      </c>
      <c r="L138" s="7" t="s">
        <v>313</v>
      </c>
      <c r="M138" s="7" t="s">
        <v>309</v>
      </c>
      <c r="N138" s="8" t="s">
        <v>24</v>
      </c>
      <c r="O138" s="7" t="s">
        <v>25</v>
      </c>
      <c r="P138" s="9">
        <v>24.0</v>
      </c>
      <c r="Q138" s="7" t="s">
        <v>521</v>
      </c>
      <c r="R138" s="97">
        <f t="shared" si="86"/>
        <v>0</v>
      </c>
      <c r="S138" s="97">
        <f t="shared" si="85"/>
        <v>0</v>
      </c>
      <c r="T138" s="98">
        <f t="shared" si="87"/>
        <v>0</v>
      </c>
      <c r="U138" s="99">
        <f>IFERROR(__xludf.DUMMYFUNCTION("IFERROR(IF(Match(L138,IMPORTRANGE(""https://docs.google.com/spreadsheets/d/1CAXKDiOnZb21bZOY_nacH9xI9AiD-nH8ZZQAwYKkVC0/edit?usp=drivesdk"",""Completed Exams!A1:A135""),0),1), 0)"),0.0)</f>
        <v>0</v>
      </c>
      <c r="V138" s="100">
        <f t="shared" si="66"/>
        <v>0</v>
      </c>
      <c r="W138" s="100">
        <f t="shared" si="90"/>
        <v>0</v>
      </c>
      <c r="X138" s="101">
        <f t="shared" si="89"/>
        <v>0</v>
      </c>
      <c r="Y138" s="101">
        <f t="shared" ref="Y138:Y139" si="91">IF(COUNTIF(B$725:B$844,L138)=0,0,1)</f>
        <v>0</v>
      </c>
      <c r="Z138" s="101">
        <f t="shared" si="79"/>
        <v>0</v>
      </c>
      <c r="AA138" s="100">
        <v>0.5</v>
      </c>
      <c r="AB138" s="101">
        <f>IFERROR(__xludf.DUMMYFUNCTION("IFERROR(IF(Match(L138,IMPORTRANGE(""https://docs.google.com/spreadsheets/d/1n1sT_Q_W3mKmn2Yrd8qcNzuRD4zr4DB9gqARnjQ30B4/edit?gid=1918970062#gid=1918970062"",""Form Responses 1!B2:B49""),0),1), 0)"),0.0)</f>
        <v>0</v>
      </c>
      <c r="AC138" s="101">
        <f t="shared" si="54"/>
        <v>1</v>
      </c>
      <c r="AD138" s="100">
        <v>0.0</v>
      </c>
      <c r="AE138" s="101">
        <f>IFERROR(__xludf.DUMMYFUNCTION("IFERROR(IF(Match(L138,IMPORTRANGE(""https://docs.google.com/spreadsheets/d/1hvckjcCpxEuDQDPrBMml_I1kBhYyjrgR8qBKC9QGVUc/edit?resourcekey=&amp;gid=230793720#gid=230793720"",""Form Responses 1!B2:B199""),0),1), 0)"),0.0)</f>
        <v>0</v>
      </c>
      <c r="AF138" s="75">
        <f>IFERROR(__xludf.DUMMYFUNCTION("IFERROR(IF(Match(L138,IMPORTRANGE(""https://docs.google.com/spreadsheets/d/1UY0hI2S83Fmafa5P-C1LM9yqe4v4qIKTnVy_CzLzRPs/edit?resourcekey=&amp;gid=1583835601#gid=1583835601"",""Form Responses 1!B2:B194""),0),1), 0)"),0.0)</f>
        <v>0</v>
      </c>
      <c r="AG138" s="75">
        <f>IFERROR(__xludf.DUMMYFUNCTION("IFERROR(IF(Match(L138,IMPORTRANGE(""https://docs.google.com/spreadsheets/d/1hO4mQ22n6cudUygJ2ss_JeJdm2Ua_7hJl_79lWWEtic/edit?resourcekey=&amp;gid=2087212010#gid=2087212010"",""Form Responses 1!B2:B104""),0),1), 0)"),0.0)</f>
        <v>0</v>
      </c>
      <c r="AH138" s="75">
        <f>IFERROR(__xludf.DUMMYFUNCTION("IFERROR(IF(Match(L138,IMPORTRANGE(""https://docs.google.com/spreadsheets/d/1HbfCXhSXbtTODKKY1MOFwJccyhgDKD0J9sO1k5l_6lM/edit?resourcekey=&amp;gid=1616384832#gid=1616384832"",""Form Responses 1!E2:E143""),0),1), 0)"),0.0)</f>
        <v>0</v>
      </c>
    </row>
    <row r="139" ht="22.5" customHeight="1">
      <c r="A139" s="102">
        <v>45917.67200532407</v>
      </c>
      <c r="B139" s="103" t="s">
        <v>88</v>
      </c>
      <c r="C139" s="103" t="s">
        <v>843</v>
      </c>
      <c r="D139" s="103" t="s">
        <v>844</v>
      </c>
      <c r="E139" s="103" t="s">
        <v>494</v>
      </c>
      <c r="F139" s="103" t="s">
        <v>436</v>
      </c>
      <c r="G139" s="103" t="s">
        <v>532</v>
      </c>
      <c r="H139" s="103" t="s">
        <v>845</v>
      </c>
      <c r="I139" s="96"/>
      <c r="J139" s="7"/>
      <c r="K139" s="7" t="s">
        <v>314</v>
      </c>
      <c r="L139" s="7" t="s">
        <v>315</v>
      </c>
      <c r="M139" s="7" t="s">
        <v>309</v>
      </c>
      <c r="N139" s="8" t="s">
        <v>24</v>
      </c>
      <c r="O139" s="7" t="s">
        <v>25</v>
      </c>
      <c r="P139" s="9">
        <v>24.0</v>
      </c>
      <c r="Q139" s="7" t="s">
        <v>521</v>
      </c>
      <c r="R139" s="97">
        <f t="shared" si="86"/>
        <v>0</v>
      </c>
      <c r="S139" s="97">
        <f t="shared" si="85"/>
        <v>0</v>
      </c>
      <c r="T139" s="98">
        <f t="shared" si="87"/>
        <v>0</v>
      </c>
      <c r="U139" s="99">
        <f>IFERROR(__xludf.DUMMYFUNCTION("IFERROR(IF(Match(L139,IMPORTRANGE(""https://docs.google.com/spreadsheets/d/1CAXKDiOnZb21bZOY_nacH9xI9AiD-nH8ZZQAwYKkVC0/edit?usp=drivesdk"",""Completed Exams!A1:A135""),0),1), 0)"),0.0)</f>
        <v>0</v>
      </c>
      <c r="V139" s="100">
        <f t="shared" si="66"/>
        <v>0</v>
      </c>
      <c r="W139" s="100">
        <f t="shared" si="90"/>
        <v>0</v>
      </c>
      <c r="X139" s="101">
        <f t="shared" si="89"/>
        <v>0</v>
      </c>
      <c r="Y139" s="101">
        <f t="shared" si="91"/>
        <v>0</v>
      </c>
      <c r="Z139" s="101">
        <f t="shared" si="79"/>
        <v>0</v>
      </c>
      <c r="AA139" s="101">
        <f t="shared" ref="AA139:AA164" si="92">IF(COUNTIF(B$971:B$1124,L139)=0,0,1)</f>
        <v>1</v>
      </c>
      <c r="AB139" s="101">
        <f>IFERROR(__xludf.DUMMYFUNCTION("IFERROR(IF(Match(L139,IMPORTRANGE(""https://docs.google.com/spreadsheets/d/1n1sT_Q_W3mKmn2Yrd8qcNzuRD4zr4DB9gqARnjQ30B4/edit?gid=1918970062#gid=1918970062"",""Form Responses 1!B2:B49""),0),1), 0)"),0.0)</f>
        <v>0</v>
      </c>
      <c r="AC139" s="101">
        <f t="shared" si="54"/>
        <v>1</v>
      </c>
      <c r="AD139" s="100">
        <v>0.0</v>
      </c>
      <c r="AE139" s="101">
        <f>IFERROR(__xludf.DUMMYFUNCTION("IFERROR(IF(Match(L139,IMPORTRANGE(""https://docs.google.com/spreadsheets/d/1hvckjcCpxEuDQDPrBMml_I1kBhYyjrgR8qBKC9QGVUc/edit?resourcekey=&amp;gid=230793720#gid=230793720"",""Form Responses 1!B2:B199""),0),1), 0)"),0.0)</f>
        <v>0</v>
      </c>
      <c r="AF139" s="75">
        <f>IFERROR(__xludf.DUMMYFUNCTION("IFERROR(IF(Match(L139,IMPORTRANGE(""https://docs.google.com/spreadsheets/d/1UY0hI2S83Fmafa5P-C1LM9yqe4v4qIKTnVy_CzLzRPs/edit?resourcekey=&amp;gid=1583835601#gid=1583835601"",""Form Responses 1!B2:B194""),0),1), 0)"),0.0)</f>
        <v>0</v>
      </c>
      <c r="AG139" s="75">
        <f>IFERROR(__xludf.DUMMYFUNCTION("IFERROR(IF(Match(L139,IMPORTRANGE(""https://docs.google.com/spreadsheets/d/1hO4mQ22n6cudUygJ2ss_JeJdm2Ua_7hJl_79lWWEtic/edit?resourcekey=&amp;gid=2087212010#gid=2087212010"",""Form Responses 1!B2:B104""),0),1), 0)"),0.0)</f>
        <v>0</v>
      </c>
      <c r="AH139" s="75">
        <f>IFERROR(__xludf.DUMMYFUNCTION("IFERROR(IF(Match(L139,IMPORTRANGE(""https://docs.google.com/spreadsheets/d/1HbfCXhSXbtTODKKY1MOFwJccyhgDKD0J9sO1k5l_6lM/edit?resourcekey=&amp;gid=1616384832#gid=1616384832"",""Form Responses 1!E2:E143""),0),1), 0)"),0.0)</f>
        <v>0</v>
      </c>
    </row>
    <row r="140" ht="22.5" customHeight="1">
      <c r="A140" s="102">
        <v>45917.67241777778</v>
      </c>
      <c r="B140" s="103" t="s">
        <v>332</v>
      </c>
      <c r="C140" s="103" t="s">
        <v>445</v>
      </c>
      <c r="D140" s="103" t="s">
        <v>739</v>
      </c>
      <c r="E140" s="103" t="s">
        <v>578</v>
      </c>
      <c r="F140" s="103" t="s">
        <v>441</v>
      </c>
      <c r="G140" s="103" t="s">
        <v>699</v>
      </c>
      <c r="H140" s="103" t="s">
        <v>846</v>
      </c>
      <c r="I140" s="96"/>
      <c r="J140" s="7"/>
      <c r="K140" s="16" t="s">
        <v>316</v>
      </c>
      <c r="L140" s="16" t="s">
        <v>317</v>
      </c>
      <c r="M140" s="16" t="s">
        <v>309</v>
      </c>
      <c r="N140" s="17" t="s">
        <v>24</v>
      </c>
      <c r="O140" s="16" t="s">
        <v>25</v>
      </c>
      <c r="P140" s="34">
        <v>24.0</v>
      </c>
      <c r="Q140" s="16" t="s">
        <v>521</v>
      </c>
      <c r="R140" s="104">
        <v>0.5</v>
      </c>
      <c r="S140" s="97">
        <f t="shared" si="85"/>
        <v>0</v>
      </c>
      <c r="T140" s="98">
        <f t="shared" si="87"/>
        <v>1</v>
      </c>
      <c r="U140" s="99">
        <f>IFERROR(__xludf.DUMMYFUNCTION("IFERROR(IF(Match(L140,IMPORTRANGE(""https://docs.google.com/spreadsheets/d/1CAXKDiOnZb21bZOY_nacH9xI9AiD-nH8ZZQAwYKkVC0/edit?usp=drivesdk"",""Completed Exams!A1:A135""),0),1), 0)"),0.0)</f>
        <v>0</v>
      </c>
      <c r="V140" s="100">
        <f t="shared" si="66"/>
        <v>0</v>
      </c>
      <c r="W140" s="100">
        <f t="shared" si="90"/>
        <v>0</v>
      </c>
      <c r="X140" s="101">
        <f t="shared" si="89"/>
        <v>1</v>
      </c>
      <c r="Y140" s="100">
        <v>0.5</v>
      </c>
      <c r="Z140" s="101">
        <f t="shared" si="79"/>
        <v>0</v>
      </c>
      <c r="AA140" s="101">
        <f t="shared" si="92"/>
        <v>1</v>
      </c>
      <c r="AB140" s="101">
        <f>IFERROR(__xludf.DUMMYFUNCTION("IFERROR(IF(Match(L140,IMPORTRANGE(""https://docs.google.com/spreadsheets/d/1n1sT_Q_W3mKmn2Yrd8qcNzuRD4zr4DB9gqARnjQ30B4/edit?gid=1918970062#gid=1918970062"",""Form Responses 1!B2:B49""),0),1), 0)"),0.0)</f>
        <v>0</v>
      </c>
      <c r="AC140" s="101">
        <f t="shared" si="54"/>
        <v>1</v>
      </c>
      <c r="AD140" s="100">
        <v>0.0</v>
      </c>
      <c r="AE140" s="101">
        <f>IFERROR(__xludf.DUMMYFUNCTION("IFERROR(IF(Match(L140,IMPORTRANGE(""https://docs.google.com/spreadsheets/d/1hvckjcCpxEuDQDPrBMml_I1kBhYyjrgR8qBKC9QGVUc/edit?resourcekey=&amp;gid=230793720#gid=230793720"",""Form Responses 1!B2:B199""),0),1), 0)"),0.0)</f>
        <v>0</v>
      </c>
      <c r="AF140" s="75">
        <f>IFERROR(__xludf.DUMMYFUNCTION("IFERROR(IF(Match(L140,IMPORTRANGE(""https://docs.google.com/spreadsheets/d/1UY0hI2S83Fmafa5P-C1LM9yqe4v4qIKTnVy_CzLzRPs/edit?resourcekey=&amp;gid=1583835601#gid=1583835601"",""Form Responses 1!B2:B194""),0),1), 0)"),0.0)</f>
        <v>0</v>
      </c>
      <c r="AG140" s="75">
        <f>IFERROR(__xludf.DUMMYFUNCTION("IFERROR(IF(Match(L140,IMPORTRANGE(""https://docs.google.com/spreadsheets/d/1hO4mQ22n6cudUygJ2ss_JeJdm2Ua_7hJl_79lWWEtic/edit?resourcekey=&amp;gid=2087212010#gid=2087212010"",""Form Responses 1!B2:B104""),0),1), 0)"),0.0)</f>
        <v>0</v>
      </c>
      <c r="AH140" s="75">
        <f>IFERROR(__xludf.DUMMYFUNCTION("IFERROR(IF(Match(L140,IMPORTRANGE(""https://docs.google.com/spreadsheets/d/1HbfCXhSXbtTODKKY1MOFwJccyhgDKD0J9sO1k5l_6lM/edit?resourcekey=&amp;gid=1616384832#gid=1616384832"",""Form Responses 1!E2:E143""),0),1), 0)"),0.0)</f>
        <v>0</v>
      </c>
    </row>
    <row r="141" ht="22.5" customHeight="1">
      <c r="A141" s="102">
        <v>45917.67263726852</v>
      </c>
      <c r="B141" s="103" t="s">
        <v>165</v>
      </c>
      <c r="C141" s="103" t="s">
        <v>847</v>
      </c>
      <c r="D141" s="103" t="s">
        <v>848</v>
      </c>
      <c r="E141" s="103" t="s">
        <v>450</v>
      </c>
      <c r="F141" s="103" t="s">
        <v>436</v>
      </c>
      <c r="G141" s="103" t="s">
        <v>445</v>
      </c>
      <c r="H141" s="103" t="s">
        <v>849</v>
      </c>
      <c r="I141" s="96"/>
      <c r="J141" s="22"/>
      <c r="K141" s="22" t="s">
        <v>318</v>
      </c>
      <c r="L141" s="22" t="s">
        <v>319</v>
      </c>
      <c r="M141" s="7" t="s">
        <v>320</v>
      </c>
      <c r="N141" s="8" t="s">
        <v>28</v>
      </c>
      <c r="O141" s="7" t="s">
        <v>12</v>
      </c>
      <c r="P141" s="21">
        <v>25.0</v>
      </c>
      <c r="Q141" s="7" t="s">
        <v>424</v>
      </c>
      <c r="R141" s="104">
        <v>1.0</v>
      </c>
      <c r="S141" s="104">
        <v>1.0</v>
      </c>
      <c r="T141" s="98">
        <v>1.0</v>
      </c>
      <c r="U141" s="99">
        <f>IFERROR(__xludf.DUMMYFUNCTION("IFERROR(IF(Match(L141,IMPORTRANGE(""https://docs.google.com/spreadsheets/d/1CAXKDiOnZb21bZOY_nacH9xI9AiD-nH8ZZQAwYKkVC0/edit?usp=drivesdk"",""Completed Exams!A1:A135""),0),1), 0)"),0.0)</f>
        <v>0</v>
      </c>
      <c r="V141" s="100">
        <v>1.0</v>
      </c>
      <c r="W141" s="100">
        <f t="shared" si="90"/>
        <v>0</v>
      </c>
      <c r="X141" s="101">
        <f t="shared" si="89"/>
        <v>1</v>
      </c>
      <c r="Y141" s="101">
        <f t="shared" ref="Y141:Y144" si="93">IF(COUNTIF(B$725:B$844,L141)=0,0,1)</f>
        <v>1</v>
      </c>
      <c r="Z141" s="101">
        <f t="shared" si="79"/>
        <v>1</v>
      </c>
      <c r="AA141" s="101">
        <f t="shared" si="92"/>
        <v>1</v>
      </c>
      <c r="AB141" s="101">
        <f>IFERROR(__xludf.DUMMYFUNCTION("IFERROR(IF(Match(L141,IMPORTRANGE(""https://docs.google.com/spreadsheets/d/1n1sT_Q_W3mKmn2Yrd8qcNzuRD4zr4DB9gqARnjQ30B4/edit?gid=1918970062#gid=1918970062"",""Form Responses 1!B2:B49""),0),1), 0)"),0.0)</f>
        <v>0</v>
      </c>
      <c r="AC141" s="101">
        <f t="shared" si="54"/>
        <v>1</v>
      </c>
      <c r="AD141" s="100">
        <v>1.0</v>
      </c>
      <c r="AE141" s="101">
        <f>IFERROR(__xludf.DUMMYFUNCTION("IFERROR(IF(Match(L141,IMPORTRANGE(""https://docs.google.com/spreadsheets/d/1hvckjcCpxEuDQDPrBMml_I1kBhYyjrgR8qBKC9QGVUc/edit?resourcekey=&amp;gid=230793720#gid=230793720"",""Form Responses 1!B2:B199""),0),1), 0)"),0.0)</f>
        <v>0</v>
      </c>
      <c r="AF141" s="75">
        <f>IFERROR(__xludf.DUMMYFUNCTION("IFERROR(IF(Match(L141,IMPORTRANGE(""https://docs.google.com/spreadsheets/d/1UY0hI2S83Fmafa5P-C1LM9yqe4v4qIKTnVy_CzLzRPs/edit?resourcekey=&amp;gid=1583835601#gid=1583835601"",""Form Responses 1!B2:B194""),0),1), 0)"),0.0)</f>
        <v>0</v>
      </c>
      <c r="AG141" s="75">
        <f>IFERROR(__xludf.DUMMYFUNCTION("IFERROR(IF(Match(L141,IMPORTRANGE(""https://docs.google.com/spreadsheets/d/1hO4mQ22n6cudUygJ2ss_JeJdm2Ua_7hJl_79lWWEtic/edit?resourcekey=&amp;gid=2087212010#gid=2087212010"",""Form Responses 1!B2:B104""),0),1), 0)"),0.0)</f>
        <v>0</v>
      </c>
      <c r="AH141" s="75">
        <f>IFERROR(__xludf.DUMMYFUNCTION("IFERROR(IF(Match(L141,IMPORTRANGE(""https://docs.google.com/spreadsheets/d/1HbfCXhSXbtTODKKY1MOFwJccyhgDKD0J9sO1k5l_6lM/edit?resourcekey=&amp;gid=1616384832#gid=1616384832"",""Form Responses 1!E2:E143""),0),1), 0)"),0.0)</f>
        <v>0</v>
      </c>
    </row>
    <row r="142" ht="22.5" customHeight="1">
      <c r="A142" s="102">
        <v>45917.6753993287</v>
      </c>
      <c r="B142" s="103" t="s">
        <v>330</v>
      </c>
      <c r="C142" s="103" t="s">
        <v>662</v>
      </c>
      <c r="D142" s="103" t="s">
        <v>663</v>
      </c>
      <c r="E142" s="103" t="s">
        <v>420</v>
      </c>
      <c r="F142" s="103" t="s">
        <v>436</v>
      </c>
      <c r="G142" s="103" t="s">
        <v>320</v>
      </c>
      <c r="H142" s="103" t="s">
        <v>850</v>
      </c>
      <c r="I142" s="96"/>
      <c r="J142" s="126"/>
      <c r="K142" s="126" t="s">
        <v>321</v>
      </c>
      <c r="L142" s="116" t="s">
        <v>322</v>
      </c>
      <c r="M142" s="7" t="s">
        <v>320</v>
      </c>
      <c r="N142" s="117" t="s">
        <v>11</v>
      </c>
      <c r="O142" s="116" t="s">
        <v>12</v>
      </c>
      <c r="P142" s="21">
        <v>25.0</v>
      </c>
      <c r="Q142" s="116" t="s">
        <v>424</v>
      </c>
      <c r="R142" s="97">
        <f t="shared" ref="R142:R150" si="94">IF(COUNTIF(B$2:B$149,L142)=0,0,1)</f>
        <v>1</v>
      </c>
      <c r="S142" s="97">
        <f t="shared" ref="S142:S157" si="95">IF(COUNTIF(B$150:B$274,L142)=0,0,1)</f>
        <v>1</v>
      </c>
      <c r="T142" s="98">
        <f t="shared" ref="T142:T150" si="96">IF(COUNTIF(B$275:B$401,L142)=0,0,1)</f>
        <v>1</v>
      </c>
      <c r="U142" s="99">
        <f>IFERROR(__xludf.DUMMYFUNCTION("IFERROR(IF(Match(L142,IMPORTRANGE(""https://docs.google.com/spreadsheets/d/1CAXKDiOnZb21bZOY_nacH9xI9AiD-nH8ZZQAwYKkVC0/edit?usp=drivesdk"",""Completed Exams!A1:A135""),0),1), 0)"),0.0)</f>
        <v>0</v>
      </c>
      <c r="V142" s="100">
        <f t="shared" ref="V142:V174" si="97">IF(COUNTIF(B$416:B$535,L142)=0,0,1)</f>
        <v>1</v>
      </c>
      <c r="W142" s="100">
        <f t="shared" si="90"/>
        <v>0</v>
      </c>
      <c r="X142" s="101">
        <f t="shared" si="89"/>
        <v>1</v>
      </c>
      <c r="Y142" s="101">
        <f t="shared" si="93"/>
        <v>1</v>
      </c>
      <c r="Z142" s="101">
        <f t="shared" si="79"/>
        <v>1</v>
      </c>
      <c r="AA142" s="101">
        <f t="shared" si="92"/>
        <v>1</v>
      </c>
      <c r="AB142" s="101">
        <f>IFERROR(__xludf.DUMMYFUNCTION("IFERROR(IF(Match(L142,IMPORTRANGE(""https://docs.google.com/spreadsheets/d/1n1sT_Q_W3mKmn2Yrd8qcNzuRD4zr4DB9gqARnjQ30B4/edit?gid=1918970062#gid=1918970062"",""Form Responses 1!B2:B49""),0),1), 0)"),0.0)</f>
        <v>0</v>
      </c>
      <c r="AC142" s="101">
        <f t="shared" si="54"/>
        <v>1</v>
      </c>
      <c r="AD142" s="100">
        <v>1.0</v>
      </c>
      <c r="AE142" s="101">
        <f>IFERROR(__xludf.DUMMYFUNCTION("IFERROR(IF(Match(L142,IMPORTRANGE(""https://docs.google.com/spreadsheets/d/1hvckjcCpxEuDQDPrBMml_I1kBhYyjrgR8qBKC9QGVUc/edit?resourcekey=&amp;gid=230793720#gid=230793720"",""Form Responses 1!B2:B199""),0),1), 0)"),0.0)</f>
        <v>0</v>
      </c>
      <c r="AF142" s="75">
        <f>IFERROR(__xludf.DUMMYFUNCTION("IFERROR(IF(Match(L142,IMPORTRANGE(""https://docs.google.com/spreadsheets/d/1UY0hI2S83Fmafa5P-C1LM9yqe4v4qIKTnVy_CzLzRPs/edit?resourcekey=&amp;gid=1583835601#gid=1583835601"",""Form Responses 1!B2:B194""),0),1), 0)"),0.0)</f>
        <v>0</v>
      </c>
      <c r="AG142" s="75">
        <f>IFERROR(__xludf.DUMMYFUNCTION("IFERROR(IF(Match(L142,IMPORTRANGE(""https://docs.google.com/spreadsheets/d/1hO4mQ22n6cudUygJ2ss_JeJdm2Ua_7hJl_79lWWEtic/edit?resourcekey=&amp;gid=2087212010#gid=2087212010"",""Form Responses 1!B2:B104""),0),1), 0)"),0.0)</f>
        <v>0</v>
      </c>
      <c r="AH142" s="75">
        <f>IFERROR(__xludf.DUMMYFUNCTION("IFERROR(IF(Match(L142,IMPORTRANGE(""https://docs.google.com/spreadsheets/d/1HbfCXhSXbtTODKKY1MOFwJccyhgDKD0J9sO1k5l_6lM/edit?resourcekey=&amp;gid=1616384832#gid=1616384832"",""Form Responses 1!E2:E143""),0),1), 0)"),0.0)</f>
        <v>0</v>
      </c>
    </row>
    <row r="143" ht="22.5" customHeight="1">
      <c r="A143" s="102">
        <v>45917.67678009259</v>
      </c>
      <c r="B143" s="103" t="s">
        <v>311</v>
      </c>
      <c r="C143" s="103" t="s">
        <v>851</v>
      </c>
      <c r="D143" s="103" t="s">
        <v>852</v>
      </c>
      <c r="E143" s="103" t="s">
        <v>639</v>
      </c>
      <c r="F143" s="103" t="s">
        <v>436</v>
      </c>
      <c r="G143" s="103" t="s">
        <v>309</v>
      </c>
      <c r="H143" s="103" t="s">
        <v>684</v>
      </c>
      <c r="I143" s="96"/>
      <c r="J143" s="7"/>
      <c r="K143" s="7" t="s">
        <v>323</v>
      </c>
      <c r="L143" s="7" t="s">
        <v>324</v>
      </c>
      <c r="M143" s="7" t="s">
        <v>320</v>
      </c>
      <c r="N143" s="11" t="s">
        <v>11</v>
      </c>
      <c r="O143" s="7" t="s">
        <v>12</v>
      </c>
      <c r="P143" s="21">
        <v>25.0</v>
      </c>
      <c r="Q143" s="22" t="s">
        <v>438</v>
      </c>
      <c r="R143" s="97">
        <f t="shared" si="94"/>
        <v>1</v>
      </c>
      <c r="S143" s="97">
        <f t="shared" si="95"/>
        <v>1</v>
      </c>
      <c r="T143" s="98">
        <f t="shared" si="96"/>
        <v>0</v>
      </c>
      <c r="U143" s="99">
        <f>IFERROR(__xludf.DUMMYFUNCTION("IFERROR(IF(Match(L143,IMPORTRANGE(""https://docs.google.com/spreadsheets/d/1CAXKDiOnZb21bZOY_nacH9xI9AiD-nH8ZZQAwYKkVC0/edit?usp=drivesdk"",""Completed Exams!A1:A135""),0),1), 0)"),0.0)</f>
        <v>0</v>
      </c>
      <c r="V143" s="100">
        <f t="shared" si="97"/>
        <v>1</v>
      </c>
      <c r="W143" s="100">
        <f t="shared" si="90"/>
        <v>0</v>
      </c>
      <c r="X143" s="101">
        <f t="shared" si="89"/>
        <v>1</v>
      </c>
      <c r="Y143" s="101">
        <f t="shared" si="93"/>
        <v>1</v>
      </c>
      <c r="Z143" s="101">
        <f t="shared" si="79"/>
        <v>1</v>
      </c>
      <c r="AA143" s="101">
        <f t="shared" si="92"/>
        <v>1</v>
      </c>
      <c r="AB143" s="101">
        <f>IFERROR(__xludf.DUMMYFUNCTION("IFERROR(IF(Match(L143,IMPORTRANGE(""https://docs.google.com/spreadsheets/d/1n1sT_Q_W3mKmn2Yrd8qcNzuRD4zr4DB9gqARnjQ30B4/edit?gid=1918970062#gid=1918970062"",""Form Responses 1!B2:B49""),0),1), 0)"),0.0)</f>
        <v>0</v>
      </c>
      <c r="AC143" s="101">
        <f t="shared" si="54"/>
        <v>1</v>
      </c>
      <c r="AD143" s="100">
        <v>1.0</v>
      </c>
      <c r="AE143" s="101">
        <f>IFERROR(__xludf.DUMMYFUNCTION("IFERROR(IF(Match(L143,IMPORTRANGE(""https://docs.google.com/spreadsheets/d/1hvckjcCpxEuDQDPrBMml_I1kBhYyjrgR8qBKC9QGVUc/edit?resourcekey=&amp;gid=230793720#gid=230793720"",""Form Responses 1!B2:B199""),0),1), 0)"),0.0)</f>
        <v>0</v>
      </c>
      <c r="AF143" s="75">
        <f>IFERROR(__xludf.DUMMYFUNCTION("IFERROR(IF(Match(L143,IMPORTRANGE(""https://docs.google.com/spreadsheets/d/1UY0hI2S83Fmafa5P-C1LM9yqe4v4qIKTnVy_CzLzRPs/edit?resourcekey=&amp;gid=1583835601#gid=1583835601"",""Form Responses 1!B2:B194""),0),1), 0)"),0.0)</f>
        <v>0</v>
      </c>
      <c r="AG143" s="75">
        <f>IFERROR(__xludf.DUMMYFUNCTION("IFERROR(IF(Match(L143,IMPORTRANGE(""https://docs.google.com/spreadsheets/d/1hO4mQ22n6cudUygJ2ss_JeJdm2Ua_7hJl_79lWWEtic/edit?resourcekey=&amp;gid=2087212010#gid=2087212010"",""Form Responses 1!B2:B104""),0),1), 0)"),0.0)</f>
        <v>0</v>
      </c>
      <c r="AH143" s="75">
        <f>IFERROR(__xludf.DUMMYFUNCTION("IFERROR(IF(Match(L143,IMPORTRANGE(""https://docs.google.com/spreadsheets/d/1HbfCXhSXbtTODKKY1MOFwJccyhgDKD0J9sO1k5l_6lM/edit?resourcekey=&amp;gid=1616384832#gid=1616384832"",""Form Responses 1!E2:E143""),0),1), 0)"),0.0)</f>
        <v>0</v>
      </c>
    </row>
    <row r="144" ht="22.5" customHeight="1">
      <c r="A144" s="102"/>
      <c r="B144" s="103"/>
      <c r="C144" s="103"/>
      <c r="D144" s="103"/>
      <c r="E144" s="103"/>
      <c r="F144" s="103"/>
      <c r="G144" s="103"/>
      <c r="H144" s="103"/>
      <c r="I144" s="96"/>
      <c r="J144" s="7"/>
      <c r="K144" s="7" t="s">
        <v>325</v>
      </c>
      <c r="L144" s="7" t="s">
        <v>326</v>
      </c>
      <c r="M144" s="7" t="s">
        <v>320</v>
      </c>
      <c r="N144" s="8" t="s">
        <v>28</v>
      </c>
      <c r="O144" s="7" t="s">
        <v>12</v>
      </c>
      <c r="P144" s="21">
        <v>25.0</v>
      </c>
      <c r="Q144" s="7" t="s">
        <v>424</v>
      </c>
      <c r="R144" s="97">
        <f t="shared" si="94"/>
        <v>1</v>
      </c>
      <c r="S144" s="97">
        <f t="shared" si="95"/>
        <v>1</v>
      </c>
      <c r="T144" s="98">
        <f t="shared" si="96"/>
        <v>1</v>
      </c>
      <c r="U144" s="99">
        <f>IFERROR(__xludf.DUMMYFUNCTION("IFERROR(IF(Match(L144,IMPORTRANGE(""https://docs.google.com/spreadsheets/d/1CAXKDiOnZb21bZOY_nacH9xI9AiD-nH8ZZQAwYKkVC0/edit?usp=drivesdk"",""Completed Exams!A1:A135""),0),1), 0)"),0.0)</f>
        <v>0</v>
      </c>
      <c r="V144" s="100">
        <f t="shared" si="97"/>
        <v>1</v>
      </c>
      <c r="W144" s="100">
        <f t="shared" si="90"/>
        <v>0</v>
      </c>
      <c r="X144" s="101">
        <f t="shared" si="89"/>
        <v>1</v>
      </c>
      <c r="Y144" s="101">
        <f t="shared" si="93"/>
        <v>1</v>
      </c>
      <c r="Z144" s="101">
        <f t="shared" si="79"/>
        <v>1</v>
      </c>
      <c r="AA144" s="101">
        <f t="shared" si="92"/>
        <v>1</v>
      </c>
      <c r="AB144" s="101">
        <f>IFERROR(__xludf.DUMMYFUNCTION("IFERROR(IF(Match(L144,IMPORTRANGE(""https://docs.google.com/spreadsheets/d/1n1sT_Q_W3mKmn2Yrd8qcNzuRD4zr4DB9gqARnjQ30B4/edit?gid=1918970062#gid=1918970062"",""Form Responses 1!B2:B49""),0),1), 0)"),0.0)</f>
        <v>0</v>
      </c>
      <c r="AC144" s="101">
        <f t="shared" si="54"/>
        <v>1</v>
      </c>
      <c r="AD144" s="100">
        <v>1.0</v>
      </c>
      <c r="AE144" s="101">
        <f>IFERROR(__xludf.DUMMYFUNCTION("IFERROR(IF(Match(L144,IMPORTRANGE(""https://docs.google.com/spreadsheets/d/1hvckjcCpxEuDQDPrBMml_I1kBhYyjrgR8qBKC9QGVUc/edit?resourcekey=&amp;gid=230793720#gid=230793720"",""Form Responses 1!B2:B199""),0),1), 0)"),0.0)</f>
        <v>0</v>
      </c>
      <c r="AF144" s="75">
        <f>IFERROR(__xludf.DUMMYFUNCTION("IFERROR(IF(Match(L144,IMPORTRANGE(""https://docs.google.com/spreadsheets/d/1UY0hI2S83Fmafa5P-C1LM9yqe4v4qIKTnVy_CzLzRPs/edit?resourcekey=&amp;gid=1583835601#gid=1583835601"",""Form Responses 1!B2:B194""),0),1), 0)"),0.0)</f>
        <v>0</v>
      </c>
      <c r="AG144" s="75">
        <f>IFERROR(__xludf.DUMMYFUNCTION("IFERROR(IF(Match(L144,IMPORTRANGE(""https://docs.google.com/spreadsheets/d/1hO4mQ22n6cudUygJ2ss_JeJdm2Ua_7hJl_79lWWEtic/edit?resourcekey=&amp;gid=2087212010#gid=2087212010"",""Form Responses 1!B2:B104""),0),1), 0)"),0.0)</f>
        <v>0</v>
      </c>
      <c r="AH144" s="75">
        <f>IFERROR(__xludf.DUMMYFUNCTION("IFERROR(IF(Match(L144,IMPORTRANGE(""https://docs.google.com/spreadsheets/d/1HbfCXhSXbtTODKKY1MOFwJccyhgDKD0J9sO1k5l_6lM/edit?resourcekey=&amp;gid=1616384832#gid=1616384832"",""Form Responses 1!E2:E143""),0),1), 0)"),0.0)</f>
        <v>0</v>
      </c>
      <c r="AI144" s="10">
        <v>1.0</v>
      </c>
    </row>
    <row r="145" ht="22.5" customHeight="1">
      <c r="A145" s="102">
        <v>45917.72549024306</v>
      </c>
      <c r="B145" s="103" t="s">
        <v>296</v>
      </c>
      <c r="C145" s="127" t="s">
        <v>853</v>
      </c>
      <c r="D145" s="103" t="s">
        <v>854</v>
      </c>
      <c r="E145" s="103" t="s">
        <v>427</v>
      </c>
      <c r="F145" s="103" t="s">
        <v>436</v>
      </c>
      <c r="G145" s="103" t="s">
        <v>462</v>
      </c>
      <c r="H145" s="103" t="s">
        <v>855</v>
      </c>
      <c r="I145" s="96"/>
      <c r="J145" s="7"/>
      <c r="K145" s="7" t="s">
        <v>327</v>
      </c>
      <c r="L145" s="7" t="s">
        <v>328</v>
      </c>
      <c r="M145" s="7" t="s">
        <v>320</v>
      </c>
      <c r="N145" s="11" t="s">
        <v>11</v>
      </c>
      <c r="O145" s="7" t="s">
        <v>12</v>
      </c>
      <c r="P145" s="21">
        <v>25.0</v>
      </c>
      <c r="Q145" s="7" t="s">
        <v>438</v>
      </c>
      <c r="R145" s="97">
        <f t="shared" si="94"/>
        <v>1</v>
      </c>
      <c r="S145" s="97">
        <f t="shared" si="95"/>
        <v>1</v>
      </c>
      <c r="T145" s="98">
        <f t="shared" si="96"/>
        <v>1</v>
      </c>
      <c r="U145" s="99">
        <f>IFERROR(__xludf.DUMMYFUNCTION("IFERROR(IF(Match(L145,IMPORTRANGE(""https://docs.google.com/spreadsheets/d/1CAXKDiOnZb21bZOY_nacH9xI9AiD-nH8ZZQAwYKkVC0/edit?usp=drivesdk"",""Completed Exams!A1:A135""),0),1), 0)"),0.0)</f>
        <v>0</v>
      </c>
      <c r="V145" s="100">
        <f t="shared" si="97"/>
        <v>1</v>
      </c>
      <c r="W145" s="100">
        <f t="shared" si="90"/>
        <v>0</v>
      </c>
      <c r="X145" s="101">
        <f t="shared" si="89"/>
        <v>1</v>
      </c>
      <c r="Y145" s="100">
        <v>0.5</v>
      </c>
      <c r="Z145" s="101">
        <f t="shared" si="79"/>
        <v>1</v>
      </c>
      <c r="AA145" s="101">
        <f t="shared" si="92"/>
        <v>1</v>
      </c>
      <c r="AB145" s="101">
        <f>IFERROR(__xludf.DUMMYFUNCTION("IFERROR(IF(Match(L145,IMPORTRANGE(""https://docs.google.com/spreadsheets/d/1n1sT_Q_W3mKmn2Yrd8qcNzuRD4zr4DB9gqARnjQ30B4/edit?gid=1918970062#gid=1918970062"",""Form Responses 1!B2:B49""),0),1), 0)"),0.0)</f>
        <v>0</v>
      </c>
      <c r="AC145" s="101">
        <f t="shared" si="54"/>
        <v>1</v>
      </c>
      <c r="AD145" s="100">
        <v>1.0</v>
      </c>
      <c r="AE145" s="101">
        <f>IFERROR(__xludf.DUMMYFUNCTION("IFERROR(IF(Match(L145,IMPORTRANGE(""https://docs.google.com/spreadsheets/d/1hvckjcCpxEuDQDPrBMml_I1kBhYyjrgR8qBKC9QGVUc/edit?resourcekey=&amp;gid=230793720#gid=230793720"",""Form Responses 1!B2:B199""),0),1), 0)"),0.0)</f>
        <v>0</v>
      </c>
      <c r="AF145" s="10">
        <v>0.5</v>
      </c>
      <c r="AG145" s="75">
        <f>IFERROR(__xludf.DUMMYFUNCTION("IFERROR(IF(Match(L145,IMPORTRANGE(""https://docs.google.com/spreadsheets/d/1hO4mQ22n6cudUygJ2ss_JeJdm2Ua_7hJl_79lWWEtic/edit?resourcekey=&amp;gid=2087212010#gid=2087212010"",""Form Responses 1!B2:B104""),0),1), 0)"),0.0)</f>
        <v>0</v>
      </c>
      <c r="AH145" s="75">
        <f>IFERROR(__xludf.DUMMYFUNCTION("IFERROR(IF(Match(L145,IMPORTRANGE(""https://docs.google.com/spreadsheets/d/1HbfCXhSXbtTODKKY1MOFwJccyhgDKD0J9sO1k5l_6lM/edit?resourcekey=&amp;gid=1616384832#gid=1616384832"",""Form Responses 1!E2:E143""),0),1), 0)"),0.0)</f>
        <v>0</v>
      </c>
      <c r="AI145" s="10">
        <v>1.0</v>
      </c>
    </row>
    <row r="146" ht="22.5" customHeight="1">
      <c r="A146" s="102">
        <v>45917.73858160879</v>
      </c>
      <c r="B146" s="103" t="s">
        <v>257</v>
      </c>
      <c r="C146" s="127" t="s">
        <v>856</v>
      </c>
      <c r="D146" s="103" t="s">
        <v>558</v>
      </c>
      <c r="E146" s="103" t="s">
        <v>639</v>
      </c>
      <c r="F146" s="103" t="s">
        <v>441</v>
      </c>
      <c r="G146" s="103" t="s">
        <v>474</v>
      </c>
      <c r="H146" s="103" t="s">
        <v>857</v>
      </c>
      <c r="I146" s="96"/>
      <c r="J146" s="7"/>
      <c r="K146" s="7" t="s">
        <v>329</v>
      </c>
      <c r="L146" s="7" t="s">
        <v>330</v>
      </c>
      <c r="M146" s="7" t="s">
        <v>320</v>
      </c>
      <c r="N146" s="8" t="s">
        <v>28</v>
      </c>
      <c r="O146" s="7" t="s">
        <v>12</v>
      </c>
      <c r="P146" s="21">
        <v>25.0</v>
      </c>
      <c r="Q146" s="7" t="s">
        <v>424</v>
      </c>
      <c r="R146" s="97">
        <f t="shared" si="94"/>
        <v>1</v>
      </c>
      <c r="S146" s="97">
        <f t="shared" si="95"/>
        <v>1</v>
      </c>
      <c r="T146" s="98">
        <f t="shared" si="96"/>
        <v>1</v>
      </c>
      <c r="U146" s="99">
        <f>IFERROR(__xludf.DUMMYFUNCTION("IFERROR(IF(Match(L146,IMPORTRANGE(""https://docs.google.com/spreadsheets/d/1CAXKDiOnZb21bZOY_nacH9xI9AiD-nH8ZZQAwYKkVC0/edit?usp=drivesdk"",""Completed Exams!A1:A135""),0),1), 0)"),0.0)</f>
        <v>0</v>
      </c>
      <c r="V146" s="100">
        <f t="shared" si="97"/>
        <v>1</v>
      </c>
      <c r="W146" s="100">
        <f t="shared" si="90"/>
        <v>0</v>
      </c>
      <c r="X146" s="101">
        <f t="shared" si="89"/>
        <v>1</v>
      </c>
      <c r="Y146" s="101">
        <f t="shared" ref="Y146:Y150" si="98">IF(COUNTIF(B$725:B$844,L146)=0,0,1)</f>
        <v>1</v>
      </c>
      <c r="Z146" s="101">
        <f t="shared" si="79"/>
        <v>1</v>
      </c>
      <c r="AA146" s="101">
        <f t="shared" si="92"/>
        <v>1</v>
      </c>
      <c r="AB146" s="101">
        <f>IFERROR(__xludf.DUMMYFUNCTION("IFERROR(IF(Match(L146,IMPORTRANGE(""https://docs.google.com/spreadsheets/d/1n1sT_Q_W3mKmn2Yrd8qcNzuRD4zr4DB9gqARnjQ30B4/edit?gid=1918970062#gid=1918970062"",""Form Responses 1!B2:B49""),0),1), 0)"),0.0)</f>
        <v>0</v>
      </c>
      <c r="AC146" s="101">
        <f t="shared" si="54"/>
        <v>1</v>
      </c>
      <c r="AD146" s="100">
        <v>1.0</v>
      </c>
      <c r="AE146" s="101">
        <f>IFERROR(__xludf.DUMMYFUNCTION("IFERROR(IF(Match(L146,IMPORTRANGE(""https://docs.google.com/spreadsheets/d/1hvckjcCpxEuDQDPrBMml_I1kBhYyjrgR8qBKC9QGVUc/edit?resourcekey=&amp;gid=230793720#gid=230793720"",""Form Responses 1!B2:B199""),0),1), 0)"),0.0)</f>
        <v>0</v>
      </c>
      <c r="AF146" s="75">
        <f>IFERROR(__xludf.DUMMYFUNCTION("IFERROR(IF(Match(L146,IMPORTRANGE(""https://docs.google.com/spreadsheets/d/1UY0hI2S83Fmafa5P-C1LM9yqe4v4qIKTnVy_CzLzRPs/edit?resourcekey=&amp;gid=1583835601#gid=1583835601"",""Form Responses 1!B2:B194""),0),1), 0)"),0.0)</f>
        <v>0</v>
      </c>
      <c r="AG146" s="75">
        <f>IFERROR(__xludf.DUMMYFUNCTION("IFERROR(IF(Match(L146,IMPORTRANGE(""https://docs.google.com/spreadsheets/d/1hO4mQ22n6cudUygJ2ss_JeJdm2Ua_7hJl_79lWWEtic/edit?resourcekey=&amp;gid=2087212010#gid=2087212010"",""Form Responses 1!B2:B104""),0),1), 0)"),0.0)</f>
        <v>0</v>
      </c>
      <c r="AH146" s="75">
        <f>IFERROR(__xludf.DUMMYFUNCTION("IFERROR(IF(Match(L146,IMPORTRANGE(""https://docs.google.com/spreadsheets/d/1HbfCXhSXbtTODKKY1MOFwJccyhgDKD0J9sO1k5l_6lM/edit?resourcekey=&amp;gid=1616384832#gid=1616384832"",""Form Responses 1!E2:E143""),0),1), 0)"),0.0)</f>
        <v>0</v>
      </c>
      <c r="AI146" s="10">
        <v>1.0</v>
      </c>
    </row>
    <row r="147" ht="22.5" customHeight="1">
      <c r="A147" s="102">
        <v>45917.81348372685</v>
      </c>
      <c r="B147" s="103" t="s">
        <v>339</v>
      </c>
      <c r="C147" s="127" t="s">
        <v>858</v>
      </c>
      <c r="D147" s="103" t="s">
        <v>726</v>
      </c>
      <c r="E147" s="103" t="s">
        <v>639</v>
      </c>
      <c r="F147" s="103" t="s">
        <v>441</v>
      </c>
      <c r="G147" s="103" t="s">
        <v>859</v>
      </c>
      <c r="H147" s="103" t="s">
        <v>860</v>
      </c>
      <c r="I147" s="96"/>
      <c r="J147" s="76"/>
      <c r="K147" s="76" t="s">
        <v>331</v>
      </c>
      <c r="L147" s="77" t="s">
        <v>332</v>
      </c>
      <c r="M147" s="78" t="s">
        <v>320</v>
      </c>
      <c r="N147" s="8" t="s">
        <v>24</v>
      </c>
      <c r="O147" s="77" t="s">
        <v>29</v>
      </c>
      <c r="P147" s="21">
        <v>25.0</v>
      </c>
      <c r="Q147" s="77" t="s">
        <v>456</v>
      </c>
      <c r="R147" s="97">
        <f t="shared" si="94"/>
        <v>1</v>
      </c>
      <c r="S147" s="97">
        <f t="shared" si="95"/>
        <v>1</v>
      </c>
      <c r="T147" s="98">
        <f t="shared" si="96"/>
        <v>1</v>
      </c>
      <c r="U147" s="99">
        <f>IFERROR(__xludf.DUMMYFUNCTION("IFERROR(IF(Match(L147,IMPORTRANGE(""https://docs.google.com/spreadsheets/d/1CAXKDiOnZb21bZOY_nacH9xI9AiD-nH8ZZQAwYKkVC0/edit?usp=drivesdk"",""Completed Exams!A1:A135""),0),1), 0)"),0.0)</f>
        <v>0</v>
      </c>
      <c r="V147" s="100">
        <f t="shared" si="97"/>
        <v>1</v>
      </c>
      <c r="W147" s="100">
        <f t="shared" si="90"/>
        <v>0</v>
      </c>
      <c r="X147" s="101">
        <f t="shared" si="89"/>
        <v>0</v>
      </c>
      <c r="Y147" s="101">
        <f t="shared" si="98"/>
        <v>0</v>
      </c>
      <c r="Z147" s="101">
        <f t="shared" si="79"/>
        <v>0</v>
      </c>
      <c r="AA147" s="101">
        <f t="shared" si="92"/>
        <v>1</v>
      </c>
      <c r="AB147" s="101">
        <f>IFERROR(__xludf.DUMMYFUNCTION("IFERROR(IF(Match(L147,IMPORTRANGE(""https://docs.google.com/spreadsheets/d/1n1sT_Q_W3mKmn2Yrd8qcNzuRD4zr4DB9gqARnjQ30B4/edit?gid=1918970062#gid=1918970062"",""Form Responses 1!B2:B49""),0),1), 0)"),0.0)</f>
        <v>0</v>
      </c>
      <c r="AC147" s="101">
        <f t="shared" si="54"/>
        <v>1</v>
      </c>
      <c r="AD147" s="100">
        <v>0.0</v>
      </c>
      <c r="AE147" s="101">
        <f>IFERROR(__xludf.DUMMYFUNCTION("IFERROR(IF(Match(L147,IMPORTRANGE(""https://docs.google.com/spreadsheets/d/1hvckjcCpxEuDQDPrBMml_I1kBhYyjrgR8qBKC9QGVUc/edit?resourcekey=&amp;gid=230793720#gid=230793720"",""Form Responses 1!B2:B199""),0),1), 0)"),0.0)</f>
        <v>0</v>
      </c>
      <c r="AF147" s="75">
        <f>IFERROR(__xludf.DUMMYFUNCTION("IFERROR(IF(Match(L147,IMPORTRANGE(""https://docs.google.com/spreadsheets/d/1UY0hI2S83Fmafa5P-C1LM9yqe4v4qIKTnVy_CzLzRPs/edit?resourcekey=&amp;gid=1583835601#gid=1583835601"",""Form Responses 1!B2:B194""),0),1), 0)"),0.0)</f>
        <v>0</v>
      </c>
      <c r="AG147" s="75">
        <f>IFERROR(__xludf.DUMMYFUNCTION("IFERROR(IF(Match(L147,IMPORTRANGE(""https://docs.google.com/spreadsheets/d/1hO4mQ22n6cudUygJ2ss_JeJdm2Ua_7hJl_79lWWEtic/edit?resourcekey=&amp;gid=2087212010#gid=2087212010"",""Form Responses 1!B2:B104""),0),1), 0)"),0.0)</f>
        <v>0</v>
      </c>
      <c r="AH147" s="75">
        <f>IFERROR(__xludf.DUMMYFUNCTION("IFERROR(IF(Match(L147,IMPORTRANGE(""https://docs.google.com/spreadsheets/d/1HbfCXhSXbtTODKKY1MOFwJccyhgDKD0J9sO1k5l_6lM/edit?resourcekey=&amp;gid=1616384832#gid=1616384832"",""Form Responses 1!E2:E143""),0),1), 0)"),0.0)</f>
        <v>0</v>
      </c>
    </row>
    <row r="148" ht="22.5" customHeight="1">
      <c r="A148" s="102">
        <v>45917.84503866898</v>
      </c>
      <c r="B148" s="103" t="s">
        <v>237</v>
      </c>
      <c r="C148" s="127" t="s">
        <v>861</v>
      </c>
      <c r="D148" s="103" t="s">
        <v>862</v>
      </c>
      <c r="E148" s="103" t="s">
        <v>578</v>
      </c>
      <c r="F148" s="103" t="s">
        <v>436</v>
      </c>
      <c r="G148" s="103" t="s">
        <v>863</v>
      </c>
      <c r="H148" s="103" t="s">
        <v>864</v>
      </c>
      <c r="I148" s="96"/>
      <c r="J148" s="7"/>
      <c r="K148" s="80" t="s">
        <v>333</v>
      </c>
      <c r="L148" s="80" t="s">
        <v>334</v>
      </c>
      <c r="M148" s="80" t="s">
        <v>335</v>
      </c>
      <c r="N148" s="81" t="s">
        <v>24</v>
      </c>
      <c r="O148" s="80" t="s">
        <v>25</v>
      </c>
      <c r="P148" s="82">
        <v>26.0</v>
      </c>
      <c r="Q148" s="80" t="s">
        <v>534</v>
      </c>
      <c r="R148" s="97">
        <f t="shared" si="94"/>
        <v>0</v>
      </c>
      <c r="S148" s="97">
        <f t="shared" si="95"/>
        <v>0</v>
      </c>
      <c r="T148" s="98">
        <f t="shared" si="96"/>
        <v>1</v>
      </c>
      <c r="U148" s="99">
        <f>IFERROR(__xludf.DUMMYFUNCTION("IFERROR(IF(Match(L148,IMPORTRANGE(""https://docs.google.com/spreadsheets/d/1CAXKDiOnZb21bZOY_nacH9xI9AiD-nH8ZZQAwYKkVC0/edit?usp=drivesdk"",""Completed Exams!A1:A135""),0),1), 0)"),0.0)</f>
        <v>0</v>
      </c>
      <c r="V148" s="100">
        <f t="shared" si="97"/>
        <v>0</v>
      </c>
      <c r="W148" s="100">
        <f t="shared" si="90"/>
        <v>1</v>
      </c>
      <c r="X148" s="101">
        <f t="shared" si="89"/>
        <v>0</v>
      </c>
      <c r="Y148" s="101">
        <f t="shared" si="98"/>
        <v>0</v>
      </c>
      <c r="Z148" s="101">
        <f t="shared" si="79"/>
        <v>1</v>
      </c>
      <c r="AA148" s="101">
        <f t="shared" si="92"/>
        <v>0</v>
      </c>
      <c r="AB148" s="101">
        <f>IFERROR(__xludf.DUMMYFUNCTION("IFERROR(IF(Match(L148,IMPORTRANGE(""https://docs.google.com/spreadsheets/d/1n1sT_Q_W3mKmn2Yrd8qcNzuRD4zr4DB9gqARnjQ30B4/edit?gid=1918970062#gid=1918970062"",""Form Responses 1!B2:B49""),0),1), 0)"),0.0)</f>
        <v>0</v>
      </c>
      <c r="AC148" s="101">
        <f t="shared" si="54"/>
        <v>1</v>
      </c>
      <c r="AD148" s="100">
        <v>0.0</v>
      </c>
      <c r="AE148" s="101">
        <f>IFERROR(__xludf.DUMMYFUNCTION("IFERROR(IF(Match(L148,IMPORTRANGE(""https://docs.google.com/spreadsheets/d/1hvckjcCpxEuDQDPrBMml_I1kBhYyjrgR8qBKC9QGVUc/edit?resourcekey=&amp;gid=230793720#gid=230793720"",""Form Responses 1!B2:B199""),0),1), 0)"),0.0)</f>
        <v>0</v>
      </c>
      <c r="AF148" s="75">
        <f>IFERROR(__xludf.DUMMYFUNCTION("IFERROR(IF(Match(L148,IMPORTRANGE(""https://docs.google.com/spreadsheets/d/1UY0hI2S83Fmafa5P-C1LM9yqe4v4qIKTnVy_CzLzRPs/edit?resourcekey=&amp;gid=1583835601#gid=1583835601"",""Form Responses 1!B2:B194""),0),1), 0)"),0.0)</f>
        <v>0</v>
      </c>
      <c r="AG148" s="75">
        <f>IFERROR(__xludf.DUMMYFUNCTION("IFERROR(IF(Match(L148,IMPORTRANGE(""https://docs.google.com/spreadsheets/d/1hO4mQ22n6cudUygJ2ss_JeJdm2Ua_7hJl_79lWWEtic/edit?resourcekey=&amp;gid=2087212010#gid=2087212010"",""Form Responses 1!B2:B104""),0),1), 0)"),0.0)</f>
        <v>0</v>
      </c>
      <c r="AH148" s="75">
        <f>IFERROR(__xludf.DUMMYFUNCTION("IFERROR(IF(Match(L148,IMPORTRANGE(""https://docs.google.com/spreadsheets/d/1HbfCXhSXbtTODKKY1MOFwJccyhgDKD0J9sO1k5l_6lM/edit?resourcekey=&amp;gid=1616384832#gid=1616384832"",""Form Responses 1!E2:E143""),0),1), 0)"),0.0)</f>
        <v>0</v>
      </c>
    </row>
    <row r="149" ht="22.5" customHeight="1">
      <c r="A149" s="102">
        <v>45917.881085706016</v>
      </c>
      <c r="B149" s="103" t="s">
        <v>184</v>
      </c>
      <c r="C149" s="127" t="s">
        <v>865</v>
      </c>
      <c r="D149" s="103" t="s">
        <v>866</v>
      </c>
      <c r="E149" s="103" t="s">
        <v>420</v>
      </c>
      <c r="F149" s="103" t="s">
        <v>436</v>
      </c>
      <c r="G149" s="103" t="s">
        <v>10</v>
      </c>
      <c r="H149" s="103" t="s">
        <v>867</v>
      </c>
      <c r="I149" s="96"/>
      <c r="J149" s="7"/>
      <c r="K149" s="7" t="s">
        <v>336</v>
      </c>
      <c r="L149" s="7" t="s">
        <v>337</v>
      </c>
      <c r="M149" s="7" t="s">
        <v>335</v>
      </c>
      <c r="N149" s="8" t="s">
        <v>24</v>
      </c>
      <c r="O149" s="22" t="s">
        <v>29</v>
      </c>
      <c r="P149" s="47">
        <v>26.0</v>
      </c>
      <c r="Q149" s="7" t="s">
        <v>612</v>
      </c>
      <c r="R149" s="97">
        <f t="shared" si="94"/>
        <v>0</v>
      </c>
      <c r="S149" s="97">
        <f t="shared" si="95"/>
        <v>1</v>
      </c>
      <c r="T149" s="98">
        <f t="shared" si="96"/>
        <v>0</v>
      </c>
      <c r="U149" s="99">
        <f>IFERROR(__xludf.DUMMYFUNCTION("IFERROR(IF(Match(L149,IMPORTRANGE(""https://docs.google.com/spreadsheets/d/1CAXKDiOnZb21bZOY_nacH9xI9AiD-nH8ZZQAwYKkVC0/edit?usp=drivesdk"",""Completed Exams!A1:A135""),0),1), 0)"),0.0)</f>
        <v>0</v>
      </c>
      <c r="V149" s="100">
        <f t="shared" si="97"/>
        <v>1</v>
      </c>
      <c r="W149" s="100">
        <f t="shared" si="90"/>
        <v>0</v>
      </c>
      <c r="X149" s="101">
        <f t="shared" si="89"/>
        <v>0</v>
      </c>
      <c r="Y149" s="101">
        <f t="shared" si="98"/>
        <v>0</v>
      </c>
      <c r="Z149" s="101">
        <f t="shared" si="79"/>
        <v>1</v>
      </c>
      <c r="AA149" s="101">
        <f t="shared" si="92"/>
        <v>1</v>
      </c>
      <c r="AB149" s="101">
        <f>IFERROR(__xludf.DUMMYFUNCTION("IFERROR(IF(Match(L149,IMPORTRANGE(""https://docs.google.com/spreadsheets/d/1n1sT_Q_W3mKmn2Yrd8qcNzuRD4zr4DB9gqARnjQ30B4/edit?gid=1918970062#gid=1918970062"",""Form Responses 1!B2:B49""),0),1), 0)"),0.0)</f>
        <v>0</v>
      </c>
      <c r="AC149" s="101">
        <f t="shared" si="54"/>
        <v>1</v>
      </c>
      <c r="AD149" s="100">
        <v>0.0</v>
      </c>
      <c r="AE149" s="101">
        <f>IFERROR(__xludf.DUMMYFUNCTION("IFERROR(IF(Match(L149,IMPORTRANGE(""https://docs.google.com/spreadsheets/d/1hvckjcCpxEuDQDPrBMml_I1kBhYyjrgR8qBKC9QGVUc/edit?resourcekey=&amp;gid=230793720#gid=230793720"",""Form Responses 1!B2:B199""),0),1), 0)"),0.0)</f>
        <v>0</v>
      </c>
      <c r="AF149" s="75">
        <f>IFERROR(__xludf.DUMMYFUNCTION("IFERROR(IF(Match(L149,IMPORTRANGE(""https://docs.google.com/spreadsheets/d/1UY0hI2S83Fmafa5P-C1LM9yqe4v4qIKTnVy_CzLzRPs/edit?resourcekey=&amp;gid=1583835601#gid=1583835601"",""Form Responses 1!B2:B194""),0),1), 0)"),0.0)</f>
        <v>0</v>
      </c>
      <c r="AG149" s="75">
        <f>IFERROR(__xludf.DUMMYFUNCTION("IFERROR(IF(Match(L149,IMPORTRANGE(""https://docs.google.com/spreadsheets/d/1hO4mQ22n6cudUygJ2ss_JeJdm2Ua_7hJl_79lWWEtic/edit?resourcekey=&amp;gid=2087212010#gid=2087212010"",""Form Responses 1!B2:B104""),0),1), 0)"),0.0)</f>
        <v>0</v>
      </c>
      <c r="AH149" s="75">
        <f>IFERROR(__xludf.DUMMYFUNCTION("IFERROR(IF(Match(L149,IMPORTRANGE(""https://docs.google.com/spreadsheets/d/1HbfCXhSXbtTODKKY1MOFwJccyhgDKD0J9sO1k5l_6lM/edit?resourcekey=&amp;gid=1616384832#gid=1616384832"",""Form Responses 1!E2:E143""),0),1), 0)"),0.0)</f>
        <v>0</v>
      </c>
    </row>
    <row r="150" ht="22.5" customHeight="1">
      <c r="A150" s="102">
        <v>45924.6406240625</v>
      </c>
      <c r="B150" s="103" t="s">
        <v>106</v>
      </c>
      <c r="C150" s="103" t="s">
        <v>497</v>
      </c>
      <c r="D150" s="103" t="s">
        <v>498</v>
      </c>
      <c r="E150" s="103" t="s">
        <v>427</v>
      </c>
      <c r="F150" s="103" t="s">
        <v>441</v>
      </c>
      <c r="G150" s="103" t="s">
        <v>527</v>
      </c>
      <c r="H150" s="103" t="s">
        <v>868</v>
      </c>
      <c r="J150" s="7"/>
      <c r="K150" s="128" t="s">
        <v>338</v>
      </c>
      <c r="L150" s="7" t="s">
        <v>339</v>
      </c>
      <c r="M150" s="7" t="s">
        <v>335</v>
      </c>
      <c r="N150" s="69" t="s">
        <v>24</v>
      </c>
      <c r="O150" s="7" t="s">
        <v>25</v>
      </c>
      <c r="P150" s="47">
        <v>26.0</v>
      </c>
      <c r="Q150" s="7" t="s">
        <v>612</v>
      </c>
      <c r="R150" s="97">
        <f t="shared" si="94"/>
        <v>1</v>
      </c>
      <c r="S150" s="97">
        <f t="shared" si="95"/>
        <v>1</v>
      </c>
      <c r="T150" s="98">
        <f t="shared" si="96"/>
        <v>0</v>
      </c>
      <c r="U150" s="99">
        <f>IFERROR(__xludf.DUMMYFUNCTION("IFERROR(IF(Match(L150,IMPORTRANGE(""https://docs.google.com/spreadsheets/d/1CAXKDiOnZb21bZOY_nacH9xI9AiD-nH8ZZQAwYKkVC0/edit?usp=drivesdk"",""Completed Exams!A1:A135""),0),1), 0)"),0.0)</f>
        <v>0</v>
      </c>
      <c r="V150" s="100">
        <f t="shared" si="97"/>
        <v>0</v>
      </c>
      <c r="W150" s="100">
        <f t="shared" si="90"/>
        <v>1</v>
      </c>
      <c r="X150" s="101">
        <f t="shared" si="89"/>
        <v>1</v>
      </c>
      <c r="Y150" s="101">
        <f t="shared" si="98"/>
        <v>0</v>
      </c>
      <c r="Z150" s="101">
        <f t="shared" si="79"/>
        <v>0</v>
      </c>
      <c r="AA150" s="101">
        <f t="shared" si="92"/>
        <v>1</v>
      </c>
      <c r="AB150" s="101">
        <f>IFERROR(__xludf.DUMMYFUNCTION("IFERROR(IF(Match(L150,IMPORTRANGE(""https://docs.google.com/spreadsheets/d/1n1sT_Q_W3mKmn2Yrd8qcNzuRD4zr4DB9gqARnjQ30B4/edit?gid=1918970062#gid=1918970062"",""Form Responses 1!B2:B49""),0),1), 0)"),0.0)</f>
        <v>0</v>
      </c>
      <c r="AC150" s="101">
        <f t="shared" si="54"/>
        <v>1</v>
      </c>
      <c r="AD150" s="100">
        <v>1.0</v>
      </c>
      <c r="AE150" s="101">
        <f>IFERROR(__xludf.DUMMYFUNCTION("IFERROR(IF(Match(L150,IMPORTRANGE(""https://docs.google.com/spreadsheets/d/1hvckjcCpxEuDQDPrBMml_I1kBhYyjrgR8qBKC9QGVUc/edit?resourcekey=&amp;gid=230793720#gid=230793720"",""Form Responses 1!B2:B199""),0),1), 0)"),0.0)</f>
        <v>0</v>
      </c>
      <c r="AF150" s="75">
        <f>IFERROR(__xludf.DUMMYFUNCTION("IFERROR(IF(Match(L150,IMPORTRANGE(""https://docs.google.com/spreadsheets/d/1UY0hI2S83Fmafa5P-C1LM9yqe4v4qIKTnVy_CzLzRPs/edit?resourcekey=&amp;gid=1583835601#gid=1583835601"",""Form Responses 1!B2:B194""),0),1), 0)"),0.0)</f>
        <v>0</v>
      </c>
      <c r="AG150" s="75">
        <f>IFERROR(__xludf.DUMMYFUNCTION("IFERROR(IF(Match(L150,IMPORTRANGE(""https://docs.google.com/spreadsheets/d/1hO4mQ22n6cudUygJ2ss_JeJdm2Ua_7hJl_79lWWEtic/edit?resourcekey=&amp;gid=2087212010#gid=2087212010"",""Form Responses 1!B2:B104""),0),1), 0)"),0.0)</f>
        <v>0</v>
      </c>
      <c r="AH150" s="75">
        <f>IFERROR(__xludf.DUMMYFUNCTION("IFERROR(IF(Match(L150,IMPORTRANGE(""https://docs.google.com/spreadsheets/d/1HbfCXhSXbtTODKKY1MOFwJccyhgDKD0J9sO1k5l_6lM/edit?resourcekey=&amp;gid=1616384832#gid=1616384832"",""Form Responses 1!E2:E143""),0),1), 0)"),0.0)</f>
        <v>0</v>
      </c>
    </row>
    <row r="151" ht="22.5" customHeight="1">
      <c r="A151" s="102">
        <v>45924.642029386574</v>
      </c>
      <c r="B151" s="103" t="s">
        <v>361</v>
      </c>
      <c r="C151" s="103" t="s">
        <v>625</v>
      </c>
      <c r="D151" s="103" t="s">
        <v>626</v>
      </c>
      <c r="E151" s="103" t="s">
        <v>427</v>
      </c>
      <c r="F151" s="103" t="s">
        <v>436</v>
      </c>
      <c r="G151" s="103" t="s">
        <v>359</v>
      </c>
      <c r="H151" s="103" t="s">
        <v>869</v>
      </c>
      <c r="J151" s="7"/>
      <c r="K151" s="128" t="s">
        <v>340</v>
      </c>
      <c r="L151" s="7" t="s">
        <v>341</v>
      </c>
      <c r="M151" s="7" t="s">
        <v>335</v>
      </c>
      <c r="N151" s="11" t="s">
        <v>28</v>
      </c>
      <c r="O151" s="7" t="s">
        <v>12</v>
      </c>
      <c r="P151" s="47">
        <v>26.0</v>
      </c>
      <c r="Q151" s="14" t="s">
        <v>500</v>
      </c>
      <c r="R151" s="104">
        <v>0.5</v>
      </c>
      <c r="S151" s="97">
        <f t="shared" si="95"/>
        <v>1</v>
      </c>
      <c r="T151" s="98">
        <v>0.5</v>
      </c>
      <c r="U151" s="99">
        <f>IFERROR(__xludf.DUMMYFUNCTION("IFERROR(IF(Match(L151,IMPORTRANGE(""https://docs.google.com/spreadsheets/d/1CAXKDiOnZb21bZOY_nacH9xI9AiD-nH8ZZQAwYKkVC0/edit?usp=drivesdk"",""Completed Exams!A1:A135""),0),1), 0)"),0.0)</f>
        <v>0</v>
      </c>
      <c r="V151" s="100">
        <f t="shared" si="97"/>
        <v>1</v>
      </c>
      <c r="W151" s="100">
        <v>1.0</v>
      </c>
      <c r="X151" s="101">
        <f t="shared" si="89"/>
        <v>1</v>
      </c>
      <c r="Y151" s="100">
        <v>1.0</v>
      </c>
      <c r="Z151" s="101">
        <f t="shared" si="79"/>
        <v>1</v>
      </c>
      <c r="AA151" s="101">
        <f t="shared" si="92"/>
        <v>1</v>
      </c>
      <c r="AB151" s="101">
        <f>IFERROR(__xludf.DUMMYFUNCTION("IFERROR(IF(Match(L151,IMPORTRANGE(""https://docs.google.com/spreadsheets/d/1n1sT_Q_W3mKmn2Yrd8qcNzuRD4zr4DB9gqARnjQ30B4/edit?gid=1918970062#gid=1918970062"",""Form Responses 1!B2:B49""),0),1), 0)"),0.0)</f>
        <v>0</v>
      </c>
      <c r="AC151" s="100">
        <v>0.5</v>
      </c>
      <c r="AD151" s="120">
        <v>1.0</v>
      </c>
      <c r="AE151" s="101">
        <f>IFERROR(__xludf.DUMMYFUNCTION("IFERROR(IF(Match(L151,IMPORTRANGE(""https://docs.google.com/spreadsheets/d/1hvckjcCpxEuDQDPrBMml_I1kBhYyjrgR8qBKC9QGVUc/edit?resourcekey=&amp;gid=230793720#gid=230793720"",""Form Responses 1!B2:B199""),0),1), 0)"),0.0)</f>
        <v>0</v>
      </c>
      <c r="AF151" s="75">
        <f>IFERROR(__xludf.DUMMYFUNCTION("IFERROR(IF(Match(L151,IMPORTRANGE(""https://docs.google.com/spreadsheets/d/1UY0hI2S83Fmafa5P-C1LM9yqe4v4qIKTnVy_CzLzRPs/edit?resourcekey=&amp;gid=1583835601#gid=1583835601"",""Form Responses 1!B2:B194""),0),1), 0)"),0.0)</f>
        <v>0</v>
      </c>
      <c r="AG151" s="75">
        <f>IFERROR(__xludf.DUMMYFUNCTION("IFERROR(IF(Match(L151,IMPORTRANGE(""https://docs.google.com/spreadsheets/d/1hO4mQ22n6cudUygJ2ss_JeJdm2Ua_7hJl_79lWWEtic/edit?resourcekey=&amp;gid=2087212010#gid=2087212010"",""Form Responses 1!B2:B104""),0),1), 0)"),0.0)</f>
        <v>0</v>
      </c>
      <c r="AH151" s="75">
        <f>IFERROR(__xludf.DUMMYFUNCTION("IFERROR(IF(Match(L151,IMPORTRANGE(""https://docs.google.com/spreadsheets/d/1HbfCXhSXbtTODKKY1MOFwJccyhgDKD0J9sO1k5l_6lM/edit?resourcekey=&amp;gid=1616384832#gid=1616384832"",""Form Responses 1!E2:E143""),0),1), 0)"),0.0)</f>
        <v>0</v>
      </c>
      <c r="AI151" s="14"/>
      <c r="AJ151" s="14"/>
      <c r="AK151" s="14"/>
      <c r="AL151" s="14"/>
      <c r="AM151" s="14"/>
      <c r="AN151" s="14"/>
      <c r="AO151" s="14"/>
      <c r="AP151" s="14"/>
      <c r="AQ151" s="14"/>
    </row>
    <row r="152" ht="22.5" customHeight="1">
      <c r="A152" s="102">
        <v>45924.64213435185</v>
      </c>
      <c r="B152" s="103" t="s">
        <v>160</v>
      </c>
      <c r="C152" s="103" t="s">
        <v>631</v>
      </c>
      <c r="D152" s="103" t="s">
        <v>870</v>
      </c>
      <c r="E152" s="103" t="s">
        <v>427</v>
      </c>
      <c r="F152" s="103" t="s">
        <v>441</v>
      </c>
      <c r="G152" s="103" t="s">
        <v>871</v>
      </c>
      <c r="H152" s="103" t="s">
        <v>872</v>
      </c>
      <c r="J152" s="7"/>
      <c r="K152" s="128" t="s">
        <v>342</v>
      </c>
      <c r="L152" s="16" t="s">
        <v>343</v>
      </c>
      <c r="M152" s="16" t="s">
        <v>335</v>
      </c>
      <c r="N152" s="41" t="s">
        <v>28</v>
      </c>
      <c r="O152" s="16" t="s">
        <v>29</v>
      </c>
      <c r="P152" s="48">
        <v>26.0</v>
      </c>
      <c r="Q152" s="46" t="s">
        <v>500</v>
      </c>
      <c r="R152" s="104">
        <v>0.5</v>
      </c>
      <c r="S152" s="97">
        <f t="shared" si="95"/>
        <v>0</v>
      </c>
      <c r="T152" s="98">
        <v>0.5</v>
      </c>
      <c r="U152" s="99">
        <f>IFERROR(__xludf.DUMMYFUNCTION("IFERROR(IF(Match(L152,IMPORTRANGE(""https://docs.google.com/spreadsheets/d/1CAXKDiOnZb21bZOY_nacH9xI9AiD-nH8ZZQAwYKkVC0/edit?usp=drivesdk"",""Completed Exams!A1:A135""),0),1), 0)"),0.0)</f>
        <v>0</v>
      </c>
      <c r="V152" s="100">
        <f t="shared" si="97"/>
        <v>1</v>
      </c>
      <c r="W152" s="100">
        <f t="shared" ref="W152:W162" si="99">IF(COUNTIF(B$535:B$602,L152)=0,0,1)</f>
        <v>1</v>
      </c>
      <c r="X152" s="100">
        <v>0.5</v>
      </c>
      <c r="Y152" s="101">
        <f t="shared" ref="Y152:Y157" si="100">IF(COUNTIF(B$725:B$844,L152)=0,0,1)</f>
        <v>0</v>
      </c>
      <c r="Z152" s="101">
        <f t="shared" si="79"/>
        <v>1</v>
      </c>
      <c r="AA152" s="101">
        <f t="shared" si="92"/>
        <v>1</v>
      </c>
      <c r="AB152" s="100">
        <v>1.0</v>
      </c>
      <c r="AC152" s="101">
        <f t="shared" ref="AC152:AC162" si="101">IF(COUNTIF(B$1145:B$1305,L152)=0,0,1)</f>
        <v>1</v>
      </c>
      <c r="AD152" s="100">
        <v>0.5</v>
      </c>
      <c r="AE152" s="101">
        <f>IFERROR(__xludf.DUMMYFUNCTION("IFERROR(IF(Match(L152,IMPORTRANGE(""https://docs.google.com/spreadsheets/d/1hvckjcCpxEuDQDPrBMml_I1kBhYyjrgR8qBKC9QGVUc/edit?resourcekey=&amp;gid=230793720#gid=230793720"",""Form Responses 1!B2:B199""),0),1), 0)"),0.0)</f>
        <v>0</v>
      </c>
      <c r="AF152" s="75">
        <f>IFERROR(__xludf.DUMMYFUNCTION("IFERROR(IF(Match(L152,IMPORTRANGE(""https://docs.google.com/spreadsheets/d/1UY0hI2S83Fmafa5P-C1LM9yqe4v4qIKTnVy_CzLzRPs/edit?resourcekey=&amp;gid=1583835601#gid=1583835601"",""Form Responses 1!B2:B194""),0),1), 0)"),0.0)</f>
        <v>0</v>
      </c>
      <c r="AG152" s="75">
        <f>IFERROR(__xludf.DUMMYFUNCTION("IFERROR(IF(Match(L152,IMPORTRANGE(""https://docs.google.com/spreadsheets/d/1hO4mQ22n6cudUygJ2ss_JeJdm2Ua_7hJl_79lWWEtic/edit?resourcekey=&amp;gid=2087212010#gid=2087212010"",""Form Responses 1!B2:B104""),0),1), 0)"),0.0)</f>
        <v>0</v>
      </c>
      <c r="AH152" s="75">
        <f>IFERROR(__xludf.DUMMYFUNCTION("IFERROR(IF(Match(L152,IMPORTRANGE(""https://docs.google.com/spreadsheets/d/1HbfCXhSXbtTODKKY1MOFwJccyhgDKD0J9sO1k5l_6lM/edit?resourcekey=&amp;gid=1616384832#gid=1616384832"",""Form Responses 1!E2:E143""),0),1), 0)"),0.0)</f>
        <v>0</v>
      </c>
    </row>
    <row r="153" ht="22.5" customHeight="1">
      <c r="A153" s="102">
        <v>45924.64213561342</v>
      </c>
      <c r="B153" s="103" t="s">
        <v>90</v>
      </c>
      <c r="C153" s="103" t="s">
        <v>873</v>
      </c>
      <c r="D153" s="103" t="s">
        <v>419</v>
      </c>
      <c r="E153" s="103" t="s">
        <v>427</v>
      </c>
      <c r="F153" s="103" t="s">
        <v>436</v>
      </c>
      <c r="G153" s="103" t="s">
        <v>84</v>
      </c>
      <c r="H153" s="103" t="s">
        <v>874</v>
      </c>
      <c r="J153" s="7"/>
      <c r="K153" s="128" t="s">
        <v>344</v>
      </c>
      <c r="L153" s="7" t="s">
        <v>345</v>
      </c>
      <c r="M153" s="7" t="s">
        <v>346</v>
      </c>
      <c r="N153" s="8" t="s">
        <v>24</v>
      </c>
      <c r="O153" s="7" t="s">
        <v>25</v>
      </c>
      <c r="P153" s="49">
        <v>27.0</v>
      </c>
      <c r="Q153" s="7" t="s">
        <v>767</v>
      </c>
      <c r="R153" s="97">
        <f t="shared" ref="R153:R181" si="102">IF(COUNTIF(B$2:B$149,L153)=0,0,1)</f>
        <v>1</v>
      </c>
      <c r="S153" s="97">
        <f t="shared" si="95"/>
        <v>0</v>
      </c>
      <c r="T153" s="98">
        <f t="shared" ref="T153:T181" si="103">IF(COUNTIF(B$275:B$401,L153)=0,0,1)</f>
        <v>0</v>
      </c>
      <c r="U153" s="99">
        <f>IFERROR(__xludf.DUMMYFUNCTION("IFERROR(IF(Match(L153,IMPORTRANGE(""https://docs.google.com/spreadsheets/d/1CAXKDiOnZb21bZOY_nacH9xI9AiD-nH8ZZQAwYKkVC0/edit?usp=drivesdk"",""Completed Exams!A1:A135""),0),1), 0)"),0.0)</f>
        <v>0</v>
      </c>
      <c r="V153" s="100">
        <f t="shared" si="97"/>
        <v>1</v>
      </c>
      <c r="W153" s="100">
        <f t="shared" si="99"/>
        <v>0</v>
      </c>
      <c r="X153" s="101">
        <f t="shared" ref="X153:X164" si="104">IF(COUNTIF(B$603:B$725,L153)=0,0,1)</f>
        <v>0</v>
      </c>
      <c r="Y153" s="101">
        <f t="shared" si="100"/>
        <v>0</v>
      </c>
      <c r="Z153" s="101">
        <f t="shared" si="79"/>
        <v>1</v>
      </c>
      <c r="AA153" s="101">
        <f t="shared" si="92"/>
        <v>0</v>
      </c>
      <c r="AB153" s="101">
        <f>IFERROR(__xludf.DUMMYFUNCTION("IFERROR(IF(Match(L153,IMPORTRANGE(""https://docs.google.com/spreadsheets/d/1n1sT_Q_W3mKmn2Yrd8qcNzuRD4zr4DB9gqARnjQ30B4/edit?gid=1918970062#gid=1918970062"",""Form Responses 1!B2:B49""),0),1), 0)"),0.0)</f>
        <v>0</v>
      </c>
      <c r="AC153" s="101">
        <f t="shared" si="101"/>
        <v>1</v>
      </c>
      <c r="AD153" s="100">
        <v>0.0</v>
      </c>
      <c r="AE153" s="101">
        <f>IFERROR(__xludf.DUMMYFUNCTION("IFERROR(IF(Match(L153,IMPORTRANGE(""https://docs.google.com/spreadsheets/d/1hvckjcCpxEuDQDPrBMml_I1kBhYyjrgR8qBKC9QGVUc/edit?resourcekey=&amp;gid=230793720#gid=230793720"",""Form Responses 1!B2:B199""),0),1), 0)"),0.0)</f>
        <v>0</v>
      </c>
      <c r="AF153" s="75">
        <f>IFERROR(__xludf.DUMMYFUNCTION("IFERROR(IF(Match(L153,IMPORTRANGE(""https://docs.google.com/spreadsheets/d/1UY0hI2S83Fmafa5P-C1LM9yqe4v4qIKTnVy_CzLzRPs/edit?resourcekey=&amp;gid=1583835601#gid=1583835601"",""Form Responses 1!B2:B194""),0),1), 0)"),0.0)</f>
        <v>0</v>
      </c>
      <c r="AG153" s="75">
        <f>IFERROR(__xludf.DUMMYFUNCTION("IFERROR(IF(Match(L153,IMPORTRANGE(""https://docs.google.com/spreadsheets/d/1hO4mQ22n6cudUygJ2ss_JeJdm2Ua_7hJl_79lWWEtic/edit?resourcekey=&amp;gid=2087212010#gid=2087212010"",""Form Responses 1!B2:B104""),0),1), 0)"),0.0)</f>
        <v>0</v>
      </c>
      <c r="AH153" s="10">
        <v>0.5</v>
      </c>
    </row>
    <row r="154" ht="22.5" customHeight="1">
      <c r="A154" s="102">
        <v>45924.642162662036</v>
      </c>
      <c r="B154" s="103" t="s">
        <v>298</v>
      </c>
      <c r="C154" s="103" t="s">
        <v>460</v>
      </c>
      <c r="D154" s="103" t="s">
        <v>461</v>
      </c>
      <c r="E154" s="103" t="s">
        <v>427</v>
      </c>
      <c r="F154" s="103" t="s">
        <v>436</v>
      </c>
      <c r="G154" s="103" t="s">
        <v>875</v>
      </c>
      <c r="H154" s="103" t="s">
        <v>876</v>
      </c>
      <c r="J154" s="7"/>
      <c r="K154" s="128" t="s">
        <v>347</v>
      </c>
      <c r="L154" s="7" t="s">
        <v>348</v>
      </c>
      <c r="M154" s="7" t="s">
        <v>346</v>
      </c>
      <c r="N154" s="32" t="s">
        <v>24</v>
      </c>
      <c r="O154" s="7" t="s">
        <v>25</v>
      </c>
      <c r="P154" s="49">
        <v>27.0</v>
      </c>
      <c r="Q154" s="7" t="s">
        <v>543</v>
      </c>
      <c r="R154" s="97">
        <f t="shared" si="102"/>
        <v>0</v>
      </c>
      <c r="S154" s="97">
        <f t="shared" si="95"/>
        <v>0</v>
      </c>
      <c r="T154" s="98">
        <f t="shared" si="103"/>
        <v>0</v>
      </c>
      <c r="U154" s="99">
        <f>IFERROR(__xludf.DUMMYFUNCTION("IFERROR(IF(Match(L154,IMPORTRANGE(""https://docs.google.com/spreadsheets/d/1CAXKDiOnZb21bZOY_nacH9xI9AiD-nH8ZZQAwYKkVC0/edit?usp=drivesdk"",""Completed Exams!A1:A135""),0),1), 0)"),0.0)</f>
        <v>0</v>
      </c>
      <c r="V154" s="100">
        <f t="shared" si="97"/>
        <v>0</v>
      </c>
      <c r="W154" s="100">
        <f t="shared" si="99"/>
        <v>0</v>
      </c>
      <c r="X154" s="101">
        <f t="shared" si="104"/>
        <v>1</v>
      </c>
      <c r="Y154" s="101">
        <f t="shared" si="100"/>
        <v>1</v>
      </c>
      <c r="Z154" s="101">
        <f t="shared" si="79"/>
        <v>0</v>
      </c>
      <c r="AA154" s="101">
        <f t="shared" si="92"/>
        <v>0</v>
      </c>
      <c r="AB154" s="101">
        <f>IFERROR(__xludf.DUMMYFUNCTION("IFERROR(IF(Match(L154,IMPORTRANGE(""https://docs.google.com/spreadsheets/d/1n1sT_Q_W3mKmn2Yrd8qcNzuRD4zr4DB9gqARnjQ30B4/edit?gid=1918970062#gid=1918970062"",""Form Responses 1!B2:B49""),0),1), 0)"),0.0)</f>
        <v>0</v>
      </c>
      <c r="AC154" s="101">
        <f t="shared" si="101"/>
        <v>0</v>
      </c>
      <c r="AD154" s="100">
        <v>1.0</v>
      </c>
      <c r="AE154" s="101">
        <f>IFERROR(__xludf.DUMMYFUNCTION("IFERROR(IF(Match(L154,IMPORTRANGE(""https://docs.google.com/spreadsheets/d/1hvckjcCpxEuDQDPrBMml_I1kBhYyjrgR8qBKC9QGVUc/edit?resourcekey=&amp;gid=230793720#gid=230793720"",""Form Responses 1!B2:B199""),0),1), 0)"),0.0)</f>
        <v>0</v>
      </c>
      <c r="AF154" s="75">
        <f>IFERROR(__xludf.DUMMYFUNCTION("IFERROR(IF(Match(L154,IMPORTRANGE(""https://docs.google.com/spreadsheets/d/1UY0hI2S83Fmafa5P-C1LM9yqe4v4qIKTnVy_CzLzRPs/edit?resourcekey=&amp;gid=1583835601#gid=1583835601"",""Form Responses 1!B2:B194""),0),1), 0)"),0.0)</f>
        <v>0</v>
      </c>
      <c r="AG154" s="75">
        <f>IFERROR(__xludf.DUMMYFUNCTION("IFERROR(IF(Match(L154,IMPORTRANGE(""https://docs.google.com/spreadsheets/d/1hO4mQ22n6cudUygJ2ss_JeJdm2Ua_7hJl_79lWWEtic/edit?resourcekey=&amp;gid=2087212010#gid=2087212010"",""Form Responses 1!B2:B104""),0),1), 0)"),0.0)</f>
        <v>0</v>
      </c>
      <c r="AH154" s="75">
        <f>IFERROR(__xludf.DUMMYFUNCTION("IFERROR(IF(Match(L154,IMPORTRANGE(""https://docs.google.com/spreadsheets/d/1HbfCXhSXbtTODKKY1MOFwJccyhgDKD0J9sO1k5l_6lM/edit?resourcekey=&amp;gid=1616384832#gid=1616384832"",""Form Responses 1!E2:E143""),0),1), 0)"),0.0)</f>
        <v>0</v>
      </c>
    </row>
    <row r="155" ht="22.5" customHeight="1">
      <c r="A155" s="102">
        <v>45924.64216350694</v>
      </c>
      <c r="B155" s="103" t="s">
        <v>376</v>
      </c>
      <c r="C155" s="103" t="s">
        <v>877</v>
      </c>
      <c r="D155" s="103" t="s">
        <v>878</v>
      </c>
      <c r="E155" s="103" t="s">
        <v>427</v>
      </c>
      <c r="F155" s="103" t="s">
        <v>441</v>
      </c>
      <c r="G155" s="103" t="s">
        <v>442</v>
      </c>
      <c r="H155" s="103" t="s">
        <v>879</v>
      </c>
      <c r="J155" s="7"/>
      <c r="K155" s="128" t="s">
        <v>349</v>
      </c>
      <c r="L155" s="7" t="s">
        <v>350</v>
      </c>
      <c r="M155" s="7" t="s">
        <v>346</v>
      </c>
      <c r="N155" s="32" t="s">
        <v>24</v>
      </c>
      <c r="O155" s="7" t="s">
        <v>25</v>
      </c>
      <c r="P155" s="49">
        <v>27.0</v>
      </c>
      <c r="Q155" s="7" t="s">
        <v>543</v>
      </c>
      <c r="R155" s="97">
        <f t="shared" si="102"/>
        <v>1</v>
      </c>
      <c r="S155" s="97">
        <f t="shared" si="95"/>
        <v>0</v>
      </c>
      <c r="T155" s="98">
        <f t="shared" si="103"/>
        <v>0</v>
      </c>
      <c r="U155" s="99">
        <f>IFERROR(__xludf.DUMMYFUNCTION("IFERROR(IF(Match(L155,IMPORTRANGE(""https://docs.google.com/spreadsheets/d/1CAXKDiOnZb21bZOY_nacH9xI9AiD-nH8ZZQAwYKkVC0/edit?usp=drivesdk"",""Completed Exams!A1:A135""),0),1), 0)"),0.0)</f>
        <v>0</v>
      </c>
      <c r="V155" s="100">
        <f t="shared" si="97"/>
        <v>0</v>
      </c>
      <c r="W155" s="100">
        <f t="shared" si="99"/>
        <v>0</v>
      </c>
      <c r="X155" s="101">
        <f t="shared" si="104"/>
        <v>0</v>
      </c>
      <c r="Y155" s="101">
        <f t="shared" si="100"/>
        <v>1</v>
      </c>
      <c r="Z155" s="101">
        <f t="shared" si="79"/>
        <v>1</v>
      </c>
      <c r="AA155" s="101">
        <f t="shared" si="92"/>
        <v>1</v>
      </c>
      <c r="AB155" s="101">
        <f>IFERROR(__xludf.DUMMYFUNCTION("IFERROR(IF(Match(L155,IMPORTRANGE(""https://docs.google.com/spreadsheets/d/1n1sT_Q_W3mKmn2Yrd8qcNzuRD4zr4DB9gqARnjQ30B4/edit?gid=1918970062#gid=1918970062"",""Form Responses 1!B2:B49""),0),1), 0)"),0.0)</f>
        <v>0</v>
      </c>
      <c r="AC155" s="101">
        <f t="shared" si="101"/>
        <v>1</v>
      </c>
      <c r="AD155" s="100">
        <v>0.0</v>
      </c>
      <c r="AE155" s="101">
        <f>IFERROR(__xludf.DUMMYFUNCTION("IFERROR(IF(Match(L155,IMPORTRANGE(""https://docs.google.com/spreadsheets/d/1hvckjcCpxEuDQDPrBMml_I1kBhYyjrgR8qBKC9QGVUc/edit?resourcekey=&amp;gid=230793720#gid=230793720"",""Form Responses 1!B2:B199""),0),1), 0)"),0.0)</f>
        <v>0</v>
      </c>
      <c r="AF155" s="75">
        <f>IFERROR(__xludf.DUMMYFUNCTION("IFERROR(IF(Match(L155,IMPORTRANGE(""https://docs.google.com/spreadsheets/d/1UY0hI2S83Fmafa5P-C1LM9yqe4v4qIKTnVy_CzLzRPs/edit?resourcekey=&amp;gid=1583835601#gid=1583835601"",""Form Responses 1!B2:B194""),0),1), 0)"),0.0)</f>
        <v>0</v>
      </c>
      <c r="AG155" s="75">
        <f>IFERROR(__xludf.DUMMYFUNCTION("IFERROR(IF(Match(L155,IMPORTRANGE(""https://docs.google.com/spreadsheets/d/1hO4mQ22n6cudUygJ2ss_JeJdm2Ua_7hJl_79lWWEtic/edit?resourcekey=&amp;gid=2087212010#gid=2087212010"",""Form Responses 1!B2:B104""),0),1), 0)"),0.0)</f>
        <v>0</v>
      </c>
      <c r="AH155" s="75">
        <f>IFERROR(__xludf.DUMMYFUNCTION("IFERROR(IF(Match(L155,IMPORTRANGE(""https://docs.google.com/spreadsheets/d/1HbfCXhSXbtTODKKY1MOFwJccyhgDKD0J9sO1k5l_6lM/edit?resourcekey=&amp;gid=1616384832#gid=1616384832"",""Form Responses 1!E2:E143""),0),1), 0)"),0.0)</f>
        <v>0</v>
      </c>
    </row>
    <row r="156" ht="22.5" customHeight="1">
      <c r="A156" s="102">
        <v>45924.642256527775</v>
      </c>
      <c r="B156" s="103" t="s">
        <v>339</v>
      </c>
      <c r="C156" s="103" t="s">
        <v>858</v>
      </c>
      <c r="D156" s="103" t="s">
        <v>726</v>
      </c>
      <c r="E156" s="103" t="s">
        <v>427</v>
      </c>
      <c r="F156" s="103" t="s">
        <v>441</v>
      </c>
      <c r="G156" s="103" t="s">
        <v>486</v>
      </c>
      <c r="H156" s="103" t="s">
        <v>880</v>
      </c>
      <c r="J156" s="7"/>
      <c r="K156" s="128" t="s">
        <v>351</v>
      </c>
      <c r="L156" s="7" t="s">
        <v>352</v>
      </c>
      <c r="M156" s="7" t="s">
        <v>346</v>
      </c>
      <c r="N156" s="11" t="s">
        <v>28</v>
      </c>
      <c r="O156" s="7" t="s">
        <v>12</v>
      </c>
      <c r="P156" s="49">
        <v>27.0</v>
      </c>
      <c r="Q156" s="7" t="s">
        <v>543</v>
      </c>
      <c r="R156" s="97">
        <f t="shared" si="102"/>
        <v>1</v>
      </c>
      <c r="S156" s="97">
        <f t="shared" si="95"/>
        <v>1</v>
      </c>
      <c r="T156" s="98">
        <f t="shared" si="103"/>
        <v>1</v>
      </c>
      <c r="U156" s="99">
        <f>IFERROR(__xludf.DUMMYFUNCTION("IFERROR(IF(Match(L156,IMPORTRANGE(""https://docs.google.com/spreadsheets/d/1CAXKDiOnZb21bZOY_nacH9xI9AiD-nH8ZZQAwYKkVC0/edit?usp=drivesdk"",""Completed Exams!A1:A135""),0),1), 0)"),0.0)</f>
        <v>0</v>
      </c>
      <c r="V156" s="100">
        <f t="shared" si="97"/>
        <v>0</v>
      </c>
      <c r="W156" s="100">
        <f t="shared" si="99"/>
        <v>1</v>
      </c>
      <c r="X156" s="101">
        <f t="shared" si="104"/>
        <v>1</v>
      </c>
      <c r="Y156" s="101">
        <f t="shared" si="100"/>
        <v>1</v>
      </c>
      <c r="Z156" s="101">
        <f t="shared" si="79"/>
        <v>1</v>
      </c>
      <c r="AA156" s="101">
        <f t="shared" si="92"/>
        <v>1</v>
      </c>
      <c r="AB156" s="101">
        <f>IFERROR(__xludf.DUMMYFUNCTION("IFERROR(IF(Match(L156,IMPORTRANGE(""https://docs.google.com/spreadsheets/d/1n1sT_Q_W3mKmn2Yrd8qcNzuRD4zr4DB9gqARnjQ30B4/edit?gid=1918970062#gid=1918970062"",""Form Responses 1!B2:B49""),0),1), 0)"),0.0)</f>
        <v>0</v>
      </c>
      <c r="AC156" s="101">
        <f t="shared" si="101"/>
        <v>1</v>
      </c>
      <c r="AD156" s="100">
        <v>0.0</v>
      </c>
      <c r="AE156" s="101">
        <f>IFERROR(__xludf.DUMMYFUNCTION("IFERROR(IF(Match(L156,IMPORTRANGE(""https://docs.google.com/spreadsheets/d/1hvckjcCpxEuDQDPrBMml_I1kBhYyjrgR8qBKC9QGVUc/edit?resourcekey=&amp;gid=230793720#gid=230793720"",""Form Responses 1!B2:B199""),0),1), 0)"),0.0)</f>
        <v>0</v>
      </c>
      <c r="AF156" s="75">
        <f>IFERROR(__xludf.DUMMYFUNCTION("IFERROR(IF(Match(L156,IMPORTRANGE(""https://docs.google.com/spreadsheets/d/1UY0hI2S83Fmafa5P-C1LM9yqe4v4qIKTnVy_CzLzRPs/edit?resourcekey=&amp;gid=1583835601#gid=1583835601"",""Form Responses 1!B2:B194""),0),1), 0)"),0.0)</f>
        <v>0</v>
      </c>
      <c r="AG156" s="75">
        <f>IFERROR(__xludf.DUMMYFUNCTION("IFERROR(IF(Match(L156,IMPORTRANGE(""https://docs.google.com/spreadsheets/d/1hO4mQ22n6cudUygJ2ss_JeJdm2Ua_7hJl_79lWWEtic/edit?resourcekey=&amp;gid=2087212010#gid=2087212010"",""Form Responses 1!B2:B104""),0),1), 0)"),0.0)</f>
        <v>0</v>
      </c>
      <c r="AH156" s="10">
        <v>0.5</v>
      </c>
    </row>
    <row r="157" ht="22.5" customHeight="1">
      <c r="A157" s="102">
        <v>45924.64248439815</v>
      </c>
      <c r="B157" s="103" t="s">
        <v>189</v>
      </c>
      <c r="C157" s="103" t="s">
        <v>561</v>
      </c>
      <c r="D157" s="103" t="s">
        <v>431</v>
      </c>
      <c r="E157" s="103" t="s">
        <v>427</v>
      </c>
      <c r="F157" s="103" t="s">
        <v>441</v>
      </c>
      <c r="G157" s="103" t="s">
        <v>185</v>
      </c>
      <c r="H157" s="103" t="s">
        <v>881</v>
      </c>
      <c r="J157" s="7"/>
      <c r="K157" s="128" t="s">
        <v>353</v>
      </c>
      <c r="L157" s="7" t="s">
        <v>354</v>
      </c>
      <c r="M157" s="7" t="s">
        <v>346</v>
      </c>
      <c r="N157" s="8" t="s">
        <v>28</v>
      </c>
      <c r="O157" s="7" t="s">
        <v>12</v>
      </c>
      <c r="P157" s="49">
        <v>27.0</v>
      </c>
      <c r="Q157" s="7" t="s">
        <v>543</v>
      </c>
      <c r="R157" s="97">
        <f t="shared" si="102"/>
        <v>1</v>
      </c>
      <c r="S157" s="97">
        <f t="shared" si="95"/>
        <v>1</v>
      </c>
      <c r="T157" s="98">
        <f t="shared" si="103"/>
        <v>1</v>
      </c>
      <c r="U157" s="99">
        <f>IFERROR(__xludf.DUMMYFUNCTION("IFERROR(IF(Match(L157,IMPORTRANGE(""https://docs.google.com/spreadsheets/d/1CAXKDiOnZb21bZOY_nacH9xI9AiD-nH8ZZQAwYKkVC0/edit?usp=drivesdk"",""Completed Exams!A1:A135""),0),1), 0)"),0.0)</f>
        <v>0</v>
      </c>
      <c r="V157" s="100">
        <f t="shared" si="97"/>
        <v>0</v>
      </c>
      <c r="W157" s="100">
        <f t="shared" si="99"/>
        <v>1</v>
      </c>
      <c r="X157" s="101">
        <f t="shared" si="104"/>
        <v>1</v>
      </c>
      <c r="Y157" s="101">
        <f t="shared" si="100"/>
        <v>1</v>
      </c>
      <c r="Z157" s="101">
        <f t="shared" si="79"/>
        <v>1</v>
      </c>
      <c r="AA157" s="101">
        <f t="shared" si="92"/>
        <v>1</v>
      </c>
      <c r="AB157" s="101">
        <f>IFERROR(__xludf.DUMMYFUNCTION("IFERROR(IF(Match(L157,IMPORTRANGE(""https://docs.google.com/spreadsheets/d/1n1sT_Q_W3mKmn2Yrd8qcNzuRD4zr4DB9gqARnjQ30B4/edit?gid=1918970062#gid=1918970062"",""Form Responses 1!B2:B49""),0),1), 0)"),0.0)</f>
        <v>0</v>
      </c>
      <c r="AC157" s="101">
        <f t="shared" si="101"/>
        <v>1</v>
      </c>
      <c r="AD157" s="100">
        <v>1.0</v>
      </c>
      <c r="AE157" s="101">
        <f>IFERROR(__xludf.DUMMYFUNCTION("IFERROR(IF(Match(L157,IMPORTRANGE(""https://docs.google.com/spreadsheets/d/1hvckjcCpxEuDQDPrBMml_I1kBhYyjrgR8qBKC9QGVUc/edit?resourcekey=&amp;gid=230793720#gid=230793720"",""Form Responses 1!B2:B199""),0),1), 0)"),0.0)</f>
        <v>0</v>
      </c>
      <c r="AF157" s="75">
        <f>IFERROR(__xludf.DUMMYFUNCTION("IFERROR(IF(Match(L157,IMPORTRANGE(""https://docs.google.com/spreadsheets/d/1UY0hI2S83Fmafa5P-C1LM9yqe4v4qIKTnVy_CzLzRPs/edit?resourcekey=&amp;gid=1583835601#gid=1583835601"",""Form Responses 1!B2:B194""),0),1), 0)"),0.0)</f>
        <v>0</v>
      </c>
      <c r="AG157" s="75">
        <f>IFERROR(__xludf.DUMMYFUNCTION("IFERROR(IF(Match(L157,IMPORTRANGE(""https://docs.google.com/spreadsheets/d/1hO4mQ22n6cudUygJ2ss_JeJdm2Ua_7hJl_79lWWEtic/edit?resourcekey=&amp;gid=2087212010#gid=2087212010"",""Form Responses 1!B2:B104""),0),1), 0)"),0.0)</f>
        <v>0</v>
      </c>
      <c r="AH157" s="75">
        <f>IFERROR(__xludf.DUMMYFUNCTION("IFERROR(IF(Match(L157,IMPORTRANGE(""https://docs.google.com/spreadsheets/d/1HbfCXhSXbtTODKKY1MOFwJccyhgDKD0J9sO1k5l_6lM/edit?resourcekey=&amp;gid=1616384832#gid=1616384832"",""Form Responses 1!E2:E143""),0),1), 0)"),0.0)</f>
        <v>0</v>
      </c>
    </row>
    <row r="158" ht="22.5" customHeight="1">
      <c r="A158" s="102">
        <v>45924.642513680556</v>
      </c>
      <c r="B158" s="103" t="s">
        <v>191</v>
      </c>
      <c r="C158" s="103" t="s">
        <v>512</v>
      </c>
      <c r="D158" s="103" t="s">
        <v>513</v>
      </c>
      <c r="E158" s="103" t="s">
        <v>427</v>
      </c>
      <c r="F158" s="103" t="s">
        <v>436</v>
      </c>
      <c r="G158" s="103" t="s">
        <v>185</v>
      </c>
      <c r="H158" s="103" t="s">
        <v>49</v>
      </c>
      <c r="J158" s="7"/>
      <c r="K158" s="128" t="s">
        <v>355</v>
      </c>
      <c r="L158" s="16" t="s">
        <v>356</v>
      </c>
      <c r="M158" s="16" t="s">
        <v>346</v>
      </c>
      <c r="N158" s="17" t="s">
        <v>28</v>
      </c>
      <c r="O158" s="16" t="s">
        <v>12</v>
      </c>
      <c r="P158" s="50">
        <v>27.0</v>
      </c>
      <c r="Q158" s="16" t="s">
        <v>543</v>
      </c>
      <c r="R158" s="97">
        <f t="shared" si="102"/>
        <v>1</v>
      </c>
      <c r="S158" s="104">
        <v>0.5</v>
      </c>
      <c r="T158" s="98">
        <f t="shared" si="103"/>
        <v>1</v>
      </c>
      <c r="U158" s="99">
        <f>IFERROR(__xludf.DUMMYFUNCTION("IFERROR(IF(Match(L158,IMPORTRANGE(""https://docs.google.com/spreadsheets/d/1CAXKDiOnZb21bZOY_nacH9xI9AiD-nH8ZZQAwYKkVC0/edit?usp=drivesdk"",""Completed Exams!A1:A135""),0),1), 0)"),0.0)</f>
        <v>0</v>
      </c>
      <c r="V158" s="100">
        <f t="shared" si="97"/>
        <v>0</v>
      </c>
      <c r="W158" s="100">
        <f t="shared" si="99"/>
        <v>0</v>
      </c>
      <c r="X158" s="101">
        <f t="shared" si="104"/>
        <v>1</v>
      </c>
      <c r="Y158" s="100">
        <v>0.5</v>
      </c>
      <c r="Z158" s="101">
        <f t="shared" si="79"/>
        <v>1</v>
      </c>
      <c r="AA158" s="101">
        <f t="shared" si="92"/>
        <v>1</v>
      </c>
      <c r="AB158" s="101">
        <f>IFERROR(__xludf.DUMMYFUNCTION("IFERROR(IF(Match(L158,IMPORTRANGE(""https://docs.google.com/spreadsheets/d/1n1sT_Q_W3mKmn2Yrd8qcNzuRD4zr4DB9gqARnjQ30B4/edit?gid=1918970062#gid=1918970062"",""Form Responses 1!B2:B49""),0),1), 0)"),0.0)</f>
        <v>0</v>
      </c>
      <c r="AC158" s="101">
        <f t="shared" si="101"/>
        <v>1</v>
      </c>
      <c r="AD158" s="100">
        <v>1.0</v>
      </c>
      <c r="AE158" s="101">
        <f>IFERROR(__xludf.DUMMYFUNCTION("IFERROR(IF(Match(L158,IMPORTRANGE(""https://docs.google.com/spreadsheets/d/1hvckjcCpxEuDQDPrBMml_I1kBhYyjrgR8qBKC9QGVUc/edit?resourcekey=&amp;gid=230793720#gid=230793720"",""Form Responses 1!B2:B199""),0),1), 0)"),0.0)</f>
        <v>0</v>
      </c>
      <c r="AF158" s="75">
        <f>IFERROR(__xludf.DUMMYFUNCTION("IFERROR(IF(Match(L158,IMPORTRANGE(""https://docs.google.com/spreadsheets/d/1UY0hI2S83Fmafa5P-C1LM9yqe4v4qIKTnVy_CzLzRPs/edit?resourcekey=&amp;gid=1583835601#gid=1583835601"",""Form Responses 1!B2:B194""),0),1), 0)"),0.0)</f>
        <v>0</v>
      </c>
      <c r="AG158" s="75">
        <f>IFERROR(__xludf.DUMMYFUNCTION("IFERROR(IF(Match(L158,IMPORTRANGE(""https://docs.google.com/spreadsheets/d/1hO4mQ22n6cudUygJ2ss_JeJdm2Ua_7hJl_79lWWEtic/edit?resourcekey=&amp;gid=2087212010#gid=2087212010"",""Form Responses 1!B2:B104""),0),1), 0)"),0.0)</f>
        <v>0</v>
      </c>
      <c r="AH158" s="75">
        <f>IFERROR(__xludf.DUMMYFUNCTION("IFERROR(IF(Match(L158,IMPORTRANGE(""https://docs.google.com/spreadsheets/d/1HbfCXhSXbtTODKKY1MOFwJccyhgDKD0J9sO1k5l_6lM/edit?resourcekey=&amp;gid=1616384832#gid=1616384832"",""Form Responses 1!E2:E143""),0),1), 0)"),0.0)</f>
        <v>0</v>
      </c>
    </row>
    <row r="159" ht="22.5" customHeight="1">
      <c r="A159" s="102">
        <v>45924.642593888886</v>
      </c>
      <c r="B159" s="103" t="s">
        <v>378</v>
      </c>
      <c r="C159" s="103" t="s">
        <v>882</v>
      </c>
      <c r="D159" s="103" t="s">
        <v>883</v>
      </c>
      <c r="E159" s="103" t="s">
        <v>427</v>
      </c>
      <c r="F159" s="103" t="s">
        <v>441</v>
      </c>
      <c r="G159" s="103" t="s">
        <v>442</v>
      </c>
      <c r="H159" s="103" t="s">
        <v>884</v>
      </c>
      <c r="J159" s="7"/>
      <c r="K159" s="128" t="s">
        <v>357</v>
      </c>
      <c r="L159" s="7" t="s">
        <v>358</v>
      </c>
      <c r="M159" s="7" t="s">
        <v>359</v>
      </c>
      <c r="N159" s="8" t="s">
        <v>28</v>
      </c>
      <c r="O159" s="7" t="s">
        <v>12</v>
      </c>
      <c r="P159" s="38">
        <v>28.0</v>
      </c>
      <c r="Q159" s="7" t="s">
        <v>521</v>
      </c>
      <c r="R159" s="97">
        <f t="shared" si="102"/>
        <v>1</v>
      </c>
      <c r="S159" s="97">
        <f t="shared" ref="S159:S160" si="105">IF(COUNTIF(B$150:B$274,L159)=0,0,1)</f>
        <v>1</v>
      </c>
      <c r="T159" s="98">
        <f t="shared" si="103"/>
        <v>1</v>
      </c>
      <c r="U159" s="99">
        <f>IFERROR(__xludf.DUMMYFUNCTION("IFERROR(IF(Match(L159,IMPORTRANGE(""https://docs.google.com/spreadsheets/d/1CAXKDiOnZb21bZOY_nacH9xI9AiD-nH8ZZQAwYKkVC0/edit?usp=drivesdk"",""Completed Exams!A1:A135""),0),1), 0)"),0.0)</f>
        <v>0</v>
      </c>
      <c r="V159" s="100">
        <f t="shared" si="97"/>
        <v>1</v>
      </c>
      <c r="W159" s="100">
        <f t="shared" si="99"/>
        <v>0</v>
      </c>
      <c r="X159" s="101">
        <f t="shared" si="104"/>
        <v>1</v>
      </c>
      <c r="Y159" s="101">
        <f t="shared" ref="Y159:Y160" si="106">IF(COUNTIF(B$725:B$844,L159)=0,0,1)</f>
        <v>0</v>
      </c>
      <c r="Z159" s="101">
        <f t="shared" si="79"/>
        <v>1</v>
      </c>
      <c r="AA159" s="101">
        <f t="shared" si="92"/>
        <v>1</v>
      </c>
      <c r="AB159" s="101">
        <f>IFERROR(__xludf.DUMMYFUNCTION("IFERROR(IF(Match(L159,IMPORTRANGE(""https://docs.google.com/spreadsheets/d/1n1sT_Q_W3mKmn2Yrd8qcNzuRD4zr4DB9gqARnjQ30B4/edit?gid=1918970062#gid=1918970062"",""Form Responses 1!B2:B49""),0),1), 0)"),0.0)</f>
        <v>0</v>
      </c>
      <c r="AC159" s="101">
        <f t="shared" si="101"/>
        <v>1</v>
      </c>
      <c r="AD159" s="120">
        <v>1.0</v>
      </c>
      <c r="AE159" s="101">
        <f>IFERROR(__xludf.DUMMYFUNCTION("IFERROR(IF(Match(L159,IMPORTRANGE(""https://docs.google.com/spreadsheets/d/1hvckjcCpxEuDQDPrBMml_I1kBhYyjrgR8qBKC9QGVUc/edit?resourcekey=&amp;gid=230793720#gid=230793720"",""Form Responses 1!B2:B199""),0),1), 0)"),0.0)</f>
        <v>0</v>
      </c>
      <c r="AF159" s="75">
        <f>IFERROR(__xludf.DUMMYFUNCTION("IFERROR(IF(Match(L159,IMPORTRANGE(""https://docs.google.com/spreadsheets/d/1UY0hI2S83Fmafa5P-C1LM9yqe4v4qIKTnVy_CzLzRPs/edit?resourcekey=&amp;gid=1583835601#gid=1583835601"",""Form Responses 1!B2:B194""),0),1), 0)"),0.0)</f>
        <v>0</v>
      </c>
      <c r="AG159" s="75">
        <f>IFERROR(__xludf.DUMMYFUNCTION("IFERROR(IF(Match(L159,IMPORTRANGE(""https://docs.google.com/spreadsheets/d/1hO4mQ22n6cudUygJ2ss_JeJdm2Ua_7hJl_79lWWEtic/edit?resourcekey=&amp;gid=2087212010#gid=2087212010"",""Form Responses 1!B2:B104""),0),1), 0)"),0.0)</f>
        <v>0</v>
      </c>
      <c r="AH159" s="75">
        <f>IFERROR(__xludf.DUMMYFUNCTION("IFERROR(IF(Match(L159,IMPORTRANGE(""https://docs.google.com/spreadsheets/d/1HbfCXhSXbtTODKKY1MOFwJccyhgDKD0J9sO1k5l_6lM/edit?resourcekey=&amp;gid=1616384832#gid=1616384832"",""Form Responses 1!E2:E143""),0),1), 0)"),0.0)</f>
        <v>0</v>
      </c>
      <c r="AI159" s="14"/>
      <c r="AJ159" s="14"/>
      <c r="AK159" s="14"/>
      <c r="AL159" s="14"/>
      <c r="AM159" s="14"/>
      <c r="AN159" s="14"/>
      <c r="AO159" s="14"/>
      <c r="AP159" s="14"/>
      <c r="AQ159" s="14"/>
    </row>
    <row r="160" ht="22.5" customHeight="1">
      <c r="A160" s="102">
        <v>45924.64289804398</v>
      </c>
      <c r="B160" s="103" t="s">
        <v>337</v>
      </c>
      <c r="C160" s="103" t="s">
        <v>561</v>
      </c>
      <c r="D160" s="103" t="s">
        <v>466</v>
      </c>
      <c r="E160" s="103" t="s">
        <v>427</v>
      </c>
      <c r="F160" s="103" t="s">
        <v>441</v>
      </c>
      <c r="G160" s="103" t="s">
        <v>335</v>
      </c>
      <c r="H160" s="103" t="s">
        <v>49</v>
      </c>
      <c r="J160" s="7"/>
      <c r="K160" s="128" t="s">
        <v>360</v>
      </c>
      <c r="L160" s="7" t="s">
        <v>361</v>
      </c>
      <c r="M160" s="7" t="s">
        <v>359</v>
      </c>
      <c r="N160" s="8" t="s">
        <v>28</v>
      </c>
      <c r="O160" s="7" t="s">
        <v>29</v>
      </c>
      <c r="P160" s="38">
        <v>28.0</v>
      </c>
      <c r="Q160" s="7" t="s">
        <v>507</v>
      </c>
      <c r="R160" s="97">
        <f t="shared" si="102"/>
        <v>1</v>
      </c>
      <c r="S160" s="97">
        <f t="shared" si="105"/>
        <v>1</v>
      </c>
      <c r="T160" s="98">
        <f t="shared" si="103"/>
        <v>1</v>
      </c>
      <c r="U160" s="99">
        <f>IFERROR(__xludf.DUMMYFUNCTION("IFERROR(IF(Match(L160,IMPORTRANGE(""https://docs.google.com/spreadsheets/d/1CAXKDiOnZb21bZOY_nacH9xI9AiD-nH8ZZQAwYKkVC0/edit?usp=drivesdk"",""Completed Exams!A1:A135""),0),1), 0)"),0.0)</f>
        <v>0</v>
      </c>
      <c r="V160" s="100">
        <f t="shared" si="97"/>
        <v>0</v>
      </c>
      <c r="W160" s="100">
        <f t="shared" si="99"/>
        <v>1</v>
      </c>
      <c r="X160" s="101">
        <f t="shared" si="104"/>
        <v>1</v>
      </c>
      <c r="Y160" s="101">
        <f t="shared" si="106"/>
        <v>1</v>
      </c>
      <c r="Z160" s="101">
        <f t="shared" si="79"/>
        <v>1</v>
      </c>
      <c r="AA160" s="101">
        <f t="shared" si="92"/>
        <v>1</v>
      </c>
      <c r="AB160" s="100">
        <v>1.0</v>
      </c>
      <c r="AC160" s="101">
        <f t="shared" si="101"/>
        <v>1</v>
      </c>
      <c r="AD160" s="100">
        <v>1.0</v>
      </c>
      <c r="AE160" s="101">
        <f>IFERROR(__xludf.DUMMYFUNCTION("IFERROR(IF(Match(L160,IMPORTRANGE(""https://docs.google.com/spreadsheets/d/1hvckjcCpxEuDQDPrBMml_I1kBhYyjrgR8qBKC9QGVUc/edit?resourcekey=&amp;gid=230793720#gid=230793720"",""Form Responses 1!B2:B199""),0),1), 0)"),0.0)</f>
        <v>0</v>
      </c>
      <c r="AF160" s="75">
        <f>IFERROR(__xludf.DUMMYFUNCTION("IFERROR(IF(Match(L160,IMPORTRANGE(""https://docs.google.com/spreadsheets/d/1UY0hI2S83Fmafa5P-C1LM9yqe4v4qIKTnVy_CzLzRPs/edit?resourcekey=&amp;gid=1583835601#gid=1583835601"",""Form Responses 1!B2:B194""),0),1), 0)"),0.0)</f>
        <v>0</v>
      </c>
      <c r="AG160" s="75">
        <f>IFERROR(__xludf.DUMMYFUNCTION("IFERROR(IF(Match(L160,IMPORTRANGE(""https://docs.google.com/spreadsheets/d/1hO4mQ22n6cudUygJ2ss_JeJdm2Ua_7hJl_79lWWEtic/edit?resourcekey=&amp;gid=2087212010#gid=2087212010"",""Form Responses 1!B2:B104""),0),1), 0)"),0.0)</f>
        <v>0</v>
      </c>
      <c r="AH160" s="75">
        <f>IFERROR(__xludf.DUMMYFUNCTION("IFERROR(IF(Match(L160,IMPORTRANGE(""https://docs.google.com/spreadsheets/d/1HbfCXhSXbtTODKKY1MOFwJccyhgDKD0J9sO1k5l_6lM/edit?resourcekey=&amp;gid=1616384832#gid=1616384832"",""Form Responses 1!E2:E143""),0),1), 0)"),0.0)</f>
        <v>0</v>
      </c>
    </row>
    <row r="161" ht="22.5" customHeight="1">
      <c r="A161" s="102">
        <v>45924.643538495366</v>
      </c>
      <c r="B161" s="103" t="s">
        <v>263</v>
      </c>
      <c r="C161" s="103" t="s">
        <v>505</v>
      </c>
      <c r="D161" s="103" t="s">
        <v>506</v>
      </c>
      <c r="E161" s="103" t="s">
        <v>427</v>
      </c>
      <c r="F161" s="103" t="s">
        <v>436</v>
      </c>
      <c r="G161" s="103" t="s">
        <v>809</v>
      </c>
      <c r="H161" s="103" t="s">
        <v>885</v>
      </c>
      <c r="J161" s="7"/>
      <c r="K161" s="128" t="s">
        <v>362</v>
      </c>
      <c r="L161" s="7" t="s">
        <v>363</v>
      </c>
      <c r="M161" s="7" t="s">
        <v>359</v>
      </c>
      <c r="N161" s="8" t="s">
        <v>24</v>
      </c>
      <c r="O161" s="7" t="s">
        <v>93</v>
      </c>
      <c r="P161" s="38">
        <v>28.0</v>
      </c>
      <c r="Q161" s="7" t="s">
        <v>507</v>
      </c>
      <c r="R161" s="97">
        <f t="shared" si="102"/>
        <v>1</v>
      </c>
      <c r="S161" s="104">
        <v>0.5</v>
      </c>
      <c r="T161" s="98">
        <f t="shared" si="103"/>
        <v>0</v>
      </c>
      <c r="U161" s="99">
        <f>IFERROR(__xludf.DUMMYFUNCTION("IFERROR(IF(Match(L161,IMPORTRANGE(""https://docs.google.com/spreadsheets/d/1CAXKDiOnZb21bZOY_nacH9xI9AiD-nH8ZZQAwYKkVC0/edit?usp=drivesdk"",""Completed Exams!A1:A135""),0),1), 0)"),0.0)</f>
        <v>0</v>
      </c>
      <c r="V161" s="100">
        <f t="shared" si="97"/>
        <v>1</v>
      </c>
      <c r="W161" s="100">
        <f t="shared" si="99"/>
        <v>0</v>
      </c>
      <c r="X161" s="101">
        <f t="shared" si="104"/>
        <v>0</v>
      </c>
      <c r="Y161" s="100">
        <v>0.5</v>
      </c>
      <c r="Z161" s="101">
        <f t="shared" si="79"/>
        <v>0</v>
      </c>
      <c r="AA161" s="101">
        <f t="shared" si="92"/>
        <v>1</v>
      </c>
      <c r="AB161" s="101">
        <f>IFERROR(__xludf.DUMMYFUNCTION("IFERROR(IF(Match(L161,IMPORTRANGE(""https://docs.google.com/spreadsheets/d/1n1sT_Q_W3mKmn2Yrd8qcNzuRD4zr4DB9gqARnjQ30B4/edit?gid=1918970062#gid=1918970062"",""Form Responses 1!B2:B49""),0),1), 0)"),0.0)</f>
        <v>0</v>
      </c>
      <c r="AC161" s="101">
        <f t="shared" si="101"/>
        <v>1</v>
      </c>
      <c r="AD161" s="100">
        <v>0.0</v>
      </c>
      <c r="AE161" s="101">
        <f>IFERROR(__xludf.DUMMYFUNCTION("IFERROR(IF(Match(L161,IMPORTRANGE(""https://docs.google.com/spreadsheets/d/1hvckjcCpxEuDQDPrBMml_I1kBhYyjrgR8qBKC9QGVUc/edit?resourcekey=&amp;gid=230793720#gid=230793720"",""Form Responses 1!B2:B199""),0),1), 0)"),0.0)</f>
        <v>0</v>
      </c>
      <c r="AF161" s="75">
        <f>IFERROR(__xludf.DUMMYFUNCTION("IFERROR(IF(Match(L161,IMPORTRANGE(""https://docs.google.com/spreadsheets/d/1UY0hI2S83Fmafa5P-C1LM9yqe4v4qIKTnVy_CzLzRPs/edit?resourcekey=&amp;gid=1583835601#gid=1583835601"",""Form Responses 1!B2:B194""),0),1), 0)"),0.0)</f>
        <v>0</v>
      </c>
      <c r="AG161" s="75">
        <f>IFERROR(__xludf.DUMMYFUNCTION("IFERROR(IF(Match(L161,IMPORTRANGE(""https://docs.google.com/spreadsheets/d/1hO4mQ22n6cudUygJ2ss_JeJdm2Ua_7hJl_79lWWEtic/edit?resourcekey=&amp;gid=2087212010#gid=2087212010"",""Form Responses 1!B2:B104""),0),1), 0)"),0.0)</f>
        <v>0</v>
      </c>
      <c r="AH161" s="75">
        <f>IFERROR(__xludf.DUMMYFUNCTION("IFERROR(IF(Match(L161,IMPORTRANGE(""https://docs.google.com/spreadsheets/d/1HbfCXhSXbtTODKKY1MOFwJccyhgDKD0J9sO1k5l_6lM/edit?resourcekey=&amp;gid=1616384832#gid=1616384832"",""Form Responses 1!E2:E143""),0),1), 0)"),0.0)</f>
        <v>0</v>
      </c>
    </row>
    <row r="162" ht="22.5" customHeight="1">
      <c r="A162" s="102">
        <v>45924.64397635417</v>
      </c>
      <c r="B162" s="103" t="s">
        <v>115</v>
      </c>
      <c r="C162" s="103" t="s">
        <v>489</v>
      </c>
      <c r="D162" s="103" t="s">
        <v>490</v>
      </c>
      <c r="E162" s="103" t="s">
        <v>427</v>
      </c>
      <c r="F162" s="103" t="s">
        <v>436</v>
      </c>
      <c r="G162" s="103" t="s">
        <v>113</v>
      </c>
      <c r="H162" s="103" t="s">
        <v>886</v>
      </c>
      <c r="J162" s="7"/>
      <c r="K162" s="128" t="s">
        <v>364</v>
      </c>
      <c r="L162" s="7" t="s">
        <v>365</v>
      </c>
      <c r="M162" s="7" t="s">
        <v>359</v>
      </c>
      <c r="N162" s="8" t="s">
        <v>28</v>
      </c>
      <c r="O162" s="7" t="s">
        <v>12</v>
      </c>
      <c r="P162" s="38">
        <v>28.0</v>
      </c>
      <c r="Q162" s="7" t="s">
        <v>456</v>
      </c>
      <c r="R162" s="97">
        <f t="shared" si="102"/>
        <v>1</v>
      </c>
      <c r="S162" s="97">
        <f t="shared" ref="S162:S174" si="107">IF(COUNTIF(B$150:B$274,L162)=0,0,1)</f>
        <v>1</v>
      </c>
      <c r="T162" s="98">
        <f t="shared" si="103"/>
        <v>1</v>
      </c>
      <c r="U162" s="99">
        <f>IFERROR(__xludf.DUMMYFUNCTION("IFERROR(IF(Match(L162,IMPORTRANGE(""https://docs.google.com/spreadsheets/d/1CAXKDiOnZb21bZOY_nacH9xI9AiD-nH8ZZQAwYKkVC0/edit?usp=drivesdk"",""Completed Exams!A1:A135""),0),1), 0)"),0.0)</f>
        <v>0</v>
      </c>
      <c r="V162" s="100">
        <f t="shared" si="97"/>
        <v>1</v>
      </c>
      <c r="W162" s="100">
        <f t="shared" si="99"/>
        <v>1</v>
      </c>
      <c r="X162" s="101">
        <f t="shared" si="104"/>
        <v>1</v>
      </c>
      <c r="Y162" s="101">
        <f t="shared" ref="Y162:Y174" si="108">IF(COUNTIF(B$725:B$844,L162)=0,0,1)</f>
        <v>1</v>
      </c>
      <c r="Z162" s="101">
        <f t="shared" si="79"/>
        <v>1</v>
      </c>
      <c r="AA162" s="101">
        <f t="shared" si="92"/>
        <v>0</v>
      </c>
      <c r="AB162" s="101">
        <f>IFERROR(__xludf.DUMMYFUNCTION("IFERROR(IF(Match(L162,IMPORTRANGE(""https://docs.google.com/spreadsheets/d/1n1sT_Q_W3mKmn2Yrd8qcNzuRD4zr4DB9gqARnjQ30B4/edit?gid=1918970062#gid=1918970062"",""Form Responses 1!B2:B49""),0),1), 0)"),0.0)</f>
        <v>0</v>
      </c>
      <c r="AC162" s="101">
        <f t="shared" si="101"/>
        <v>1</v>
      </c>
      <c r="AD162" s="100">
        <v>0.5</v>
      </c>
      <c r="AE162" s="101">
        <f>IFERROR(__xludf.DUMMYFUNCTION("IFERROR(IF(Match(L162,IMPORTRANGE(""https://docs.google.com/spreadsheets/d/1hvckjcCpxEuDQDPrBMml_I1kBhYyjrgR8qBKC9QGVUc/edit?resourcekey=&amp;gid=230793720#gid=230793720"",""Form Responses 1!B2:B199""),0),1), 0)"),0.0)</f>
        <v>0</v>
      </c>
      <c r="AF162" s="10">
        <v>0.5</v>
      </c>
      <c r="AG162" s="75">
        <f>IFERROR(__xludf.DUMMYFUNCTION("IFERROR(IF(Match(L162,IMPORTRANGE(""https://docs.google.com/spreadsheets/d/1hO4mQ22n6cudUygJ2ss_JeJdm2Ua_7hJl_79lWWEtic/edit?resourcekey=&amp;gid=2087212010#gid=2087212010"",""Form Responses 1!B2:B104""),0),1), 0)"),0.0)</f>
        <v>0</v>
      </c>
      <c r="AH162" s="75">
        <f>IFERROR(__xludf.DUMMYFUNCTION("IFERROR(IF(Match(L162,IMPORTRANGE(""https://docs.google.com/spreadsheets/d/1HbfCXhSXbtTODKKY1MOFwJccyhgDKD0J9sO1k5l_6lM/edit?resourcekey=&amp;gid=1616384832#gid=1616384832"",""Form Responses 1!E2:E143""),0),1), 0)"),0.0)</f>
        <v>0</v>
      </c>
    </row>
    <row r="163" ht="22.5" customHeight="1">
      <c r="A163" s="102">
        <v>45924.64816273148</v>
      </c>
      <c r="B163" s="103" t="s">
        <v>304</v>
      </c>
      <c r="C163" s="103" t="s">
        <v>887</v>
      </c>
      <c r="D163" s="103" t="s">
        <v>888</v>
      </c>
      <c r="E163" s="103" t="s">
        <v>639</v>
      </c>
      <c r="F163" s="103" t="s">
        <v>441</v>
      </c>
      <c r="G163" s="103" t="s">
        <v>462</v>
      </c>
      <c r="H163" s="103" t="s">
        <v>889</v>
      </c>
      <c r="J163" s="7"/>
      <c r="K163" s="128" t="s">
        <v>366</v>
      </c>
      <c r="L163" s="16" t="s">
        <v>367</v>
      </c>
      <c r="M163" s="16" t="s">
        <v>359</v>
      </c>
      <c r="N163" s="17" t="s">
        <v>28</v>
      </c>
      <c r="O163" s="16" t="s">
        <v>12</v>
      </c>
      <c r="P163" s="42">
        <v>28.0</v>
      </c>
      <c r="Q163" s="16" t="s">
        <v>456</v>
      </c>
      <c r="R163" s="97">
        <f t="shared" si="102"/>
        <v>1</v>
      </c>
      <c r="S163" s="97">
        <f t="shared" si="107"/>
        <v>1</v>
      </c>
      <c r="T163" s="98">
        <f t="shared" si="103"/>
        <v>1</v>
      </c>
      <c r="U163" s="99">
        <f>IFERROR(__xludf.DUMMYFUNCTION("IFERROR(IF(Match(L163,IMPORTRANGE(""https://docs.google.com/spreadsheets/d/1CAXKDiOnZb21bZOY_nacH9xI9AiD-nH8ZZQAwYKkVC0/edit?usp=drivesdk"",""Completed Exams!A1:A135""),0),1), 0)"),0.0)</f>
        <v>0</v>
      </c>
      <c r="V163" s="100">
        <f t="shared" si="97"/>
        <v>1</v>
      </c>
      <c r="W163" s="100">
        <v>1.0</v>
      </c>
      <c r="X163" s="101">
        <f t="shared" si="104"/>
        <v>1</v>
      </c>
      <c r="Y163" s="101">
        <f t="shared" si="108"/>
        <v>0</v>
      </c>
      <c r="Z163" s="101">
        <f t="shared" si="79"/>
        <v>1</v>
      </c>
      <c r="AA163" s="101">
        <f t="shared" si="92"/>
        <v>1</v>
      </c>
      <c r="AB163" s="101">
        <f>IFERROR(__xludf.DUMMYFUNCTION("IFERROR(IF(Match(L163,IMPORTRANGE(""https://docs.google.com/spreadsheets/d/1n1sT_Q_W3mKmn2Yrd8qcNzuRD4zr4DB9gqARnjQ30B4/edit?gid=1918970062#gid=1918970062"",""Form Responses 1!B2:B49""),0),1), 0)"),0.0)</f>
        <v>0</v>
      </c>
      <c r="AC163" s="100">
        <v>0.5</v>
      </c>
      <c r="AD163" s="100">
        <v>0.0</v>
      </c>
      <c r="AE163" s="101">
        <f>IFERROR(__xludf.DUMMYFUNCTION("IFERROR(IF(Match(L163,IMPORTRANGE(""https://docs.google.com/spreadsheets/d/1hvckjcCpxEuDQDPrBMml_I1kBhYyjrgR8qBKC9QGVUc/edit?resourcekey=&amp;gid=230793720#gid=230793720"",""Form Responses 1!B2:B199""),0),1), 0)"),0.0)</f>
        <v>0</v>
      </c>
      <c r="AF163" s="75">
        <f>IFERROR(__xludf.DUMMYFUNCTION("IFERROR(IF(Match(L163,IMPORTRANGE(""https://docs.google.com/spreadsheets/d/1UY0hI2S83Fmafa5P-C1LM9yqe4v4qIKTnVy_CzLzRPs/edit?resourcekey=&amp;gid=1583835601#gid=1583835601"",""Form Responses 1!B2:B194""),0),1), 0)"),0.0)</f>
        <v>0</v>
      </c>
      <c r="AG163" s="75">
        <f>IFERROR(__xludf.DUMMYFUNCTION("IFERROR(IF(Match(L163,IMPORTRANGE(""https://docs.google.com/spreadsheets/d/1hO4mQ22n6cudUygJ2ss_JeJdm2Ua_7hJl_79lWWEtic/edit?resourcekey=&amp;gid=2087212010#gid=2087212010"",""Form Responses 1!B2:B104""),0),1), 0)"),0.0)</f>
        <v>0</v>
      </c>
      <c r="AH163" s="75">
        <f>IFERROR(__xludf.DUMMYFUNCTION("IFERROR(IF(Match(L163,IMPORTRANGE(""https://docs.google.com/spreadsheets/d/1HbfCXhSXbtTODKKY1MOFwJccyhgDKD0J9sO1k5l_6lM/edit?resourcekey=&amp;gid=1616384832#gid=1616384832"",""Form Responses 1!E2:E143""),0),1), 0)"),0.0)</f>
        <v>0</v>
      </c>
    </row>
    <row r="164" ht="22.5" customHeight="1">
      <c r="A164" s="102">
        <v>45924.64849078703</v>
      </c>
      <c r="B164" s="103" t="s">
        <v>235</v>
      </c>
      <c r="C164" s="103" t="s">
        <v>890</v>
      </c>
      <c r="D164" s="103" t="s">
        <v>891</v>
      </c>
      <c r="E164" s="103" t="s">
        <v>578</v>
      </c>
      <c r="F164" s="103" t="s">
        <v>436</v>
      </c>
      <c r="G164" s="103" t="s">
        <v>892</v>
      </c>
      <c r="H164" s="103" t="s">
        <v>893</v>
      </c>
      <c r="J164" s="7"/>
      <c r="K164" s="128" t="s">
        <v>368</v>
      </c>
      <c r="L164" s="7" t="s">
        <v>369</v>
      </c>
      <c r="M164" s="7" t="s">
        <v>370</v>
      </c>
      <c r="N164" s="8" t="s">
        <v>24</v>
      </c>
      <c r="O164" s="7" t="s">
        <v>25</v>
      </c>
      <c r="P164" s="21">
        <v>29.0</v>
      </c>
      <c r="Q164" s="7" t="s">
        <v>575</v>
      </c>
      <c r="R164" s="97">
        <f t="shared" si="102"/>
        <v>1</v>
      </c>
      <c r="S164" s="97">
        <f t="shared" si="107"/>
        <v>0</v>
      </c>
      <c r="T164" s="98">
        <f t="shared" si="103"/>
        <v>0</v>
      </c>
      <c r="U164" s="99">
        <f>IFERROR(__xludf.DUMMYFUNCTION("IFERROR(IF(Match(L164,IMPORTRANGE(""https://docs.google.com/spreadsheets/d/1CAXKDiOnZb21bZOY_nacH9xI9AiD-nH8ZZQAwYKkVC0/edit?usp=drivesdk"",""Completed Exams!A1:A135""),0),1), 0)"),0.0)</f>
        <v>0</v>
      </c>
      <c r="V164" s="100">
        <f t="shared" si="97"/>
        <v>1</v>
      </c>
      <c r="W164" s="100">
        <f t="shared" ref="W164:W172" si="109">IF(COUNTIF(B$535:B$602,L164)=0,0,1)</f>
        <v>0</v>
      </c>
      <c r="X164" s="101">
        <f t="shared" si="104"/>
        <v>0</v>
      </c>
      <c r="Y164" s="101">
        <f t="shared" si="108"/>
        <v>0</v>
      </c>
      <c r="Z164" s="101">
        <f t="shared" si="79"/>
        <v>0</v>
      </c>
      <c r="AA164" s="101">
        <f t="shared" si="92"/>
        <v>1</v>
      </c>
      <c r="AB164" s="101">
        <f>IFERROR(__xludf.DUMMYFUNCTION("IFERROR(IF(Match(L164,IMPORTRANGE(""https://docs.google.com/spreadsheets/d/1n1sT_Q_W3mKmn2Yrd8qcNzuRD4zr4DB9gqARnjQ30B4/edit?gid=1918970062#gid=1918970062"",""Form Responses 1!B2:B49""),0),1), 0)"),0.0)</f>
        <v>0</v>
      </c>
      <c r="AC164" s="101">
        <f t="shared" ref="AC164:AC181" si="110">IF(COUNTIF(B$1145:B$1305,L164)=0,0,1)</f>
        <v>1</v>
      </c>
      <c r="AD164" s="100">
        <v>1.0</v>
      </c>
      <c r="AE164" s="101">
        <f>IFERROR(__xludf.DUMMYFUNCTION("IFERROR(IF(Match(L164,IMPORTRANGE(""https://docs.google.com/spreadsheets/d/1hvckjcCpxEuDQDPrBMml_I1kBhYyjrgR8qBKC9QGVUc/edit?resourcekey=&amp;gid=230793720#gid=230793720"",""Form Responses 1!B2:B199""),0),1), 0)"),0.0)</f>
        <v>0</v>
      </c>
      <c r="AF164" s="75">
        <f>IFERROR(__xludf.DUMMYFUNCTION("IFERROR(IF(Match(L164,IMPORTRANGE(""https://docs.google.com/spreadsheets/d/1UY0hI2S83Fmafa5P-C1LM9yqe4v4qIKTnVy_CzLzRPs/edit?resourcekey=&amp;gid=1583835601#gid=1583835601"",""Form Responses 1!B2:B194""),0),1), 0)"),0.0)</f>
        <v>0</v>
      </c>
      <c r="AG164" s="75">
        <f>IFERROR(__xludf.DUMMYFUNCTION("IFERROR(IF(Match(L164,IMPORTRANGE(""https://docs.google.com/spreadsheets/d/1hO4mQ22n6cudUygJ2ss_JeJdm2Ua_7hJl_79lWWEtic/edit?resourcekey=&amp;gid=2087212010#gid=2087212010"",""Form Responses 1!B2:B104""),0),1), 0)"),0.0)</f>
        <v>0</v>
      </c>
      <c r="AH164" s="75">
        <f>IFERROR(__xludf.DUMMYFUNCTION("IFERROR(IF(Match(L164,IMPORTRANGE(""https://docs.google.com/spreadsheets/d/1HbfCXhSXbtTODKKY1MOFwJccyhgDKD0J9sO1k5l_6lM/edit?resourcekey=&amp;gid=1616384832#gid=1616384832"",""Form Responses 1!E2:E143""),0),1), 0)"),0.0)</f>
        <v>0</v>
      </c>
    </row>
    <row r="165" ht="22.5" customHeight="1">
      <c r="A165" s="102">
        <v>45924.64857340278</v>
      </c>
      <c r="B165" s="103" t="s">
        <v>237</v>
      </c>
      <c r="C165" s="103" t="s">
        <v>861</v>
      </c>
      <c r="D165" s="103" t="s">
        <v>862</v>
      </c>
      <c r="E165" s="103" t="s">
        <v>639</v>
      </c>
      <c r="F165" s="103" t="s">
        <v>436</v>
      </c>
      <c r="G165" s="103" t="s">
        <v>892</v>
      </c>
      <c r="H165" s="103" t="s">
        <v>894</v>
      </c>
      <c r="J165" s="7"/>
      <c r="K165" s="128" t="s">
        <v>371</v>
      </c>
      <c r="L165" s="7" t="s">
        <v>372</v>
      </c>
      <c r="M165" s="7" t="s">
        <v>370</v>
      </c>
      <c r="N165" s="8" t="s">
        <v>24</v>
      </c>
      <c r="O165" s="7" t="s">
        <v>25</v>
      </c>
      <c r="P165" s="21">
        <v>29.0</v>
      </c>
      <c r="Q165" s="7" t="s">
        <v>575</v>
      </c>
      <c r="R165" s="97">
        <f t="shared" si="102"/>
        <v>1</v>
      </c>
      <c r="S165" s="97">
        <f t="shared" si="107"/>
        <v>0</v>
      </c>
      <c r="T165" s="98">
        <f t="shared" si="103"/>
        <v>0</v>
      </c>
      <c r="U165" s="99">
        <f>IFERROR(__xludf.DUMMYFUNCTION("IFERROR(IF(Match(L165,IMPORTRANGE(""https://docs.google.com/spreadsheets/d/1CAXKDiOnZb21bZOY_nacH9xI9AiD-nH8ZZQAwYKkVC0/edit?usp=drivesdk"",""Completed Exams!A1:A135""),0),1), 0)"),0.0)</f>
        <v>0</v>
      </c>
      <c r="V165" s="100">
        <f t="shared" si="97"/>
        <v>0</v>
      </c>
      <c r="W165" s="100">
        <f t="shared" si="109"/>
        <v>1</v>
      </c>
      <c r="X165" s="100">
        <v>0.5</v>
      </c>
      <c r="Y165" s="101">
        <f t="shared" si="108"/>
        <v>1</v>
      </c>
      <c r="Z165" s="101">
        <f t="shared" si="79"/>
        <v>1</v>
      </c>
      <c r="AA165" s="100">
        <v>0.5</v>
      </c>
      <c r="AB165" s="101">
        <f>IFERROR(__xludf.DUMMYFUNCTION("IFERROR(IF(Match(L165,IMPORTRANGE(""https://docs.google.com/spreadsheets/d/1n1sT_Q_W3mKmn2Yrd8qcNzuRD4zr4DB9gqARnjQ30B4/edit?gid=1918970062#gid=1918970062"",""Form Responses 1!B2:B49""),0),1), 0)"),0.0)</f>
        <v>0</v>
      </c>
      <c r="AC165" s="101">
        <f t="shared" si="110"/>
        <v>1</v>
      </c>
      <c r="AD165" s="100">
        <v>1.0</v>
      </c>
      <c r="AE165" s="101">
        <f>IFERROR(__xludf.DUMMYFUNCTION("IFERROR(IF(Match(L165,IMPORTRANGE(""https://docs.google.com/spreadsheets/d/1hvckjcCpxEuDQDPrBMml_I1kBhYyjrgR8qBKC9QGVUc/edit?resourcekey=&amp;gid=230793720#gid=230793720"",""Form Responses 1!B2:B199""),0),1), 0)"),0.0)</f>
        <v>0</v>
      </c>
      <c r="AF165" s="75">
        <f>IFERROR(__xludf.DUMMYFUNCTION("IFERROR(IF(Match(L165,IMPORTRANGE(""https://docs.google.com/spreadsheets/d/1UY0hI2S83Fmafa5P-C1LM9yqe4v4qIKTnVy_CzLzRPs/edit?resourcekey=&amp;gid=1583835601#gid=1583835601"",""Form Responses 1!B2:B194""),0),1), 0)"),0.0)</f>
        <v>0</v>
      </c>
      <c r="AG165" s="75">
        <f>IFERROR(__xludf.DUMMYFUNCTION("IFERROR(IF(Match(L165,IMPORTRANGE(""https://docs.google.com/spreadsheets/d/1hO4mQ22n6cudUygJ2ss_JeJdm2Ua_7hJl_79lWWEtic/edit?resourcekey=&amp;gid=2087212010#gid=2087212010"",""Form Responses 1!B2:B104""),0),1), 0)"),0.0)</f>
        <v>0</v>
      </c>
      <c r="AH165" s="75">
        <f>IFERROR(__xludf.DUMMYFUNCTION("IFERROR(IF(Match(L165,IMPORTRANGE(""https://docs.google.com/spreadsheets/d/1HbfCXhSXbtTODKKY1MOFwJccyhgDKD0J9sO1k5l_6lM/edit?resourcekey=&amp;gid=1616384832#gid=1616384832"",""Form Responses 1!E2:E143""),0),1), 0)"),0.0)</f>
        <v>0</v>
      </c>
    </row>
    <row r="166" ht="22.5" customHeight="1">
      <c r="A166" s="102">
        <v>45924.64856920139</v>
      </c>
      <c r="B166" s="103" t="s">
        <v>163</v>
      </c>
      <c r="C166" s="103" t="s">
        <v>425</v>
      </c>
      <c r="D166" s="103" t="s">
        <v>895</v>
      </c>
      <c r="E166" s="103" t="s">
        <v>639</v>
      </c>
      <c r="F166" s="103" t="s">
        <v>441</v>
      </c>
      <c r="G166" s="103" t="s">
        <v>161</v>
      </c>
      <c r="H166" s="103" t="s">
        <v>896</v>
      </c>
      <c r="J166" s="7"/>
      <c r="K166" s="128" t="s">
        <v>373</v>
      </c>
      <c r="L166" s="7" t="s">
        <v>374</v>
      </c>
      <c r="M166" s="7" t="s">
        <v>370</v>
      </c>
      <c r="N166" s="8" t="s">
        <v>24</v>
      </c>
      <c r="O166" s="7" t="s">
        <v>93</v>
      </c>
      <c r="P166" s="21">
        <v>29.0</v>
      </c>
      <c r="Q166" s="7" t="s">
        <v>571</v>
      </c>
      <c r="R166" s="97">
        <f t="shared" si="102"/>
        <v>0</v>
      </c>
      <c r="S166" s="97">
        <f t="shared" si="107"/>
        <v>1</v>
      </c>
      <c r="T166" s="98">
        <f t="shared" si="103"/>
        <v>0</v>
      </c>
      <c r="U166" s="99">
        <f>IFERROR(__xludf.DUMMYFUNCTION("IFERROR(IF(Match(L166,IMPORTRANGE(""https://docs.google.com/spreadsheets/d/1CAXKDiOnZb21bZOY_nacH9xI9AiD-nH8ZZQAwYKkVC0/edit?usp=drivesdk"",""Completed Exams!A1:A135""),0),1), 0)"),0.0)</f>
        <v>0</v>
      </c>
      <c r="V166" s="100">
        <f t="shared" si="97"/>
        <v>0</v>
      </c>
      <c r="W166" s="100">
        <f t="shared" si="109"/>
        <v>0</v>
      </c>
      <c r="X166" s="101">
        <f t="shared" ref="X166:X181" si="111">IF(COUNTIF(B$603:B$725,L166)=0,0,1)</f>
        <v>0</v>
      </c>
      <c r="Y166" s="101">
        <f t="shared" si="108"/>
        <v>1</v>
      </c>
      <c r="Z166" s="101">
        <f t="shared" si="79"/>
        <v>0</v>
      </c>
      <c r="AA166" s="100">
        <v>0.5</v>
      </c>
      <c r="AB166" s="101">
        <f>IFERROR(__xludf.DUMMYFUNCTION("IFERROR(IF(Match(L166,IMPORTRANGE(""https://docs.google.com/spreadsheets/d/1n1sT_Q_W3mKmn2Yrd8qcNzuRD4zr4DB9gqARnjQ30B4/edit?gid=1918970062#gid=1918970062"",""Form Responses 1!B2:B49""),0),1), 0)"),0.0)</f>
        <v>0</v>
      </c>
      <c r="AC166" s="101">
        <f t="shared" si="110"/>
        <v>1</v>
      </c>
      <c r="AD166" s="100">
        <v>1.0</v>
      </c>
      <c r="AE166" s="101">
        <f>IFERROR(__xludf.DUMMYFUNCTION("IFERROR(IF(Match(L166,IMPORTRANGE(""https://docs.google.com/spreadsheets/d/1hvckjcCpxEuDQDPrBMml_I1kBhYyjrgR8qBKC9QGVUc/edit?resourcekey=&amp;gid=230793720#gid=230793720"",""Form Responses 1!B2:B199""),0),1), 0)"),0.0)</f>
        <v>0</v>
      </c>
      <c r="AF166" s="75">
        <f>IFERROR(__xludf.DUMMYFUNCTION("IFERROR(IF(Match(L166,IMPORTRANGE(""https://docs.google.com/spreadsheets/d/1UY0hI2S83Fmafa5P-C1LM9yqe4v4qIKTnVy_CzLzRPs/edit?resourcekey=&amp;gid=1583835601#gid=1583835601"",""Form Responses 1!B2:B194""),0),1), 0)"),0.0)</f>
        <v>0</v>
      </c>
      <c r="AG166" s="75">
        <f>IFERROR(__xludf.DUMMYFUNCTION("IFERROR(IF(Match(L166,IMPORTRANGE(""https://docs.google.com/spreadsheets/d/1hO4mQ22n6cudUygJ2ss_JeJdm2Ua_7hJl_79lWWEtic/edit?resourcekey=&amp;gid=2087212010#gid=2087212010"",""Form Responses 1!B2:B104""),0),1), 0)"),0.0)</f>
        <v>0</v>
      </c>
      <c r="AH166" s="75">
        <f>IFERROR(__xludf.DUMMYFUNCTION("IFERROR(IF(Match(L166,IMPORTRANGE(""https://docs.google.com/spreadsheets/d/1HbfCXhSXbtTODKKY1MOFwJccyhgDKD0J9sO1k5l_6lM/edit?resourcekey=&amp;gid=1616384832#gid=1616384832"",""Form Responses 1!E2:E143""),0),1), 0)"),0.0)</f>
        <v>0</v>
      </c>
    </row>
    <row r="167" ht="22.5" customHeight="1">
      <c r="A167" s="102">
        <v>45924.64861809028</v>
      </c>
      <c r="B167" s="103" t="s">
        <v>165</v>
      </c>
      <c r="C167" s="103" t="s">
        <v>847</v>
      </c>
      <c r="D167" s="103" t="s">
        <v>848</v>
      </c>
      <c r="E167" s="103" t="s">
        <v>639</v>
      </c>
      <c r="F167" s="103" t="s">
        <v>436</v>
      </c>
      <c r="G167" s="103" t="s">
        <v>897</v>
      </c>
      <c r="H167" s="103" t="s">
        <v>898</v>
      </c>
      <c r="J167" s="7"/>
      <c r="K167" s="128" t="s">
        <v>375</v>
      </c>
      <c r="L167" s="7" t="s">
        <v>376</v>
      </c>
      <c r="M167" s="7" t="s">
        <v>370</v>
      </c>
      <c r="N167" s="8" t="s">
        <v>24</v>
      </c>
      <c r="O167" s="7" t="s">
        <v>93</v>
      </c>
      <c r="P167" s="21">
        <v>29.0</v>
      </c>
      <c r="Q167" s="7" t="s">
        <v>539</v>
      </c>
      <c r="R167" s="97">
        <f t="shared" si="102"/>
        <v>0</v>
      </c>
      <c r="S167" s="97">
        <f t="shared" si="107"/>
        <v>1</v>
      </c>
      <c r="T167" s="98">
        <f t="shared" si="103"/>
        <v>1</v>
      </c>
      <c r="U167" s="99">
        <f>IFERROR(__xludf.DUMMYFUNCTION("IFERROR(IF(Match(L167,IMPORTRANGE(""https://docs.google.com/spreadsheets/d/1CAXKDiOnZb21bZOY_nacH9xI9AiD-nH8ZZQAwYKkVC0/edit?usp=drivesdk"",""Completed Exams!A1:A135""),0),1), 0)"),0.0)</f>
        <v>0</v>
      </c>
      <c r="V167" s="100">
        <f t="shared" si="97"/>
        <v>0</v>
      </c>
      <c r="W167" s="100">
        <f t="shared" si="109"/>
        <v>0</v>
      </c>
      <c r="X167" s="101">
        <f t="shared" si="111"/>
        <v>1</v>
      </c>
      <c r="Y167" s="101">
        <f t="shared" si="108"/>
        <v>0</v>
      </c>
      <c r="Z167" s="101">
        <f t="shared" si="79"/>
        <v>0</v>
      </c>
      <c r="AA167" s="101">
        <f t="shared" ref="AA167:AA174" si="112">IF(COUNTIF(B$971:B$1124,L167)=0,0,1)</f>
        <v>1</v>
      </c>
      <c r="AB167" s="101">
        <f>IFERROR(__xludf.DUMMYFUNCTION("IFERROR(IF(Match(L167,IMPORTRANGE(""https://docs.google.com/spreadsheets/d/1n1sT_Q_W3mKmn2Yrd8qcNzuRD4zr4DB9gqARnjQ30B4/edit?gid=1918970062#gid=1918970062"",""Form Responses 1!B2:B49""),0),1), 0)"),0.0)</f>
        <v>0</v>
      </c>
      <c r="AC167" s="101">
        <f t="shared" si="110"/>
        <v>1</v>
      </c>
      <c r="AD167" s="100">
        <v>0.0</v>
      </c>
      <c r="AE167" s="101">
        <f>IFERROR(__xludf.DUMMYFUNCTION("IFERROR(IF(Match(L167,IMPORTRANGE(""https://docs.google.com/spreadsheets/d/1hvckjcCpxEuDQDPrBMml_I1kBhYyjrgR8qBKC9QGVUc/edit?resourcekey=&amp;gid=230793720#gid=230793720"",""Form Responses 1!B2:B199""),0),1), 0)"),0.0)</f>
        <v>0</v>
      </c>
      <c r="AF167" s="75">
        <f>IFERROR(__xludf.DUMMYFUNCTION("IFERROR(IF(Match(L167,IMPORTRANGE(""https://docs.google.com/spreadsheets/d/1UY0hI2S83Fmafa5P-C1LM9yqe4v4qIKTnVy_CzLzRPs/edit?resourcekey=&amp;gid=1583835601#gid=1583835601"",""Form Responses 1!B2:B194""),0),1), 0)"),0.0)</f>
        <v>0</v>
      </c>
      <c r="AG167" s="75">
        <f>IFERROR(__xludf.DUMMYFUNCTION("IFERROR(IF(Match(L167,IMPORTRANGE(""https://docs.google.com/spreadsheets/d/1hO4mQ22n6cudUygJ2ss_JeJdm2Ua_7hJl_79lWWEtic/edit?resourcekey=&amp;gid=2087212010#gid=2087212010"",""Form Responses 1!B2:B104""),0),1), 0)"),0.0)</f>
        <v>0</v>
      </c>
      <c r="AH167" s="75">
        <f>IFERROR(__xludf.DUMMYFUNCTION("IFERROR(IF(Match(L167,IMPORTRANGE(""https://docs.google.com/spreadsheets/d/1HbfCXhSXbtTODKKY1MOFwJccyhgDKD0J9sO1k5l_6lM/edit?resourcekey=&amp;gid=1616384832#gid=1616384832"",""Form Responses 1!E2:E143""),0),1), 0)"),0.0)</f>
        <v>0</v>
      </c>
    </row>
    <row r="168" ht="22.5" customHeight="1">
      <c r="A168" s="102">
        <v>45924.64873678241</v>
      </c>
      <c r="B168" s="103" t="s">
        <v>268</v>
      </c>
      <c r="C168" s="103" t="s">
        <v>722</v>
      </c>
      <c r="D168" s="103" t="s">
        <v>723</v>
      </c>
      <c r="E168" s="103" t="s">
        <v>639</v>
      </c>
      <c r="F168" s="103" t="s">
        <v>436</v>
      </c>
      <c r="G168" s="103" t="s">
        <v>604</v>
      </c>
      <c r="H168" s="103" t="s">
        <v>899</v>
      </c>
      <c r="J168" s="7"/>
      <c r="K168" s="128" t="s">
        <v>377</v>
      </c>
      <c r="L168" s="7" t="s">
        <v>378</v>
      </c>
      <c r="M168" s="7" t="s">
        <v>370</v>
      </c>
      <c r="N168" s="8" t="s">
        <v>24</v>
      </c>
      <c r="O168" s="7" t="s">
        <v>25</v>
      </c>
      <c r="P168" s="21">
        <v>29.0</v>
      </c>
      <c r="Q168" s="7" t="s">
        <v>464</v>
      </c>
      <c r="R168" s="97">
        <f t="shared" si="102"/>
        <v>0</v>
      </c>
      <c r="S168" s="97">
        <f t="shared" si="107"/>
        <v>1</v>
      </c>
      <c r="T168" s="98">
        <f t="shared" si="103"/>
        <v>0</v>
      </c>
      <c r="U168" s="98">
        <v>1.0</v>
      </c>
      <c r="V168" s="100">
        <f t="shared" si="97"/>
        <v>0</v>
      </c>
      <c r="W168" s="100">
        <f t="shared" si="109"/>
        <v>0</v>
      </c>
      <c r="X168" s="101">
        <f t="shared" si="111"/>
        <v>1</v>
      </c>
      <c r="Y168" s="101">
        <f t="shared" si="108"/>
        <v>0</v>
      </c>
      <c r="Z168" s="101">
        <f t="shared" si="79"/>
        <v>1</v>
      </c>
      <c r="AA168" s="101">
        <f t="shared" si="112"/>
        <v>1</v>
      </c>
      <c r="AB168" s="101">
        <f>IFERROR(__xludf.DUMMYFUNCTION("IFERROR(IF(Match(L168,IMPORTRANGE(""https://docs.google.com/spreadsheets/d/1n1sT_Q_W3mKmn2Yrd8qcNzuRD4zr4DB9gqARnjQ30B4/edit?gid=1918970062#gid=1918970062"",""Form Responses 1!B2:B49""),0),1), 0)"),0.0)</f>
        <v>0</v>
      </c>
      <c r="AC168" s="101">
        <f t="shared" si="110"/>
        <v>1</v>
      </c>
      <c r="AD168" s="100">
        <v>1.0</v>
      </c>
      <c r="AE168" s="101">
        <f>IFERROR(__xludf.DUMMYFUNCTION("IFERROR(IF(Match(L168,IMPORTRANGE(""https://docs.google.com/spreadsheets/d/1hvckjcCpxEuDQDPrBMml_I1kBhYyjrgR8qBKC9QGVUc/edit?resourcekey=&amp;gid=230793720#gid=230793720"",""Form Responses 1!B2:B199""),0),1), 0)"),0.0)</f>
        <v>0</v>
      </c>
      <c r="AF168" s="75">
        <f>IFERROR(__xludf.DUMMYFUNCTION("IFERROR(IF(Match(L168,IMPORTRANGE(""https://docs.google.com/spreadsheets/d/1UY0hI2S83Fmafa5P-C1LM9yqe4v4qIKTnVy_CzLzRPs/edit?resourcekey=&amp;gid=1583835601#gid=1583835601"",""Form Responses 1!B2:B194""),0),1), 0)"),0.0)</f>
        <v>0</v>
      </c>
      <c r="AG168" s="75">
        <f>IFERROR(__xludf.DUMMYFUNCTION("IFERROR(IF(Match(L168,IMPORTRANGE(""https://docs.google.com/spreadsheets/d/1hO4mQ22n6cudUygJ2ss_JeJdm2Ua_7hJl_79lWWEtic/edit?resourcekey=&amp;gid=2087212010#gid=2087212010"",""Form Responses 1!B2:B104""),0),1), 0)"),0.0)</f>
        <v>0</v>
      </c>
      <c r="AH168" s="75">
        <f>IFERROR(__xludf.DUMMYFUNCTION("IFERROR(IF(Match(L168,IMPORTRANGE(""https://docs.google.com/spreadsheets/d/1HbfCXhSXbtTODKKY1MOFwJccyhgDKD0J9sO1k5l_6lM/edit?resourcekey=&amp;gid=1616384832#gid=1616384832"",""Form Responses 1!E2:E143""),0),1), 0)"),0.0)</f>
        <v>0</v>
      </c>
    </row>
    <row r="169" ht="22.5" customHeight="1">
      <c r="A169" s="102">
        <v>45924.64876015046</v>
      </c>
      <c r="B169" s="103" t="s">
        <v>169</v>
      </c>
      <c r="C169" s="103" t="s">
        <v>676</v>
      </c>
      <c r="D169" s="103" t="s">
        <v>677</v>
      </c>
      <c r="E169" s="103" t="s">
        <v>639</v>
      </c>
      <c r="F169" s="103" t="s">
        <v>436</v>
      </c>
      <c r="G169" s="103" t="s">
        <v>445</v>
      </c>
      <c r="H169" s="103" t="s">
        <v>900</v>
      </c>
      <c r="J169" s="7"/>
      <c r="K169" s="128" t="s">
        <v>379</v>
      </c>
      <c r="L169" s="16" t="s">
        <v>380</v>
      </c>
      <c r="M169" s="16" t="s">
        <v>370</v>
      </c>
      <c r="N169" s="17" t="s">
        <v>24</v>
      </c>
      <c r="O169" s="16" t="s">
        <v>25</v>
      </c>
      <c r="P169" s="24">
        <v>29.0</v>
      </c>
      <c r="Q169" s="16" t="s">
        <v>571</v>
      </c>
      <c r="R169" s="97">
        <f t="shared" si="102"/>
        <v>1</v>
      </c>
      <c r="S169" s="97">
        <f t="shared" si="107"/>
        <v>0</v>
      </c>
      <c r="T169" s="98">
        <f t="shared" si="103"/>
        <v>1</v>
      </c>
      <c r="U169" s="99">
        <f>IFERROR(__xludf.DUMMYFUNCTION("IFERROR(IF(Match(L169,IMPORTRANGE(""https://docs.google.com/spreadsheets/d/1CAXKDiOnZb21bZOY_nacH9xI9AiD-nH8ZZQAwYKkVC0/edit?usp=drivesdk"",""Completed Exams!A1:A135""),0),1), 0)"),0.0)</f>
        <v>0</v>
      </c>
      <c r="V169" s="100">
        <f t="shared" si="97"/>
        <v>1</v>
      </c>
      <c r="W169" s="100">
        <f t="shared" si="109"/>
        <v>1</v>
      </c>
      <c r="X169" s="101">
        <f t="shared" si="111"/>
        <v>0</v>
      </c>
      <c r="Y169" s="101">
        <f t="shared" si="108"/>
        <v>0</v>
      </c>
      <c r="Z169" s="101">
        <f t="shared" si="79"/>
        <v>1</v>
      </c>
      <c r="AA169" s="101">
        <f t="shared" si="112"/>
        <v>1</v>
      </c>
      <c r="AB169" s="101">
        <f>IFERROR(__xludf.DUMMYFUNCTION("IFERROR(IF(Match(L169,IMPORTRANGE(""https://docs.google.com/spreadsheets/d/1n1sT_Q_W3mKmn2Yrd8qcNzuRD4zr4DB9gqARnjQ30B4/edit?gid=1918970062#gid=1918970062"",""Form Responses 1!B2:B49""),0),1), 0)"),0.0)</f>
        <v>0</v>
      </c>
      <c r="AC169" s="101">
        <f t="shared" si="110"/>
        <v>1</v>
      </c>
      <c r="AD169" s="100">
        <v>0.0</v>
      </c>
      <c r="AE169" s="101">
        <f>IFERROR(__xludf.DUMMYFUNCTION("IFERROR(IF(Match(L169,IMPORTRANGE(""https://docs.google.com/spreadsheets/d/1hvckjcCpxEuDQDPrBMml_I1kBhYyjrgR8qBKC9QGVUc/edit?resourcekey=&amp;gid=230793720#gid=230793720"",""Form Responses 1!B2:B199""),0),1), 0)"),0.0)</f>
        <v>0</v>
      </c>
      <c r="AF169" s="75">
        <f>IFERROR(__xludf.DUMMYFUNCTION("IFERROR(IF(Match(L169,IMPORTRANGE(""https://docs.google.com/spreadsheets/d/1UY0hI2S83Fmafa5P-C1LM9yqe4v4qIKTnVy_CzLzRPs/edit?resourcekey=&amp;gid=1583835601#gid=1583835601"",""Form Responses 1!B2:B194""),0),1), 0)"),0.0)</f>
        <v>0</v>
      </c>
      <c r="AG169" s="75">
        <f>IFERROR(__xludf.DUMMYFUNCTION("IFERROR(IF(Match(L169,IMPORTRANGE(""https://docs.google.com/spreadsheets/d/1hO4mQ22n6cudUygJ2ss_JeJdm2Ua_7hJl_79lWWEtic/edit?resourcekey=&amp;gid=2087212010#gid=2087212010"",""Form Responses 1!B2:B104""),0),1), 0)"),0.0)</f>
        <v>0</v>
      </c>
      <c r="AH169" s="75">
        <f>IFERROR(__xludf.DUMMYFUNCTION("IFERROR(IF(Match(L169,IMPORTRANGE(""https://docs.google.com/spreadsheets/d/1HbfCXhSXbtTODKKY1MOFwJccyhgDKD0J9sO1k5l_6lM/edit?resourcekey=&amp;gid=1616384832#gid=1616384832"",""Form Responses 1!E2:E143""),0),1), 0)"),0.0)</f>
        <v>0</v>
      </c>
    </row>
    <row r="170" ht="22.5" customHeight="1">
      <c r="A170" s="102">
        <v>45924.64887217592</v>
      </c>
      <c r="B170" s="103" t="s">
        <v>252</v>
      </c>
      <c r="C170" s="103" t="s">
        <v>901</v>
      </c>
      <c r="D170" s="103" t="s">
        <v>614</v>
      </c>
      <c r="E170" s="103" t="s">
        <v>639</v>
      </c>
      <c r="F170" s="103" t="s">
        <v>436</v>
      </c>
      <c r="G170" s="103" t="s">
        <v>615</v>
      </c>
      <c r="H170" s="103" t="s">
        <v>902</v>
      </c>
      <c r="J170" s="7"/>
      <c r="K170" s="128" t="s">
        <v>381</v>
      </c>
      <c r="L170" s="7" t="s">
        <v>382</v>
      </c>
      <c r="M170" s="7" t="s">
        <v>383</v>
      </c>
      <c r="N170" s="8" t="s">
        <v>11</v>
      </c>
      <c r="O170" s="7" t="s">
        <v>12</v>
      </c>
      <c r="P170" s="51">
        <v>30.0</v>
      </c>
      <c r="Q170" s="7" t="s">
        <v>612</v>
      </c>
      <c r="R170" s="97">
        <f t="shared" si="102"/>
        <v>1</v>
      </c>
      <c r="S170" s="97">
        <f t="shared" si="107"/>
        <v>1</v>
      </c>
      <c r="T170" s="98">
        <f t="shared" si="103"/>
        <v>1</v>
      </c>
      <c r="U170" s="99">
        <f>IFERROR(__xludf.DUMMYFUNCTION("IFERROR(IF(Match(L170,IMPORTRANGE(""https://docs.google.com/spreadsheets/d/1CAXKDiOnZb21bZOY_nacH9xI9AiD-nH8ZZQAwYKkVC0/edit?usp=drivesdk"",""Completed Exams!A1:A135""),0),1), 0)"),0.0)</f>
        <v>0</v>
      </c>
      <c r="V170" s="100">
        <f t="shared" si="97"/>
        <v>1</v>
      </c>
      <c r="W170" s="100">
        <f t="shared" si="109"/>
        <v>1</v>
      </c>
      <c r="X170" s="101">
        <f t="shared" si="111"/>
        <v>1</v>
      </c>
      <c r="Y170" s="101">
        <f t="shared" si="108"/>
        <v>1</v>
      </c>
      <c r="Z170" s="101">
        <f t="shared" si="79"/>
        <v>1</v>
      </c>
      <c r="AA170" s="101">
        <f t="shared" si="112"/>
        <v>1</v>
      </c>
      <c r="AB170" s="101">
        <f>IFERROR(__xludf.DUMMYFUNCTION("IFERROR(IF(Match(L170,IMPORTRANGE(""https://docs.google.com/spreadsheets/d/1n1sT_Q_W3mKmn2Yrd8qcNzuRD4zr4DB9gqARnjQ30B4/edit?gid=1918970062#gid=1918970062"",""Form Responses 1!B2:B49""),0),1), 0)"),0.0)</f>
        <v>0</v>
      </c>
      <c r="AC170" s="101">
        <f t="shared" si="110"/>
        <v>1</v>
      </c>
      <c r="AD170" s="100">
        <v>0.0</v>
      </c>
      <c r="AE170" s="101">
        <f>IFERROR(__xludf.DUMMYFUNCTION("IFERROR(IF(Match(L170,IMPORTRANGE(""https://docs.google.com/spreadsheets/d/1hvckjcCpxEuDQDPrBMml_I1kBhYyjrgR8qBKC9QGVUc/edit?resourcekey=&amp;gid=230793720#gid=230793720"",""Form Responses 1!B2:B199""),0),1), 0)"),0.0)</f>
        <v>0</v>
      </c>
      <c r="AF170" s="75">
        <f>IFERROR(__xludf.DUMMYFUNCTION("IFERROR(IF(Match(L170,IMPORTRANGE(""https://docs.google.com/spreadsheets/d/1UY0hI2S83Fmafa5P-C1LM9yqe4v4qIKTnVy_CzLzRPs/edit?resourcekey=&amp;gid=1583835601#gid=1583835601"",""Form Responses 1!B2:B194""),0),1), 0)"),0.0)</f>
        <v>0</v>
      </c>
      <c r="AG170" s="10">
        <v>0.5</v>
      </c>
      <c r="AH170" s="75">
        <f>IFERROR(__xludf.DUMMYFUNCTION("IFERROR(IF(Match(L170,IMPORTRANGE(""https://docs.google.com/spreadsheets/d/1HbfCXhSXbtTODKKY1MOFwJccyhgDKD0J9sO1k5l_6lM/edit?resourcekey=&amp;gid=1616384832#gid=1616384832"",""Form Responses 1!E2:E143""),0),1), 0)"),0.0)</f>
        <v>0</v>
      </c>
    </row>
    <row r="171" ht="22.5" customHeight="1">
      <c r="A171" s="102">
        <v>45924.64893847222</v>
      </c>
      <c r="B171" s="103" t="s">
        <v>174</v>
      </c>
      <c r="C171" s="103" t="s">
        <v>903</v>
      </c>
      <c r="D171" s="103" t="s">
        <v>638</v>
      </c>
      <c r="E171" s="103" t="s">
        <v>639</v>
      </c>
      <c r="F171" s="103" t="s">
        <v>436</v>
      </c>
      <c r="G171" s="103" t="s">
        <v>172</v>
      </c>
      <c r="H171" s="103" t="s">
        <v>904</v>
      </c>
      <c r="J171" s="7"/>
      <c r="K171" s="128" t="s">
        <v>384</v>
      </c>
      <c r="L171" s="7" t="s">
        <v>385</v>
      </c>
      <c r="M171" s="7" t="s">
        <v>383</v>
      </c>
      <c r="N171" s="8" t="s">
        <v>11</v>
      </c>
      <c r="O171" s="7" t="s">
        <v>12</v>
      </c>
      <c r="P171" s="51">
        <v>30.0</v>
      </c>
      <c r="Q171" s="7" t="s">
        <v>612</v>
      </c>
      <c r="R171" s="97">
        <f t="shared" si="102"/>
        <v>1</v>
      </c>
      <c r="S171" s="97">
        <f t="shared" si="107"/>
        <v>1</v>
      </c>
      <c r="T171" s="98">
        <f t="shared" si="103"/>
        <v>1</v>
      </c>
      <c r="U171" s="99">
        <f>IFERROR(__xludf.DUMMYFUNCTION("IFERROR(IF(Match(L171,IMPORTRANGE(""https://docs.google.com/spreadsheets/d/1CAXKDiOnZb21bZOY_nacH9xI9AiD-nH8ZZQAwYKkVC0/edit?usp=drivesdk"",""Completed Exams!A1:A135""),0),1), 0)"),0.0)</f>
        <v>0</v>
      </c>
      <c r="V171" s="100">
        <f t="shared" si="97"/>
        <v>1</v>
      </c>
      <c r="W171" s="100">
        <f t="shared" si="109"/>
        <v>1</v>
      </c>
      <c r="X171" s="101">
        <f t="shared" si="111"/>
        <v>0</v>
      </c>
      <c r="Y171" s="101">
        <f t="shared" si="108"/>
        <v>1</v>
      </c>
      <c r="Z171" s="101">
        <f t="shared" si="79"/>
        <v>1</v>
      </c>
      <c r="AA171" s="101">
        <f t="shared" si="112"/>
        <v>1</v>
      </c>
      <c r="AB171" s="100">
        <v>1.0</v>
      </c>
      <c r="AC171" s="101">
        <f t="shared" si="110"/>
        <v>1</v>
      </c>
      <c r="AD171" s="100">
        <v>1.0</v>
      </c>
      <c r="AE171" s="101">
        <f>IFERROR(__xludf.DUMMYFUNCTION("IFERROR(IF(Match(L171,IMPORTRANGE(""https://docs.google.com/spreadsheets/d/1hvckjcCpxEuDQDPrBMml_I1kBhYyjrgR8qBKC9QGVUc/edit?resourcekey=&amp;gid=230793720#gid=230793720"",""Form Responses 1!B2:B199""),0),1), 0)"),0.0)</f>
        <v>0</v>
      </c>
      <c r="AF171" s="75">
        <f>IFERROR(__xludf.DUMMYFUNCTION("IFERROR(IF(Match(L171,IMPORTRANGE(""https://docs.google.com/spreadsheets/d/1UY0hI2S83Fmafa5P-C1LM9yqe4v4qIKTnVy_CzLzRPs/edit?resourcekey=&amp;gid=1583835601#gid=1583835601"",""Form Responses 1!B2:B194""),0),1), 0)"),0.0)</f>
        <v>0</v>
      </c>
      <c r="AG171" s="75">
        <f>IFERROR(__xludf.DUMMYFUNCTION("IFERROR(IF(Match(L171,IMPORTRANGE(""https://docs.google.com/spreadsheets/d/1hO4mQ22n6cudUygJ2ss_JeJdm2Ua_7hJl_79lWWEtic/edit?resourcekey=&amp;gid=2087212010#gid=2087212010"",""Form Responses 1!B2:B104""),0),1), 0)"),0.0)</f>
        <v>0</v>
      </c>
      <c r="AH171" s="75">
        <f>IFERROR(__xludf.DUMMYFUNCTION("IFERROR(IF(Match(L171,IMPORTRANGE(""https://docs.google.com/spreadsheets/d/1HbfCXhSXbtTODKKY1MOFwJccyhgDKD0J9sO1k5l_6lM/edit?resourcekey=&amp;gid=1616384832#gid=1616384832"",""Form Responses 1!E2:E143""),0),1), 0)"),0.0)</f>
        <v>0</v>
      </c>
    </row>
    <row r="172" ht="22.5" customHeight="1">
      <c r="A172" s="102">
        <v>45924.6491056713</v>
      </c>
      <c r="B172" s="103" t="s">
        <v>228</v>
      </c>
      <c r="C172" s="103" t="s">
        <v>905</v>
      </c>
      <c r="D172" s="103" t="s">
        <v>573</v>
      </c>
      <c r="E172" s="103" t="s">
        <v>639</v>
      </c>
      <c r="F172" s="103" t="s">
        <v>436</v>
      </c>
      <c r="G172" s="103" t="s">
        <v>23</v>
      </c>
      <c r="H172" s="103" t="s">
        <v>906</v>
      </c>
      <c r="J172" s="7"/>
      <c r="K172" s="128" t="s">
        <v>386</v>
      </c>
      <c r="L172" s="7" t="s">
        <v>387</v>
      </c>
      <c r="M172" s="7" t="s">
        <v>383</v>
      </c>
      <c r="N172" s="11" t="s">
        <v>11</v>
      </c>
      <c r="O172" s="7" t="s">
        <v>12</v>
      </c>
      <c r="P172" s="51">
        <v>30.0</v>
      </c>
      <c r="Q172" s="7" t="s">
        <v>447</v>
      </c>
      <c r="R172" s="97">
        <f t="shared" si="102"/>
        <v>1</v>
      </c>
      <c r="S172" s="97">
        <f t="shared" si="107"/>
        <v>1</v>
      </c>
      <c r="T172" s="98">
        <f t="shared" si="103"/>
        <v>0</v>
      </c>
      <c r="U172" s="99">
        <f>IFERROR(__xludf.DUMMYFUNCTION("IFERROR(IF(Match(L172,IMPORTRANGE(""https://docs.google.com/spreadsheets/d/1CAXKDiOnZb21bZOY_nacH9xI9AiD-nH8ZZQAwYKkVC0/edit?usp=drivesdk"",""Completed Exams!A1:A135""),0),1), 0)"),0.0)</f>
        <v>0</v>
      </c>
      <c r="V172" s="100">
        <f t="shared" si="97"/>
        <v>1</v>
      </c>
      <c r="W172" s="100">
        <f t="shared" si="109"/>
        <v>0</v>
      </c>
      <c r="X172" s="101">
        <f t="shared" si="111"/>
        <v>1</v>
      </c>
      <c r="Y172" s="101">
        <f t="shared" si="108"/>
        <v>1</v>
      </c>
      <c r="Z172" s="101">
        <f t="shared" si="79"/>
        <v>1</v>
      </c>
      <c r="AA172" s="101">
        <f t="shared" si="112"/>
        <v>1</v>
      </c>
      <c r="AB172" s="101">
        <f>IFERROR(__xludf.DUMMYFUNCTION("IFERROR(IF(Match(L172,IMPORTRANGE(""https://docs.google.com/spreadsheets/d/1n1sT_Q_W3mKmn2Yrd8qcNzuRD4zr4DB9gqARnjQ30B4/edit?gid=1918970062#gid=1918970062"",""Form Responses 1!B2:B49""),0),1), 0)"),0.0)</f>
        <v>0</v>
      </c>
      <c r="AC172" s="101">
        <f t="shared" si="110"/>
        <v>1</v>
      </c>
      <c r="AD172" s="100">
        <v>0.5</v>
      </c>
      <c r="AE172" s="101">
        <f>IFERROR(__xludf.DUMMYFUNCTION("IFERROR(IF(Match(L172,IMPORTRANGE(""https://docs.google.com/spreadsheets/d/1hvckjcCpxEuDQDPrBMml_I1kBhYyjrgR8qBKC9QGVUc/edit?resourcekey=&amp;gid=230793720#gid=230793720"",""Form Responses 1!B2:B199""),0),1), 0)"),0.0)</f>
        <v>0</v>
      </c>
      <c r="AF172" s="75">
        <f>IFERROR(__xludf.DUMMYFUNCTION("IFERROR(IF(Match(L172,IMPORTRANGE(""https://docs.google.com/spreadsheets/d/1UY0hI2S83Fmafa5P-C1LM9yqe4v4qIKTnVy_CzLzRPs/edit?resourcekey=&amp;gid=1583835601#gid=1583835601"",""Form Responses 1!B2:B194""),0),1), 0)"),0.0)</f>
        <v>0</v>
      </c>
      <c r="AG172" s="75">
        <f>IFERROR(__xludf.DUMMYFUNCTION("IFERROR(IF(Match(L172,IMPORTRANGE(""https://docs.google.com/spreadsheets/d/1hO4mQ22n6cudUygJ2ss_JeJdm2Ua_7hJl_79lWWEtic/edit?resourcekey=&amp;gid=2087212010#gid=2087212010"",""Form Responses 1!B2:B104""),0),1), 0)"),0.0)</f>
        <v>0</v>
      </c>
      <c r="AH172" s="75">
        <f>IFERROR(__xludf.DUMMYFUNCTION("IFERROR(IF(Match(L172,IMPORTRANGE(""https://docs.google.com/spreadsheets/d/1HbfCXhSXbtTODKKY1MOFwJccyhgDKD0J9sO1k5l_6lM/edit?resourcekey=&amp;gid=1616384832#gid=1616384832"",""Form Responses 1!E2:E143""),0),1), 0)"),0.0)</f>
        <v>0</v>
      </c>
    </row>
    <row r="173" ht="22.5" customHeight="1">
      <c r="A173" s="102">
        <v>45924.649106875004</v>
      </c>
      <c r="B173" s="103" t="s">
        <v>246</v>
      </c>
      <c r="C173" s="103" t="s">
        <v>703</v>
      </c>
      <c r="D173" s="103" t="s">
        <v>907</v>
      </c>
      <c r="E173" s="103" t="s">
        <v>639</v>
      </c>
      <c r="F173" s="103" t="s">
        <v>441</v>
      </c>
      <c r="G173" s="103" t="s">
        <v>705</v>
      </c>
      <c r="H173" s="103" t="s">
        <v>908</v>
      </c>
      <c r="J173" s="7"/>
      <c r="K173" s="128" t="s">
        <v>388</v>
      </c>
      <c r="L173" s="7" t="s">
        <v>389</v>
      </c>
      <c r="M173" s="7" t="s">
        <v>383</v>
      </c>
      <c r="N173" s="11" t="s">
        <v>11</v>
      </c>
      <c r="O173" s="7" t="s">
        <v>12</v>
      </c>
      <c r="P173" s="51">
        <v>30.0</v>
      </c>
      <c r="Q173" s="7" t="s">
        <v>447</v>
      </c>
      <c r="R173" s="97">
        <f t="shared" si="102"/>
        <v>1</v>
      </c>
      <c r="S173" s="97">
        <f t="shared" si="107"/>
        <v>1</v>
      </c>
      <c r="T173" s="98">
        <f t="shared" si="103"/>
        <v>0</v>
      </c>
      <c r="U173" s="99">
        <f>IFERROR(__xludf.DUMMYFUNCTION("IFERROR(IF(Match(L173,IMPORTRANGE(""https://docs.google.com/spreadsheets/d/1CAXKDiOnZb21bZOY_nacH9xI9AiD-nH8ZZQAwYKkVC0/edit?usp=drivesdk"",""Completed Exams!A1:A135""),0),1), 0)"),0.0)</f>
        <v>0</v>
      </c>
      <c r="V173" s="100">
        <f t="shared" si="97"/>
        <v>1</v>
      </c>
      <c r="W173" s="100">
        <v>1.0</v>
      </c>
      <c r="X173" s="101">
        <f t="shared" si="111"/>
        <v>1</v>
      </c>
      <c r="Y173" s="101">
        <f t="shared" si="108"/>
        <v>1</v>
      </c>
      <c r="Z173" s="101">
        <f t="shared" si="79"/>
        <v>1</v>
      </c>
      <c r="AA173" s="101">
        <f t="shared" si="112"/>
        <v>1</v>
      </c>
      <c r="AB173" s="101">
        <f>IFERROR(__xludf.DUMMYFUNCTION("IFERROR(IF(Match(L173,IMPORTRANGE(""https://docs.google.com/spreadsheets/d/1n1sT_Q_W3mKmn2Yrd8qcNzuRD4zr4DB9gqARnjQ30B4/edit?gid=1918970062#gid=1918970062"",""Form Responses 1!B2:B49""),0),1), 0)"),0.0)</f>
        <v>0</v>
      </c>
      <c r="AC173" s="101">
        <f t="shared" si="110"/>
        <v>1</v>
      </c>
      <c r="AD173" s="100">
        <v>0.5</v>
      </c>
      <c r="AE173" s="101">
        <f>IFERROR(__xludf.DUMMYFUNCTION("IFERROR(IF(Match(L173,IMPORTRANGE(""https://docs.google.com/spreadsheets/d/1hvckjcCpxEuDQDPrBMml_I1kBhYyjrgR8qBKC9QGVUc/edit?resourcekey=&amp;gid=230793720#gid=230793720"",""Form Responses 1!B2:B199""),0),1), 0)"),0.0)</f>
        <v>0</v>
      </c>
      <c r="AF173" s="75">
        <f>IFERROR(__xludf.DUMMYFUNCTION("IFERROR(IF(Match(L173,IMPORTRANGE(""https://docs.google.com/spreadsheets/d/1UY0hI2S83Fmafa5P-C1LM9yqe4v4qIKTnVy_CzLzRPs/edit?resourcekey=&amp;gid=1583835601#gid=1583835601"",""Form Responses 1!B2:B194""),0),1), 0)"),0.0)</f>
        <v>0</v>
      </c>
      <c r="AG173" s="75">
        <f>IFERROR(__xludf.DUMMYFUNCTION("IFERROR(IF(Match(L173,IMPORTRANGE(""https://docs.google.com/spreadsheets/d/1hO4mQ22n6cudUygJ2ss_JeJdm2Ua_7hJl_79lWWEtic/edit?resourcekey=&amp;gid=2087212010#gid=2087212010"",""Form Responses 1!B2:B104""),0),1), 0)"),0.0)</f>
        <v>0</v>
      </c>
      <c r="AH173" s="75">
        <f>IFERROR(__xludf.DUMMYFUNCTION("IFERROR(IF(Match(L173,IMPORTRANGE(""https://docs.google.com/spreadsheets/d/1HbfCXhSXbtTODKKY1MOFwJccyhgDKD0J9sO1k5l_6lM/edit?resourcekey=&amp;gid=1616384832#gid=1616384832"",""Form Responses 1!E2:E143""),0),1), 0)"),0.0)</f>
        <v>0</v>
      </c>
    </row>
    <row r="174" ht="22.5" customHeight="1">
      <c r="A174" s="102">
        <v>45924.649136527776</v>
      </c>
      <c r="B174" s="103" t="s">
        <v>332</v>
      </c>
      <c r="C174" s="103" t="s">
        <v>445</v>
      </c>
      <c r="D174" s="103" t="s">
        <v>739</v>
      </c>
      <c r="E174" s="103" t="s">
        <v>639</v>
      </c>
      <c r="F174" s="103" t="s">
        <v>441</v>
      </c>
      <c r="G174" s="103" t="s">
        <v>699</v>
      </c>
      <c r="H174" s="103" t="s">
        <v>909</v>
      </c>
      <c r="J174" s="7"/>
      <c r="K174" s="128" t="s">
        <v>390</v>
      </c>
      <c r="L174" s="16" t="s">
        <v>391</v>
      </c>
      <c r="M174" s="16" t="s">
        <v>383</v>
      </c>
      <c r="N174" s="17" t="s">
        <v>11</v>
      </c>
      <c r="O174" s="16" t="s">
        <v>12</v>
      </c>
      <c r="P174" s="52">
        <v>30.0</v>
      </c>
      <c r="Q174" s="16" t="s">
        <v>612</v>
      </c>
      <c r="R174" s="97">
        <f t="shared" si="102"/>
        <v>1</v>
      </c>
      <c r="S174" s="97">
        <f t="shared" si="107"/>
        <v>1</v>
      </c>
      <c r="T174" s="98">
        <f t="shared" si="103"/>
        <v>1</v>
      </c>
      <c r="U174" s="99">
        <f>IFERROR(__xludf.DUMMYFUNCTION("IFERROR(IF(Match(L174,IMPORTRANGE(""https://docs.google.com/spreadsheets/d/1CAXKDiOnZb21bZOY_nacH9xI9AiD-nH8ZZQAwYKkVC0/edit?usp=drivesdk"",""Completed Exams!A1:A135""),0),1), 0)"),0.0)</f>
        <v>0</v>
      </c>
      <c r="V174" s="100">
        <f t="shared" si="97"/>
        <v>1</v>
      </c>
      <c r="W174" s="100">
        <f>IF(COUNTIF(B$535:B$602,L174)=0,0,1)</f>
        <v>1</v>
      </c>
      <c r="X174" s="101">
        <f t="shared" si="111"/>
        <v>1</v>
      </c>
      <c r="Y174" s="101">
        <f t="shared" si="108"/>
        <v>1</v>
      </c>
      <c r="Z174" s="101">
        <f t="shared" si="79"/>
        <v>1</v>
      </c>
      <c r="AA174" s="101">
        <f t="shared" si="112"/>
        <v>0</v>
      </c>
      <c r="AB174" s="101">
        <f>IFERROR(__xludf.DUMMYFUNCTION("IFERROR(IF(Match(L174,IMPORTRANGE(""https://docs.google.com/spreadsheets/d/1n1sT_Q_W3mKmn2Yrd8qcNzuRD4zr4DB9gqARnjQ30B4/edit?gid=1918970062#gid=1918970062"",""Form Responses 1!B2:B49""),0),1), 0)"),0.0)</f>
        <v>0</v>
      </c>
      <c r="AC174" s="101">
        <f t="shared" si="110"/>
        <v>0</v>
      </c>
      <c r="AD174" s="100">
        <v>0.0</v>
      </c>
      <c r="AE174" s="101">
        <f>IFERROR(__xludf.DUMMYFUNCTION("IFERROR(IF(Match(L174,IMPORTRANGE(""https://docs.google.com/spreadsheets/d/1hvckjcCpxEuDQDPrBMml_I1kBhYyjrgR8qBKC9QGVUc/edit?resourcekey=&amp;gid=230793720#gid=230793720"",""Form Responses 1!B2:B199""),0),1), 0)"),0.0)</f>
        <v>0</v>
      </c>
      <c r="AF174" s="75">
        <f>IFERROR(__xludf.DUMMYFUNCTION("IFERROR(IF(Match(L174,IMPORTRANGE(""https://docs.google.com/spreadsheets/d/1UY0hI2S83Fmafa5P-C1LM9yqe4v4qIKTnVy_CzLzRPs/edit?resourcekey=&amp;gid=1583835601#gid=1583835601"",""Form Responses 1!B2:B194""),0),1), 0)"),0.0)</f>
        <v>0</v>
      </c>
      <c r="AG174" s="75">
        <f>IFERROR(__xludf.DUMMYFUNCTION("IFERROR(IF(Match(L174,IMPORTRANGE(""https://docs.google.com/spreadsheets/d/1hO4mQ22n6cudUygJ2ss_JeJdm2Ua_7hJl_79lWWEtic/edit?resourcekey=&amp;gid=2087212010#gid=2087212010"",""Form Responses 1!B2:B104""),0),1), 0)"),0.0)</f>
        <v>0</v>
      </c>
      <c r="AH174" s="75">
        <f>IFERROR(__xludf.DUMMYFUNCTION("IFERROR(IF(Match(L174,IMPORTRANGE(""https://docs.google.com/spreadsheets/d/1HbfCXhSXbtTODKKY1MOFwJccyhgDKD0J9sO1k5l_6lM/edit?resourcekey=&amp;gid=1616384832#gid=1616384832"",""Form Responses 1!E2:E143""),0),1), 0)"),0.0)</f>
        <v>0</v>
      </c>
    </row>
    <row r="175" ht="22.5" customHeight="1">
      <c r="A175" s="102">
        <v>45924.64936725695</v>
      </c>
      <c r="B175" s="103" t="s">
        <v>270</v>
      </c>
      <c r="C175" s="103" t="s">
        <v>646</v>
      </c>
      <c r="D175" s="103" t="s">
        <v>647</v>
      </c>
      <c r="E175" s="103" t="s">
        <v>639</v>
      </c>
      <c r="F175" s="103" t="s">
        <v>436</v>
      </c>
      <c r="G175" s="103" t="s">
        <v>648</v>
      </c>
      <c r="H175" s="103" t="s">
        <v>910</v>
      </c>
      <c r="J175" s="7"/>
      <c r="K175" s="128" t="s">
        <v>392</v>
      </c>
      <c r="L175" s="7" t="s">
        <v>393</v>
      </c>
      <c r="M175" s="7" t="s">
        <v>394</v>
      </c>
      <c r="N175" s="8" t="s">
        <v>11</v>
      </c>
      <c r="O175" s="7" t="s">
        <v>12</v>
      </c>
      <c r="P175" s="47">
        <v>31.0</v>
      </c>
      <c r="Q175" s="7" t="s">
        <v>424</v>
      </c>
      <c r="R175" s="97">
        <f t="shared" si="102"/>
        <v>1</v>
      </c>
      <c r="S175" s="104">
        <v>0.5</v>
      </c>
      <c r="T175" s="98">
        <f t="shared" si="103"/>
        <v>1</v>
      </c>
      <c r="U175" s="99">
        <f>IFERROR(__xludf.DUMMYFUNCTION("IFERROR(IF(Match(L175,IMPORTRANGE(""https://docs.google.com/spreadsheets/d/1CAXKDiOnZb21bZOY_nacH9xI9AiD-nH8ZZQAwYKkVC0/edit?usp=drivesdk"",""Completed Exams!A1:A135""),0),1), 0)"),0.0)</f>
        <v>0</v>
      </c>
      <c r="V175" s="100">
        <v>0.5</v>
      </c>
      <c r="W175" s="100">
        <v>1.0</v>
      </c>
      <c r="X175" s="101">
        <f t="shared" si="111"/>
        <v>1</v>
      </c>
      <c r="Y175" s="100">
        <v>0.5</v>
      </c>
      <c r="Z175" s="101">
        <f t="shared" si="79"/>
        <v>1</v>
      </c>
      <c r="AA175" s="100">
        <v>0.5</v>
      </c>
      <c r="AB175" s="101">
        <f>IFERROR(__xludf.DUMMYFUNCTION("IFERROR(IF(Match(L175,IMPORTRANGE(""https://docs.google.com/spreadsheets/d/1n1sT_Q_W3mKmn2Yrd8qcNzuRD4zr4DB9gqARnjQ30B4/edit?gid=1918970062#gid=1918970062"",""Form Responses 1!B2:B49""),0),1), 0)"),0.0)</f>
        <v>0</v>
      </c>
      <c r="AC175" s="101">
        <f t="shared" si="110"/>
        <v>1</v>
      </c>
      <c r="AD175" s="100">
        <v>1.0</v>
      </c>
      <c r="AE175" s="101">
        <f>IFERROR(__xludf.DUMMYFUNCTION("IFERROR(IF(Match(L175,IMPORTRANGE(""https://docs.google.com/spreadsheets/d/1hvckjcCpxEuDQDPrBMml_I1kBhYyjrgR8qBKC9QGVUc/edit?resourcekey=&amp;gid=230793720#gid=230793720"",""Form Responses 1!B2:B199""),0),1), 0)"),0.0)</f>
        <v>0</v>
      </c>
      <c r="AF175" s="75">
        <f>IFERROR(__xludf.DUMMYFUNCTION("IFERROR(IF(Match(L175,IMPORTRANGE(""https://docs.google.com/spreadsheets/d/1UY0hI2S83Fmafa5P-C1LM9yqe4v4qIKTnVy_CzLzRPs/edit?resourcekey=&amp;gid=1583835601#gid=1583835601"",""Form Responses 1!B2:B194""),0),1), 0)"),0.0)</f>
        <v>0</v>
      </c>
      <c r="AG175" s="75">
        <f>IFERROR(__xludf.DUMMYFUNCTION("IFERROR(IF(Match(L175,IMPORTRANGE(""https://docs.google.com/spreadsheets/d/1hO4mQ22n6cudUygJ2ss_JeJdm2Ua_7hJl_79lWWEtic/edit?resourcekey=&amp;gid=2087212010#gid=2087212010"",""Form Responses 1!B2:B104""),0),1), 0)"),0.0)</f>
        <v>0</v>
      </c>
      <c r="AH175" s="75">
        <f>IFERROR(__xludf.DUMMYFUNCTION("IFERROR(IF(Match(L175,IMPORTRANGE(""https://docs.google.com/spreadsheets/d/1HbfCXhSXbtTODKKY1MOFwJccyhgDKD0J9sO1k5l_6lM/edit?resourcekey=&amp;gid=1616384832#gid=1616384832"",""Form Responses 1!E2:E143""),0),1), 0)"),0.0)</f>
        <v>0</v>
      </c>
      <c r="AI175" s="10">
        <v>1.0</v>
      </c>
    </row>
    <row r="176" ht="22.5" customHeight="1">
      <c r="A176" s="102">
        <v>45924.649432488426</v>
      </c>
      <c r="B176" s="103" t="s">
        <v>230</v>
      </c>
      <c r="C176" s="103" t="s">
        <v>911</v>
      </c>
      <c r="D176" s="103" t="s">
        <v>573</v>
      </c>
      <c r="E176" s="103" t="s">
        <v>639</v>
      </c>
      <c r="F176" s="103" t="s">
        <v>436</v>
      </c>
      <c r="G176" s="103" t="s">
        <v>912</v>
      </c>
      <c r="H176" s="103" t="s">
        <v>913</v>
      </c>
      <c r="J176" s="7"/>
      <c r="K176" s="128" t="s">
        <v>395</v>
      </c>
      <c r="L176" s="7" t="s">
        <v>396</v>
      </c>
      <c r="M176" s="7" t="s">
        <v>394</v>
      </c>
      <c r="N176" s="8" t="s">
        <v>11</v>
      </c>
      <c r="O176" s="7" t="s">
        <v>12</v>
      </c>
      <c r="P176" s="47">
        <v>31.0</v>
      </c>
      <c r="Q176" s="7" t="s">
        <v>424</v>
      </c>
      <c r="R176" s="97">
        <f t="shared" si="102"/>
        <v>1</v>
      </c>
      <c r="S176" s="97">
        <f t="shared" ref="S176:S181" si="113">IF(COUNTIF(B$150:B$274,L176)=0,0,1)</f>
        <v>1</v>
      </c>
      <c r="T176" s="98">
        <f t="shared" si="103"/>
        <v>1</v>
      </c>
      <c r="U176" s="99">
        <f>IFERROR(__xludf.DUMMYFUNCTION("IFERROR(IF(Match(L176,IMPORTRANGE(""https://docs.google.com/spreadsheets/d/1CAXKDiOnZb21bZOY_nacH9xI9AiD-nH8ZZQAwYKkVC0/edit?usp=drivesdk"",""Completed Exams!A1:A135""),0),1), 0)"),0.0)</f>
        <v>0</v>
      </c>
      <c r="V176" s="100">
        <f t="shared" ref="V176:V181" si="114">IF(COUNTIF(B$416:B$535,L176)=0,0,1)</f>
        <v>1</v>
      </c>
      <c r="W176" s="100">
        <f t="shared" ref="W176:W181" si="115">IF(COUNTIF(B$535:B$602,L176)=0,0,1)</f>
        <v>0</v>
      </c>
      <c r="X176" s="101">
        <f t="shared" si="111"/>
        <v>1</v>
      </c>
      <c r="Y176" s="101">
        <f t="shared" ref="Y176:Y181" si="116">IF(COUNTIF(B$725:B$844,L176)=0,0,1)</f>
        <v>1</v>
      </c>
      <c r="Z176" s="101">
        <f t="shared" si="79"/>
        <v>1</v>
      </c>
      <c r="AA176" s="101">
        <f t="shared" ref="AA176:AA181" si="117">IF(COUNTIF(B$971:B$1124,L176)=0,0,1)</f>
        <v>1</v>
      </c>
      <c r="AB176" s="101">
        <f>IFERROR(__xludf.DUMMYFUNCTION("IFERROR(IF(Match(L176,IMPORTRANGE(""https://docs.google.com/spreadsheets/d/1n1sT_Q_W3mKmn2Yrd8qcNzuRD4zr4DB9gqARnjQ30B4/edit?gid=1918970062#gid=1918970062"",""Form Responses 1!B2:B49""),0),1), 0)"),0.0)</f>
        <v>0</v>
      </c>
      <c r="AC176" s="101">
        <f t="shared" si="110"/>
        <v>1</v>
      </c>
      <c r="AD176" s="100">
        <v>1.0</v>
      </c>
      <c r="AE176" s="101">
        <f>IFERROR(__xludf.DUMMYFUNCTION("IFERROR(IF(Match(L176,IMPORTRANGE(""https://docs.google.com/spreadsheets/d/1hvckjcCpxEuDQDPrBMml_I1kBhYyjrgR8qBKC9QGVUc/edit?resourcekey=&amp;gid=230793720#gid=230793720"",""Form Responses 1!B2:B199""),0),1), 0)"),0.0)</f>
        <v>0</v>
      </c>
      <c r="AF176" s="75">
        <f>IFERROR(__xludf.DUMMYFUNCTION("IFERROR(IF(Match(L176,IMPORTRANGE(""https://docs.google.com/spreadsheets/d/1UY0hI2S83Fmafa5P-C1LM9yqe4v4qIKTnVy_CzLzRPs/edit?resourcekey=&amp;gid=1583835601#gid=1583835601"",""Form Responses 1!B2:B194""),0),1), 0)"),0.0)</f>
        <v>0</v>
      </c>
      <c r="AG176" s="75">
        <f>IFERROR(__xludf.DUMMYFUNCTION("IFERROR(IF(Match(L176,IMPORTRANGE(""https://docs.google.com/spreadsheets/d/1hO4mQ22n6cudUygJ2ss_JeJdm2Ua_7hJl_79lWWEtic/edit?resourcekey=&amp;gid=2087212010#gid=2087212010"",""Form Responses 1!B2:B104""),0),1), 0)"),0.0)</f>
        <v>0</v>
      </c>
      <c r="AH176" s="75">
        <f>IFERROR(__xludf.DUMMYFUNCTION("IFERROR(IF(Match(L176,IMPORTRANGE(""https://docs.google.com/spreadsheets/d/1HbfCXhSXbtTODKKY1MOFwJccyhgDKD0J9sO1k5l_6lM/edit?resourcekey=&amp;gid=1616384832#gid=1616384832"",""Form Responses 1!E2:E143""),0),1), 0)"),0.0)</f>
        <v>0</v>
      </c>
      <c r="AI176" s="10">
        <v>1.0</v>
      </c>
    </row>
    <row r="177" ht="22.5" customHeight="1">
      <c r="A177" s="102">
        <v>45924.649455555555</v>
      </c>
      <c r="B177" s="103" t="s">
        <v>402</v>
      </c>
      <c r="C177" s="103" t="s">
        <v>914</v>
      </c>
      <c r="D177" s="103" t="s">
        <v>835</v>
      </c>
      <c r="E177" s="103" t="s">
        <v>639</v>
      </c>
      <c r="F177" s="103" t="s">
        <v>441</v>
      </c>
      <c r="G177" s="103" t="s">
        <v>585</v>
      </c>
      <c r="H177" s="103" t="s">
        <v>915</v>
      </c>
      <c r="J177" s="7"/>
      <c r="K177" s="128" t="s">
        <v>397</v>
      </c>
      <c r="L177" s="7" t="s">
        <v>398</v>
      </c>
      <c r="M177" s="7" t="s">
        <v>394</v>
      </c>
      <c r="N177" s="8" t="s">
        <v>11</v>
      </c>
      <c r="O177" s="7" t="s">
        <v>12</v>
      </c>
      <c r="P177" s="47">
        <v>31.0</v>
      </c>
      <c r="Q177" s="7" t="s">
        <v>485</v>
      </c>
      <c r="R177" s="97">
        <f t="shared" si="102"/>
        <v>1</v>
      </c>
      <c r="S177" s="97">
        <f t="shared" si="113"/>
        <v>1</v>
      </c>
      <c r="T177" s="98">
        <f t="shared" si="103"/>
        <v>1</v>
      </c>
      <c r="U177" s="99">
        <f>IFERROR(__xludf.DUMMYFUNCTION("IFERROR(IF(Match(L177,IMPORTRANGE(""https://docs.google.com/spreadsheets/d/1CAXKDiOnZb21bZOY_nacH9xI9AiD-nH8ZZQAwYKkVC0/edit?usp=drivesdk"",""Completed Exams!A1:A135""),0),1), 0)"),0.0)</f>
        <v>0</v>
      </c>
      <c r="V177" s="100">
        <f t="shared" si="114"/>
        <v>1</v>
      </c>
      <c r="W177" s="100">
        <f t="shared" si="115"/>
        <v>0</v>
      </c>
      <c r="X177" s="101">
        <f t="shared" si="111"/>
        <v>0</v>
      </c>
      <c r="Y177" s="101">
        <f t="shared" si="116"/>
        <v>1</v>
      </c>
      <c r="Z177" s="101">
        <f t="shared" si="79"/>
        <v>1</v>
      </c>
      <c r="AA177" s="101">
        <f t="shared" si="117"/>
        <v>1</v>
      </c>
      <c r="AB177" s="101">
        <f>IFERROR(__xludf.DUMMYFUNCTION("IFERROR(IF(Match(L177,IMPORTRANGE(""https://docs.google.com/spreadsheets/d/1n1sT_Q_W3mKmn2Yrd8qcNzuRD4zr4DB9gqARnjQ30B4/edit?gid=1918970062#gid=1918970062"",""Form Responses 1!B2:B49""),0),1), 0)"),0.0)</f>
        <v>0</v>
      </c>
      <c r="AC177" s="101">
        <f t="shared" si="110"/>
        <v>1</v>
      </c>
      <c r="AD177" s="100">
        <v>1.0</v>
      </c>
      <c r="AE177" s="101">
        <f>IFERROR(__xludf.DUMMYFUNCTION("IFERROR(IF(Match(L177,IMPORTRANGE(""https://docs.google.com/spreadsheets/d/1hvckjcCpxEuDQDPrBMml_I1kBhYyjrgR8qBKC9QGVUc/edit?resourcekey=&amp;gid=230793720#gid=230793720"",""Form Responses 1!B2:B199""),0),1), 0)"),0.0)</f>
        <v>0</v>
      </c>
      <c r="AF177" s="75">
        <f>IFERROR(__xludf.DUMMYFUNCTION("IFERROR(IF(Match(L177,IMPORTRANGE(""https://docs.google.com/spreadsheets/d/1UY0hI2S83Fmafa5P-C1LM9yqe4v4qIKTnVy_CzLzRPs/edit?resourcekey=&amp;gid=1583835601#gid=1583835601"",""Form Responses 1!B2:B194""),0),1), 0)"),0.0)</f>
        <v>0</v>
      </c>
      <c r="AG177" s="75">
        <f>IFERROR(__xludf.DUMMYFUNCTION("IFERROR(IF(Match(L177,IMPORTRANGE(""https://docs.google.com/spreadsheets/d/1hO4mQ22n6cudUygJ2ss_JeJdm2Ua_7hJl_79lWWEtic/edit?resourcekey=&amp;gid=2087212010#gid=2087212010"",""Form Responses 1!B2:B104""),0),1), 0)"),0.0)</f>
        <v>0</v>
      </c>
      <c r="AH177" s="75">
        <f>IFERROR(__xludf.DUMMYFUNCTION("IFERROR(IF(Match(L177,IMPORTRANGE(""https://docs.google.com/spreadsheets/d/1HbfCXhSXbtTODKKY1MOFwJccyhgDKD0J9sO1k5l_6lM/edit?resourcekey=&amp;gid=1616384832#gid=1616384832"",""Form Responses 1!E2:E143""),0),1), 0)"),0.0)</f>
        <v>0</v>
      </c>
    </row>
    <row r="178" ht="22.5" customHeight="1">
      <c r="A178" s="102">
        <v>45924.64958662037</v>
      </c>
      <c r="B178" s="103" t="s">
        <v>97</v>
      </c>
      <c r="C178" s="103" t="s">
        <v>580</v>
      </c>
      <c r="D178" s="103" t="s">
        <v>581</v>
      </c>
      <c r="E178" s="103" t="s">
        <v>639</v>
      </c>
      <c r="F178" s="103" t="s">
        <v>441</v>
      </c>
      <c r="G178" s="103" t="s">
        <v>98</v>
      </c>
      <c r="H178" s="103" t="s">
        <v>916</v>
      </c>
      <c r="J178" s="7"/>
      <c r="K178" s="128" t="s">
        <v>399</v>
      </c>
      <c r="L178" s="7" t="s">
        <v>400</v>
      </c>
      <c r="M178" s="7" t="s">
        <v>394</v>
      </c>
      <c r="N178" s="8" t="s">
        <v>11</v>
      </c>
      <c r="O178" s="7" t="s">
        <v>12</v>
      </c>
      <c r="P178" s="47">
        <v>31.0</v>
      </c>
      <c r="Q178" s="7" t="s">
        <v>485</v>
      </c>
      <c r="R178" s="97">
        <f t="shared" si="102"/>
        <v>1</v>
      </c>
      <c r="S178" s="97">
        <f t="shared" si="113"/>
        <v>1</v>
      </c>
      <c r="T178" s="98">
        <f t="shared" si="103"/>
        <v>1</v>
      </c>
      <c r="U178" s="99">
        <f>IFERROR(__xludf.DUMMYFUNCTION("IFERROR(IF(Match(L178,IMPORTRANGE(""https://docs.google.com/spreadsheets/d/1CAXKDiOnZb21bZOY_nacH9xI9AiD-nH8ZZQAwYKkVC0/edit?usp=drivesdk"",""Completed Exams!A1:A135""),0),1), 0)"),0.0)</f>
        <v>0</v>
      </c>
      <c r="V178" s="100">
        <f t="shared" si="114"/>
        <v>1</v>
      </c>
      <c r="W178" s="100">
        <f t="shared" si="115"/>
        <v>0</v>
      </c>
      <c r="X178" s="101">
        <f t="shared" si="111"/>
        <v>1</v>
      </c>
      <c r="Y178" s="101">
        <f t="shared" si="116"/>
        <v>1</v>
      </c>
      <c r="Z178" s="101">
        <f t="shared" si="79"/>
        <v>1</v>
      </c>
      <c r="AA178" s="101">
        <f t="shared" si="117"/>
        <v>1</v>
      </c>
      <c r="AB178" s="101">
        <f>IFERROR(__xludf.DUMMYFUNCTION("IFERROR(IF(Match(L178,IMPORTRANGE(""https://docs.google.com/spreadsheets/d/1n1sT_Q_W3mKmn2Yrd8qcNzuRD4zr4DB9gqARnjQ30B4/edit?gid=1918970062#gid=1918970062"",""Form Responses 1!B2:B49""),0),1), 0)"),0.0)</f>
        <v>0</v>
      </c>
      <c r="AC178" s="101">
        <f t="shared" si="110"/>
        <v>1</v>
      </c>
      <c r="AD178" s="100">
        <v>1.0</v>
      </c>
      <c r="AE178" s="101">
        <f>IFERROR(__xludf.DUMMYFUNCTION("IFERROR(IF(Match(L178,IMPORTRANGE(""https://docs.google.com/spreadsheets/d/1hvckjcCpxEuDQDPrBMml_I1kBhYyjrgR8qBKC9QGVUc/edit?resourcekey=&amp;gid=230793720#gid=230793720"",""Form Responses 1!B2:B199""),0),1), 0)"),0.0)</f>
        <v>0</v>
      </c>
      <c r="AF178" s="75">
        <f>IFERROR(__xludf.DUMMYFUNCTION("IFERROR(IF(Match(L178,IMPORTRANGE(""https://docs.google.com/spreadsheets/d/1UY0hI2S83Fmafa5P-C1LM9yqe4v4qIKTnVy_CzLzRPs/edit?resourcekey=&amp;gid=1583835601#gid=1583835601"",""Form Responses 1!B2:B194""),0),1), 0)"),0.0)</f>
        <v>0</v>
      </c>
      <c r="AG178" s="75">
        <f>IFERROR(__xludf.DUMMYFUNCTION("IFERROR(IF(Match(L178,IMPORTRANGE(""https://docs.google.com/spreadsheets/d/1hO4mQ22n6cudUygJ2ss_JeJdm2Ua_7hJl_79lWWEtic/edit?resourcekey=&amp;gid=2087212010#gid=2087212010"",""Form Responses 1!B2:B104""),0),1), 0)"),0.0)</f>
        <v>0</v>
      </c>
      <c r="AH178" s="75">
        <f>IFERROR(__xludf.DUMMYFUNCTION("IFERROR(IF(Match(L178,IMPORTRANGE(""https://docs.google.com/spreadsheets/d/1HbfCXhSXbtTODKKY1MOFwJccyhgDKD0J9sO1k5l_6lM/edit?resourcekey=&amp;gid=1616384832#gid=1616384832"",""Form Responses 1!E2:E143""),0),1), 0)"),0.0)</f>
        <v>0</v>
      </c>
    </row>
    <row r="179" ht="22.5" customHeight="1">
      <c r="A179" s="102">
        <v>45924.6498524537</v>
      </c>
      <c r="B179" s="103" t="s">
        <v>265</v>
      </c>
      <c r="C179" s="103" t="s">
        <v>733</v>
      </c>
      <c r="D179" s="103" t="s">
        <v>734</v>
      </c>
      <c r="E179" s="103" t="s">
        <v>639</v>
      </c>
      <c r="F179" s="103" t="s">
        <v>436</v>
      </c>
      <c r="G179" s="103" t="s">
        <v>917</v>
      </c>
      <c r="H179" s="103" t="s">
        <v>918</v>
      </c>
      <c r="J179" s="7"/>
      <c r="K179" s="128" t="s">
        <v>401</v>
      </c>
      <c r="L179" s="7" t="s">
        <v>402</v>
      </c>
      <c r="M179" s="7" t="s">
        <v>394</v>
      </c>
      <c r="N179" s="8" t="s">
        <v>24</v>
      </c>
      <c r="O179" s="7" t="s">
        <v>25</v>
      </c>
      <c r="P179" s="47">
        <v>31.0</v>
      </c>
      <c r="Q179" s="7" t="s">
        <v>485</v>
      </c>
      <c r="R179" s="97">
        <f t="shared" si="102"/>
        <v>1</v>
      </c>
      <c r="S179" s="97">
        <f t="shared" si="113"/>
        <v>1</v>
      </c>
      <c r="T179" s="98">
        <f t="shared" si="103"/>
        <v>1</v>
      </c>
      <c r="U179" s="99">
        <f>IFERROR(__xludf.DUMMYFUNCTION("IFERROR(IF(Match(L179,IMPORTRANGE(""https://docs.google.com/spreadsheets/d/1CAXKDiOnZb21bZOY_nacH9xI9AiD-nH8ZZQAwYKkVC0/edit?usp=drivesdk"",""Completed Exams!A1:A135""),0),1), 0)"),0.0)</f>
        <v>0</v>
      </c>
      <c r="V179" s="100">
        <f t="shared" si="114"/>
        <v>0</v>
      </c>
      <c r="W179" s="100">
        <f t="shared" si="115"/>
        <v>1</v>
      </c>
      <c r="X179" s="101">
        <f t="shared" si="111"/>
        <v>0</v>
      </c>
      <c r="Y179" s="101">
        <f t="shared" si="116"/>
        <v>0</v>
      </c>
      <c r="Z179" s="101">
        <f t="shared" si="79"/>
        <v>1</v>
      </c>
      <c r="AA179" s="101">
        <f t="shared" si="117"/>
        <v>1</v>
      </c>
      <c r="AB179" s="101">
        <f>IFERROR(__xludf.DUMMYFUNCTION("IFERROR(IF(Match(L179,IMPORTRANGE(""https://docs.google.com/spreadsheets/d/1n1sT_Q_W3mKmn2Yrd8qcNzuRD4zr4DB9gqARnjQ30B4/edit?gid=1918970062#gid=1918970062"",""Form Responses 1!B2:B49""),0),1), 0)"),0.0)</f>
        <v>0</v>
      </c>
      <c r="AC179" s="101">
        <f t="shared" si="110"/>
        <v>1</v>
      </c>
      <c r="AD179" s="100">
        <v>1.0</v>
      </c>
      <c r="AE179" s="101">
        <f>IFERROR(__xludf.DUMMYFUNCTION("IFERROR(IF(Match(L179,IMPORTRANGE(""https://docs.google.com/spreadsheets/d/1hvckjcCpxEuDQDPrBMml_I1kBhYyjrgR8qBKC9QGVUc/edit?resourcekey=&amp;gid=230793720#gid=230793720"",""Form Responses 1!B2:B199""),0),1), 0)"),0.0)</f>
        <v>0</v>
      </c>
      <c r="AF179" s="75">
        <f>IFERROR(__xludf.DUMMYFUNCTION("IFERROR(IF(Match(L179,IMPORTRANGE(""https://docs.google.com/spreadsheets/d/1UY0hI2S83Fmafa5P-C1LM9yqe4v4qIKTnVy_CzLzRPs/edit?resourcekey=&amp;gid=1583835601#gid=1583835601"",""Form Responses 1!B2:B194""),0),1), 0)"),0.0)</f>
        <v>0</v>
      </c>
      <c r="AG179" s="75">
        <f>IFERROR(__xludf.DUMMYFUNCTION("IFERROR(IF(Match(L179,IMPORTRANGE(""https://docs.google.com/spreadsheets/d/1hO4mQ22n6cudUygJ2ss_JeJdm2Ua_7hJl_79lWWEtic/edit?resourcekey=&amp;gid=2087212010#gid=2087212010"",""Form Responses 1!B2:B104""),0),1), 0)"),0.0)</f>
        <v>0</v>
      </c>
      <c r="AH179" s="75">
        <f>IFERROR(__xludf.DUMMYFUNCTION("IFERROR(IF(Match(L179,IMPORTRANGE(""https://docs.google.com/spreadsheets/d/1HbfCXhSXbtTODKKY1MOFwJccyhgDKD0J9sO1k5l_6lM/edit?resourcekey=&amp;gid=1616384832#gid=1616384832"",""Form Responses 1!E2:E143""),0),1), 0)"),0.0)</f>
        <v>0</v>
      </c>
    </row>
    <row r="180" ht="22.5" customHeight="1">
      <c r="A180" s="102">
        <v>45924.650554259264</v>
      </c>
      <c r="B180" s="103" t="s">
        <v>59</v>
      </c>
      <c r="C180" s="103" t="s">
        <v>919</v>
      </c>
      <c r="D180" s="103" t="s">
        <v>548</v>
      </c>
      <c r="E180" s="103" t="s">
        <v>639</v>
      </c>
      <c r="F180" s="103" t="s">
        <v>436</v>
      </c>
      <c r="G180" s="103" t="s">
        <v>49</v>
      </c>
      <c r="H180" s="103" t="s">
        <v>920</v>
      </c>
      <c r="J180" s="7"/>
      <c r="K180" s="128" t="s">
        <v>403</v>
      </c>
      <c r="L180" s="7" t="s">
        <v>404</v>
      </c>
      <c r="M180" s="7" t="s">
        <v>394</v>
      </c>
      <c r="N180" s="8" t="s">
        <v>24</v>
      </c>
      <c r="O180" s="7" t="s">
        <v>25</v>
      </c>
      <c r="P180" s="47">
        <v>31.0</v>
      </c>
      <c r="Q180" s="7" t="s">
        <v>485</v>
      </c>
      <c r="R180" s="97">
        <f t="shared" si="102"/>
        <v>1</v>
      </c>
      <c r="S180" s="97">
        <f t="shared" si="113"/>
        <v>0</v>
      </c>
      <c r="T180" s="98">
        <f t="shared" si="103"/>
        <v>1</v>
      </c>
      <c r="U180" s="99">
        <f>IFERROR(__xludf.DUMMYFUNCTION("IFERROR(IF(Match(L180,IMPORTRANGE(""https://docs.google.com/spreadsheets/d/1CAXKDiOnZb21bZOY_nacH9xI9AiD-nH8ZZQAwYKkVC0/edit?usp=drivesdk"",""Completed Exams!A1:A135""),0),1), 0)"),0.0)</f>
        <v>0</v>
      </c>
      <c r="V180" s="100">
        <f t="shared" si="114"/>
        <v>1</v>
      </c>
      <c r="W180" s="100">
        <f t="shared" si="115"/>
        <v>0</v>
      </c>
      <c r="X180" s="101">
        <f t="shared" si="111"/>
        <v>0</v>
      </c>
      <c r="Y180" s="101">
        <f t="shared" si="116"/>
        <v>0</v>
      </c>
      <c r="Z180" s="101">
        <f t="shared" si="79"/>
        <v>1</v>
      </c>
      <c r="AA180" s="101">
        <f t="shared" si="117"/>
        <v>1</v>
      </c>
      <c r="AB180" s="101">
        <f>IFERROR(__xludf.DUMMYFUNCTION("IFERROR(IF(Match(L180,IMPORTRANGE(""https://docs.google.com/spreadsheets/d/1n1sT_Q_W3mKmn2Yrd8qcNzuRD4zr4DB9gqARnjQ30B4/edit?gid=1918970062#gid=1918970062"",""Form Responses 1!B2:B49""),0),1), 0)"),0.0)</f>
        <v>0</v>
      </c>
      <c r="AC180" s="101">
        <f t="shared" si="110"/>
        <v>1</v>
      </c>
      <c r="AD180" s="100">
        <v>0.0</v>
      </c>
      <c r="AE180" s="101">
        <f>IFERROR(__xludf.DUMMYFUNCTION("IFERROR(IF(Match(L180,IMPORTRANGE(""https://docs.google.com/spreadsheets/d/1hvckjcCpxEuDQDPrBMml_I1kBhYyjrgR8qBKC9QGVUc/edit?resourcekey=&amp;gid=230793720#gid=230793720"",""Form Responses 1!B2:B199""),0),1), 0)"),0.0)</f>
        <v>0</v>
      </c>
      <c r="AF180" s="75">
        <f>IFERROR(__xludf.DUMMYFUNCTION("IFERROR(IF(Match(L180,IMPORTRANGE(""https://docs.google.com/spreadsheets/d/1UY0hI2S83Fmafa5P-C1LM9yqe4v4qIKTnVy_CzLzRPs/edit?resourcekey=&amp;gid=1583835601#gid=1583835601"",""Form Responses 1!B2:B194""),0),1), 0)"),0.0)</f>
        <v>0</v>
      </c>
      <c r="AG180" s="75">
        <f>IFERROR(__xludf.DUMMYFUNCTION("IFERROR(IF(Match(L180,IMPORTRANGE(""https://docs.google.com/spreadsheets/d/1hO4mQ22n6cudUygJ2ss_JeJdm2Ua_7hJl_79lWWEtic/edit?resourcekey=&amp;gid=2087212010#gid=2087212010"",""Form Responses 1!B2:B104""),0),1), 0)"),0.0)</f>
        <v>0</v>
      </c>
      <c r="AH180" s="75">
        <f>IFERROR(__xludf.DUMMYFUNCTION("IFERROR(IF(Match(L180,IMPORTRANGE(""https://docs.google.com/spreadsheets/d/1HbfCXhSXbtTODKKY1MOFwJccyhgDKD0J9sO1k5l_6lM/edit?resourcekey=&amp;gid=1616384832#gid=1616384832"",""Form Responses 1!E2:E143""),0),1), 0)"),0.0)</f>
        <v>0</v>
      </c>
      <c r="AI180" s="10">
        <v>1.0</v>
      </c>
    </row>
    <row r="181" ht="22.5" customHeight="1">
      <c r="A181" s="102">
        <v>45924.66179990741</v>
      </c>
      <c r="B181" s="103" t="s">
        <v>102</v>
      </c>
      <c r="C181" s="103" t="s">
        <v>508</v>
      </c>
      <c r="D181" s="103" t="s">
        <v>509</v>
      </c>
      <c r="E181" s="103" t="s">
        <v>494</v>
      </c>
      <c r="F181" s="103" t="s">
        <v>436</v>
      </c>
      <c r="G181" s="103" t="s">
        <v>527</v>
      </c>
      <c r="H181" s="103" t="s">
        <v>921</v>
      </c>
      <c r="J181" s="7"/>
      <c r="K181" s="128" t="s">
        <v>405</v>
      </c>
      <c r="L181" s="7" t="s">
        <v>406</v>
      </c>
      <c r="M181" s="16" t="s">
        <v>394</v>
      </c>
      <c r="N181" s="17" t="s">
        <v>24</v>
      </c>
      <c r="O181" s="16" t="s">
        <v>25</v>
      </c>
      <c r="P181" s="48">
        <v>31.0</v>
      </c>
      <c r="Q181" s="16" t="s">
        <v>456</v>
      </c>
      <c r="R181" s="97">
        <f t="shared" si="102"/>
        <v>1</v>
      </c>
      <c r="S181" s="97">
        <f t="shared" si="113"/>
        <v>0</v>
      </c>
      <c r="T181" s="98">
        <f t="shared" si="103"/>
        <v>0</v>
      </c>
      <c r="U181" s="99">
        <f>IFERROR(__xludf.DUMMYFUNCTION("IFERROR(IF(Match(L181,IMPORTRANGE(""https://docs.google.com/spreadsheets/d/1CAXKDiOnZb21bZOY_nacH9xI9AiD-nH8ZZQAwYKkVC0/edit?usp=drivesdk"",""Completed Exams!A1:A135""),0),1), 0)"),0.0)</f>
        <v>0</v>
      </c>
      <c r="V181" s="100">
        <f t="shared" si="114"/>
        <v>0</v>
      </c>
      <c r="W181" s="100">
        <f t="shared" si="115"/>
        <v>1</v>
      </c>
      <c r="X181" s="101">
        <f t="shared" si="111"/>
        <v>0</v>
      </c>
      <c r="Y181" s="101">
        <f t="shared" si="116"/>
        <v>0</v>
      </c>
      <c r="Z181" s="101">
        <f t="shared" si="79"/>
        <v>0</v>
      </c>
      <c r="AA181" s="101">
        <f t="shared" si="117"/>
        <v>1</v>
      </c>
      <c r="AB181" s="101">
        <f>IFERROR(__xludf.DUMMYFUNCTION("IFERROR(IF(Match(L181,IMPORTRANGE(""https://docs.google.com/spreadsheets/d/1n1sT_Q_W3mKmn2Yrd8qcNzuRD4zr4DB9gqARnjQ30B4/edit?gid=1918970062#gid=1918970062"",""Form Responses 1!B2:B49""),0),1), 0)"),0.0)</f>
        <v>0</v>
      </c>
      <c r="AC181" s="101">
        <f t="shared" si="110"/>
        <v>1</v>
      </c>
      <c r="AD181" s="100">
        <v>1.0</v>
      </c>
      <c r="AE181" s="101">
        <f>IFERROR(__xludf.DUMMYFUNCTION("IFERROR(IF(Match(L181,IMPORTRANGE(""https://docs.google.com/spreadsheets/d/1hvckjcCpxEuDQDPrBMml_I1kBhYyjrgR8qBKC9QGVUc/edit?resourcekey=&amp;gid=230793720#gid=230793720"",""Form Responses 1!B2:B199""),0),1), 0)"),0.0)</f>
        <v>0</v>
      </c>
      <c r="AF181" s="75">
        <f>IFERROR(__xludf.DUMMYFUNCTION("IFERROR(IF(Match(L181,IMPORTRANGE(""https://docs.google.com/spreadsheets/d/1UY0hI2S83Fmafa5P-C1LM9yqe4v4qIKTnVy_CzLzRPs/edit?resourcekey=&amp;gid=1583835601#gid=1583835601"",""Form Responses 1!B2:B194""),0),1), 0)"),0.0)</f>
        <v>0</v>
      </c>
      <c r="AG181" s="75">
        <f>IFERROR(__xludf.DUMMYFUNCTION("IFERROR(IF(Match(L181,IMPORTRANGE(""https://docs.google.com/spreadsheets/d/1hO4mQ22n6cudUygJ2ss_JeJdm2Ua_7hJl_79lWWEtic/edit?resourcekey=&amp;gid=2087212010#gid=2087212010"",""Form Responses 1!B2:B104""),0),1), 0)"),0.0)</f>
        <v>0</v>
      </c>
      <c r="AH181" s="75">
        <f>IFERROR(__xludf.DUMMYFUNCTION("IFERROR(IF(Match(L181,IMPORTRANGE(""https://docs.google.com/spreadsheets/d/1HbfCXhSXbtTODKKY1MOFwJccyhgDKD0J9sO1k5l_6lM/edit?resourcekey=&amp;gid=1616384832#gid=1616384832"",""Form Responses 1!E2:E143""),0),1), 0)"),0.0)</f>
        <v>0</v>
      </c>
    </row>
    <row r="182" ht="22.5" customHeight="1">
      <c r="A182" s="102">
        <v>45924.66497217593</v>
      </c>
      <c r="B182" s="103" t="s">
        <v>391</v>
      </c>
      <c r="C182" s="103" t="s">
        <v>472</v>
      </c>
      <c r="D182" s="103" t="s">
        <v>473</v>
      </c>
      <c r="E182" s="103" t="s">
        <v>494</v>
      </c>
      <c r="F182" s="103" t="s">
        <v>436</v>
      </c>
      <c r="G182" s="103" t="s">
        <v>474</v>
      </c>
      <c r="H182" s="103" t="s">
        <v>922</v>
      </c>
      <c r="R182" s="129"/>
      <c r="S182" s="97"/>
      <c r="T182" s="99"/>
      <c r="U182" s="129"/>
      <c r="V182" s="130"/>
    </row>
    <row r="183" ht="22.5" customHeight="1">
      <c r="A183" s="102">
        <v>45924.664976608794</v>
      </c>
      <c r="B183" s="103" t="s">
        <v>20</v>
      </c>
      <c r="C183" s="103" t="s">
        <v>754</v>
      </c>
      <c r="D183" s="103" t="s">
        <v>923</v>
      </c>
      <c r="E183" s="103" t="s">
        <v>494</v>
      </c>
      <c r="F183" s="103" t="s">
        <v>436</v>
      </c>
      <c r="G183" s="103" t="s">
        <v>137</v>
      </c>
      <c r="H183" s="103" t="s">
        <v>924</v>
      </c>
      <c r="R183" s="129"/>
      <c r="S183" s="97"/>
      <c r="T183" s="99"/>
      <c r="U183" s="129"/>
      <c r="V183" s="130"/>
    </row>
    <row r="184" ht="22.5" customHeight="1">
      <c r="A184" s="102">
        <v>45924.66500537037</v>
      </c>
      <c r="B184" s="103" t="s">
        <v>33</v>
      </c>
      <c r="C184" s="103" t="s">
        <v>743</v>
      </c>
      <c r="D184" s="103" t="s">
        <v>458</v>
      </c>
      <c r="E184" s="103" t="s">
        <v>494</v>
      </c>
      <c r="F184" s="103" t="s">
        <v>436</v>
      </c>
      <c r="G184" s="103" t="s">
        <v>335</v>
      </c>
      <c r="H184" s="103" t="s">
        <v>925</v>
      </c>
      <c r="R184" s="131"/>
      <c r="S184" s="97"/>
      <c r="T184" s="99"/>
      <c r="U184" s="131"/>
      <c r="V184" s="130"/>
    </row>
    <row r="185" ht="22.5" customHeight="1">
      <c r="A185" s="102">
        <v>45924.6650168287</v>
      </c>
      <c r="B185" s="103" t="s">
        <v>81</v>
      </c>
      <c r="C185" s="103" t="s">
        <v>569</v>
      </c>
      <c r="D185" s="103" t="s">
        <v>461</v>
      </c>
      <c r="E185" s="103" t="s">
        <v>494</v>
      </c>
      <c r="F185" s="103" t="s">
        <v>436</v>
      </c>
      <c r="G185" s="103" t="s">
        <v>495</v>
      </c>
      <c r="H185" s="103" t="s">
        <v>926</v>
      </c>
      <c r="R185" s="132"/>
      <c r="S185" s="97"/>
      <c r="T185" s="99"/>
      <c r="U185" s="131"/>
    </row>
    <row r="186" ht="22.5" customHeight="1">
      <c r="A186" s="102">
        <v>45924.66503369213</v>
      </c>
      <c r="B186" s="103" t="s">
        <v>385</v>
      </c>
      <c r="C186" s="103" t="s">
        <v>465</v>
      </c>
      <c r="D186" s="103" t="s">
        <v>466</v>
      </c>
      <c r="E186" s="103" t="s">
        <v>420</v>
      </c>
      <c r="F186" s="103" t="s">
        <v>436</v>
      </c>
      <c r="G186" s="103" t="s">
        <v>474</v>
      </c>
      <c r="H186" s="103" t="s">
        <v>927</v>
      </c>
      <c r="R186" s="132"/>
      <c r="S186" s="97"/>
      <c r="T186" s="98"/>
      <c r="U186" s="131"/>
    </row>
    <row r="187" ht="22.5" customHeight="1">
      <c r="A187" s="102">
        <v>45924.6650591088</v>
      </c>
      <c r="B187" s="103" t="s">
        <v>57</v>
      </c>
      <c r="C187" s="103" t="s">
        <v>553</v>
      </c>
      <c r="D187" s="103" t="s">
        <v>554</v>
      </c>
      <c r="E187" s="103" t="s">
        <v>420</v>
      </c>
      <c r="F187" s="103" t="s">
        <v>436</v>
      </c>
      <c r="G187" s="103" t="s">
        <v>537</v>
      </c>
      <c r="H187" s="103" t="s">
        <v>928</v>
      </c>
      <c r="R187" s="132"/>
      <c r="S187" s="97"/>
      <c r="T187" s="99"/>
      <c r="U187" s="131"/>
    </row>
    <row r="188" ht="22.5" customHeight="1">
      <c r="A188" s="102">
        <v>45924.66506053241</v>
      </c>
      <c r="B188" s="103" t="s">
        <v>396</v>
      </c>
      <c r="C188" s="103" t="s">
        <v>593</v>
      </c>
      <c r="D188" s="103" t="s">
        <v>594</v>
      </c>
      <c r="E188" s="103" t="s">
        <v>494</v>
      </c>
      <c r="F188" s="103" t="s">
        <v>436</v>
      </c>
      <c r="G188" s="103" t="s">
        <v>568</v>
      </c>
      <c r="H188" s="103" t="s">
        <v>929</v>
      </c>
      <c r="S188" s="97"/>
      <c r="T188" s="99"/>
      <c r="U188" s="133"/>
    </row>
    <row r="189" ht="22.5" customHeight="1">
      <c r="A189" s="102">
        <v>45924.665069826384</v>
      </c>
      <c r="B189" s="103" t="s">
        <v>31</v>
      </c>
      <c r="C189" s="103" t="s">
        <v>930</v>
      </c>
      <c r="D189" s="103" t="s">
        <v>694</v>
      </c>
      <c r="E189" s="103" t="s">
        <v>494</v>
      </c>
      <c r="F189" s="103" t="s">
        <v>436</v>
      </c>
      <c r="G189" s="103" t="s">
        <v>695</v>
      </c>
      <c r="H189" s="103" t="s">
        <v>931</v>
      </c>
      <c r="S189" s="97"/>
      <c r="T189" s="99"/>
      <c r="U189" s="133"/>
    </row>
    <row r="190" ht="22.5" customHeight="1">
      <c r="A190" s="102">
        <v>45924.66507141203</v>
      </c>
      <c r="B190" s="103" t="s">
        <v>354</v>
      </c>
      <c r="C190" s="103" t="s">
        <v>518</v>
      </c>
      <c r="D190" s="103" t="s">
        <v>519</v>
      </c>
      <c r="E190" s="103" t="s">
        <v>420</v>
      </c>
      <c r="F190" s="103" t="s">
        <v>436</v>
      </c>
      <c r="G190" s="103" t="s">
        <v>932</v>
      </c>
      <c r="H190" s="103" t="s">
        <v>933</v>
      </c>
      <c r="T190" s="99"/>
      <c r="U190" s="133"/>
    </row>
    <row r="191" ht="22.5" customHeight="1">
      <c r="A191" s="102">
        <v>45924.665073321754</v>
      </c>
      <c r="B191" s="103" t="s">
        <v>158</v>
      </c>
      <c r="C191" s="103" t="s">
        <v>540</v>
      </c>
      <c r="D191" s="103" t="s">
        <v>541</v>
      </c>
      <c r="E191" s="103" t="s">
        <v>494</v>
      </c>
      <c r="F191" s="103" t="s">
        <v>436</v>
      </c>
      <c r="G191" s="103" t="s">
        <v>934</v>
      </c>
      <c r="H191" s="103" t="s">
        <v>931</v>
      </c>
      <c r="T191" s="107"/>
      <c r="U191" s="133"/>
    </row>
    <row r="192" ht="22.5" customHeight="1">
      <c r="A192" s="102">
        <v>45924.665081087966</v>
      </c>
      <c r="B192" s="103" t="s">
        <v>16</v>
      </c>
      <c r="C192" s="103" t="s">
        <v>771</v>
      </c>
      <c r="D192" s="103" t="s">
        <v>935</v>
      </c>
      <c r="E192" s="103" t="s">
        <v>494</v>
      </c>
      <c r="F192" s="103" t="s">
        <v>436</v>
      </c>
      <c r="G192" s="103" t="s">
        <v>10</v>
      </c>
      <c r="H192" s="103" t="s">
        <v>936</v>
      </c>
      <c r="T192" s="99"/>
      <c r="U192" s="133"/>
      <c r="AA192" s="29"/>
    </row>
    <row r="193" ht="22.5" customHeight="1">
      <c r="A193" s="102">
        <v>45924.665105196764</v>
      </c>
      <c r="B193" s="103" t="s">
        <v>254</v>
      </c>
      <c r="C193" s="103" t="s">
        <v>565</v>
      </c>
      <c r="D193" s="103" t="s">
        <v>566</v>
      </c>
      <c r="E193" s="103" t="s">
        <v>494</v>
      </c>
      <c r="F193" s="103" t="s">
        <v>436</v>
      </c>
      <c r="G193" s="103" t="s">
        <v>937</v>
      </c>
      <c r="H193" s="103" t="s">
        <v>938</v>
      </c>
      <c r="T193" s="99"/>
      <c r="U193" s="133"/>
    </row>
    <row r="194" ht="22.5" customHeight="1">
      <c r="A194" s="102">
        <v>45924.66511275463</v>
      </c>
      <c r="B194" s="103" t="s">
        <v>278</v>
      </c>
      <c r="C194" s="103" t="s">
        <v>622</v>
      </c>
      <c r="D194" s="103" t="s">
        <v>623</v>
      </c>
      <c r="E194" s="103" t="s">
        <v>578</v>
      </c>
      <c r="F194" s="103" t="s">
        <v>436</v>
      </c>
      <c r="G194" s="103" t="s">
        <v>604</v>
      </c>
      <c r="H194" s="103" t="s">
        <v>939</v>
      </c>
      <c r="T194" s="99"/>
      <c r="U194" s="133"/>
    </row>
    <row r="195" ht="22.5" customHeight="1">
      <c r="A195" s="102">
        <v>45924.66511559028</v>
      </c>
      <c r="B195" s="103" t="s">
        <v>389</v>
      </c>
      <c r="C195" s="103" t="s">
        <v>731</v>
      </c>
      <c r="D195" s="103" t="s">
        <v>666</v>
      </c>
      <c r="E195" s="103" t="s">
        <v>420</v>
      </c>
      <c r="F195" s="103" t="s">
        <v>436</v>
      </c>
      <c r="G195" s="103" t="s">
        <v>211</v>
      </c>
      <c r="H195" s="103" t="s">
        <v>931</v>
      </c>
      <c r="T195" s="98"/>
      <c r="U195" s="133"/>
    </row>
    <row r="196" ht="22.5" customHeight="1">
      <c r="A196" s="102">
        <v>45924.665113599534</v>
      </c>
      <c r="B196" s="103" t="s">
        <v>121</v>
      </c>
      <c r="C196" s="103" t="s">
        <v>940</v>
      </c>
      <c r="D196" s="103" t="s">
        <v>458</v>
      </c>
      <c r="E196" s="103" t="s">
        <v>420</v>
      </c>
      <c r="F196" s="103" t="s">
        <v>436</v>
      </c>
      <c r="G196" s="103" t="s">
        <v>113</v>
      </c>
      <c r="H196" s="103" t="s">
        <v>941</v>
      </c>
      <c r="T196" s="98"/>
      <c r="U196" s="133"/>
    </row>
    <row r="197" ht="22.5" customHeight="1">
      <c r="A197" s="102">
        <v>45924.66513068287</v>
      </c>
      <c r="B197" s="103" t="s">
        <v>130</v>
      </c>
      <c r="C197" s="103" t="s">
        <v>557</v>
      </c>
      <c r="D197" s="103" t="s">
        <v>558</v>
      </c>
      <c r="E197" s="103" t="s">
        <v>578</v>
      </c>
      <c r="F197" s="103" t="s">
        <v>436</v>
      </c>
      <c r="G197" s="103" t="s">
        <v>942</v>
      </c>
      <c r="H197" s="103">
        <v>10.0</v>
      </c>
      <c r="T197" s="98"/>
      <c r="U197" s="133"/>
    </row>
    <row r="198" ht="22.5" customHeight="1">
      <c r="A198" s="102">
        <v>45924.665132071765</v>
      </c>
      <c r="B198" s="103" t="s">
        <v>322</v>
      </c>
      <c r="C198" s="103" t="s">
        <v>631</v>
      </c>
      <c r="D198" s="103" t="s">
        <v>632</v>
      </c>
      <c r="E198" s="103" t="s">
        <v>420</v>
      </c>
      <c r="F198" s="103" t="s">
        <v>436</v>
      </c>
      <c r="G198" s="103" t="s">
        <v>198</v>
      </c>
      <c r="H198" s="103" t="s">
        <v>943</v>
      </c>
      <c r="T198" s="99"/>
      <c r="U198" s="133"/>
    </row>
    <row r="199" ht="22.5" customHeight="1">
      <c r="A199" s="102">
        <v>45924.66513984954</v>
      </c>
      <c r="B199" s="103" t="s">
        <v>110</v>
      </c>
      <c r="C199" s="103" t="s">
        <v>514</v>
      </c>
      <c r="D199" s="103" t="s">
        <v>515</v>
      </c>
      <c r="E199" s="103" t="s">
        <v>420</v>
      </c>
      <c r="F199" s="103" t="s">
        <v>436</v>
      </c>
      <c r="G199" s="103" t="s">
        <v>944</v>
      </c>
      <c r="H199" s="103" t="s">
        <v>945</v>
      </c>
      <c r="T199" s="99"/>
      <c r="U199" s="133"/>
    </row>
    <row r="200" ht="22.5" customHeight="1">
      <c r="A200" s="102">
        <v>45924.66515634259</v>
      </c>
      <c r="B200" s="103" t="s">
        <v>226</v>
      </c>
      <c r="C200" s="103" t="s">
        <v>668</v>
      </c>
      <c r="D200" s="103" t="s">
        <v>581</v>
      </c>
      <c r="E200" s="103" t="s">
        <v>578</v>
      </c>
      <c r="F200" s="103" t="s">
        <v>436</v>
      </c>
      <c r="G200" s="103" t="s">
        <v>669</v>
      </c>
      <c r="H200" s="103">
        <v>8.0</v>
      </c>
      <c r="T200" s="98"/>
      <c r="U200" s="133"/>
    </row>
    <row r="201" ht="22.5" customHeight="1">
      <c r="A201" s="102">
        <v>45924.66518106482</v>
      </c>
      <c r="B201" s="103" t="s">
        <v>27</v>
      </c>
      <c r="C201" s="103" t="s">
        <v>946</v>
      </c>
      <c r="D201" s="103" t="s">
        <v>947</v>
      </c>
      <c r="E201" s="103" t="s">
        <v>494</v>
      </c>
      <c r="F201" s="103" t="s">
        <v>436</v>
      </c>
      <c r="G201" s="103" t="s">
        <v>912</v>
      </c>
      <c r="H201" s="103" t="s">
        <v>948</v>
      </c>
      <c r="T201" s="99"/>
      <c r="U201" s="133"/>
    </row>
    <row r="202" ht="22.5" customHeight="1">
      <c r="A202" s="102">
        <v>45924.66518243056</v>
      </c>
      <c r="B202" s="103" t="s">
        <v>691</v>
      </c>
      <c r="C202" s="103"/>
      <c r="D202" s="103" t="s">
        <v>692</v>
      </c>
      <c r="E202" s="103" t="s">
        <v>494</v>
      </c>
      <c r="F202" s="103" t="s">
        <v>436</v>
      </c>
      <c r="G202" s="103" t="s">
        <v>699</v>
      </c>
      <c r="H202" s="103" t="s">
        <v>949</v>
      </c>
      <c r="T202" s="99"/>
      <c r="U202" s="133"/>
    </row>
    <row r="203" ht="22.5" customHeight="1">
      <c r="A203" s="102">
        <v>45924.66518420139</v>
      </c>
      <c r="B203" s="103" t="s">
        <v>200</v>
      </c>
      <c r="C203" s="103" t="s">
        <v>950</v>
      </c>
      <c r="D203" s="103" t="s">
        <v>588</v>
      </c>
      <c r="E203" s="103" t="s">
        <v>578</v>
      </c>
      <c r="F203" s="103" t="s">
        <v>436</v>
      </c>
      <c r="G203" s="103" t="s">
        <v>629</v>
      </c>
      <c r="H203" s="103" t="s">
        <v>951</v>
      </c>
      <c r="T203" s="99"/>
      <c r="U203" s="133"/>
    </row>
    <row r="204" ht="22.5" customHeight="1">
      <c r="A204" s="102">
        <v>45924.66519075232</v>
      </c>
      <c r="B204" s="103" t="s">
        <v>136</v>
      </c>
      <c r="C204" s="103" t="s">
        <v>587</v>
      </c>
      <c r="D204" s="103" t="s">
        <v>588</v>
      </c>
      <c r="E204" s="103" t="s">
        <v>494</v>
      </c>
      <c r="F204" s="103" t="s">
        <v>436</v>
      </c>
      <c r="G204" s="103" t="s">
        <v>137</v>
      </c>
      <c r="H204" s="103" t="s">
        <v>952</v>
      </c>
      <c r="T204" s="99"/>
      <c r="U204" s="133"/>
    </row>
    <row r="205" ht="22.5" customHeight="1">
      <c r="A205" s="102">
        <v>45924.66519237269</v>
      </c>
      <c r="B205" s="103" t="s">
        <v>70</v>
      </c>
      <c r="C205" s="103" t="s">
        <v>725</v>
      </c>
      <c r="D205" s="103" t="s">
        <v>726</v>
      </c>
      <c r="E205" s="103" t="s">
        <v>578</v>
      </c>
      <c r="F205" s="103" t="s">
        <v>436</v>
      </c>
      <c r="G205" s="103" t="s">
        <v>953</v>
      </c>
      <c r="H205" s="103" t="s">
        <v>954</v>
      </c>
      <c r="T205" s="99"/>
      <c r="U205" s="133"/>
    </row>
    <row r="206" ht="22.5" customHeight="1">
      <c r="A206" s="102">
        <v>45924.66519509259</v>
      </c>
      <c r="B206" s="103" t="s">
        <v>365</v>
      </c>
      <c r="C206" s="103" t="s">
        <v>653</v>
      </c>
      <c r="D206" s="103" t="s">
        <v>654</v>
      </c>
      <c r="E206" s="103" t="s">
        <v>494</v>
      </c>
      <c r="F206" s="103" t="s">
        <v>436</v>
      </c>
      <c r="G206" s="103" t="s">
        <v>955</v>
      </c>
      <c r="H206" s="103" t="s">
        <v>956</v>
      </c>
      <c r="T206" s="99"/>
      <c r="U206" s="133"/>
    </row>
    <row r="207" ht="22.5" customHeight="1">
      <c r="A207" s="102">
        <v>45924.66519598379</v>
      </c>
      <c r="B207" s="103" t="s">
        <v>184</v>
      </c>
      <c r="C207" s="103" t="s">
        <v>865</v>
      </c>
      <c r="D207" s="103" t="s">
        <v>866</v>
      </c>
      <c r="E207" s="103" t="s">
        <v>494</v>
      </c>
      <c r="F207" s="103" t="s">
        <v>436</v>
      </c>
      <c r="G207" s="103" t="s">
        <v>957</v>
      </c>
      <c r="H207" s="134" t="s">
        <v>958</v>
      </c>
      <c r="T207" s="98"/>
      <c r="U207" s="133"/>
    </row>
    <row r="208" ht="22.5" customHeight="1">
      <c r="A208" s="102">
        <v>45924.66521622685</v>
      </c>
      <c r="B208" s="103" t="s">
        <v>274</v>
      </c>
      <c r="C208" s="103" t="s">
        <v>602</v>
      </c>
      <c r="D208" s="103" t="s">
        <v>603</v>
      </c>
      <c r="E208" s="103" t="s">
        <v>420</v>
      </c>
      <c r="F208" s="103" t="s">
        <v>436</v>
      </c>
      <c r="G208" s="103" t="s">
        <v>604</v>
      </c>
      <c r="H208" s="103" t="s">
        <v>931</v>
      </c>
      <c r="T208" s="98"/>
      <c r="U208" s="133"/>
    </row>
    <row r="209" ht="22.5" customHeight="1">
      <c r="A209" s="102">
        <v>45924.66522011574</v>
      </c>
      <c r="B209" s="103" t="s">
        <v>367</v>
      </c>
      <c r="C209" s="103" t="s">
        <v>959</v>
      </c>
      <c r="D209" s="103" t="s">
        <v>758</v>
      </c>
      <c r="E209" s="103" t="s">
        <v>420</v>
      </c>
      <c r="F209" s="103" t="s">
        <v>436</v>
      </c>
      <c r="G209" s="103" t="s">
        <v>759</v>
      </c>
      <c r="H209" s="103" t="s">
        <v>960</v>
      </c>
      <c r="T209" s="99"/>
      <c r="U209" s="133"/>
    </row>
    <row r="210" ht="22.5" customHeight="1">
      <c r="A210" s="102">
        <v>45924.66522042824</v>
      </c>
      <c r="B210" s="103" t="s">
        <v>673</v>
      </c>
      <c r="C210" s="103" t="s">
        <v>674</v>
      </c>
      <c r="D210" s="103" t="s">
        <v>581</v>
      </c>
      <c r="E210" s="103" t="s">
        <v>420</v>
      </c>
      <c r="F210" s="103" t="s">
        <v>436</v>
      </c>
      <c r="G210" s="103" t="s">
        <v>359</v>
      </c>
      <c r="H210" s="103" t="s">
        <v>961</v>
      </c>
      <c r="T210" s="98"/>
      <c r="U210" s="133"/>
    </row>
    <row r="211" ht="22.5" customHeight="1">
      <c r="A211" s="102">
        <v>45924.66522149305</v>
      </c>
      <c r="B211" s="103" t="s">
        <v>152</v>
      </c>
      <c r="C211" s="103" t="s">
        <v>962</v>
      </c>
      <c r="D211" s="103" t="s">
        <v>769</v>
      </c>
      <c r="E211" s="103" t="s">
        <v>420</v>
      </c>
      <c r="F211" s="103" t="s">
        <v>436</v>
      </c>
      <c r="G211" s="103" t="s">
        <v>963</v>
      </c>
      <c r="H211" s="103" t="s">
        <v>964</v>
      </c>
      <c r="T211" s="99"/>
      <c r="U211" s="133"/>
    </row>
    <row r="212" ht="22.5" customHeight="1">
      <c r="A212" s="102">
        <v>45924.665222870375</v>
      </c>
      <c r="B212" s="103" t="s">
        <v>9</v>
      </c>
      <c r="C212" s="103" t="s">
        <v>576</v>
      </c>
      <c r="D212" s="103" t="s">
        <v>577</v>
      </c>
      <c r="E212" s="103" t="s">
        <v>494</v>
      </c>
      <c r="F212" s="103" t="s">
        <v>436</v>
      </c>
      <c r="G212" s="103" t="s">
        <v>10</v>
      </c>
      <c r="H212" s="103" t="s">
        <v>965</v>
      </c>
      <c r="T212" s="99"/>
      <c r="U212" s="133"/>
    </row>
    <row r="213" ht="22.5" customHeight="1">
      <c r="A213" s="102">
        <v>45924.66522270833</v>
      </c>
      <c r="B213" s="103" t="s">
        <v>330</v>
      </c>
      <c r="C213" s="103" t="s">
        <v>662</v>
      </c>
      <c r="D213" s="103" t="s">
        <v>663</v>
      </c>
      <c r="E213" s="103" t="s">
        <v>494</v>
      </c>
      <c r="F213" s="103" t="s">
        <v>436</v>
      </c>
      <c r="G213" s="103" t="s">
        <v>320</v>
      </c>
      <c r="H213" s="103" t="s">
        <v>966</v>
      </c>
      <c r="T213" s="98"/>
      <c r="U213" s="133"/>
    </row>
    <row r="214" ht="22.5" customHeight="1">
      <c r="A214" s="102">
        <v>45924.66522299769</v>
      </c>
      <c r="B214" s="103" t="s">
        <v>217</v>
      </c>
      <c r="C214" s="103" t="s">
        <v>816</v>
      </c>
      <c r="D214" s="103" t="s">
        <v>647</v>
      </c>
      <c r="E214" s="103" t="s">
        <v>420</v>
      </c>
      <c r="F214" s="103" t="s">
        <v>436</v>
      </c>
      <c r="G214" s="103" t="s">
        <v>820</v>
      </c>
      <c r="H214" s="103" t="s">
        <v>967</v>
      </c>
      <c r="T214" s="99"/>
      <c r="U214" s="133"/>
    </row>
    <row r="215" ht="22.5" customHeight="1">
      <c r="A215" s="102">
        <v>45924.6652253125</v>
      </c>
      <c r="B215" s="103" t="s">
        <v>53</v>
      </c>
      <c r="C215" s="103" t="s">
        <v>535</v>
      </c>
      <c r="D215" s="103" t="s">
        <v>968</v>
      </c>
      <c r="E215" s="103" t="s">
        <v>578</v>
      </c>
      <c r="F215" s="103" t="s">
        <v>436</v>
      </c>
      <c r="G215" s="103" t="s">
        <v>537</v>
      </c>
      <c r="H215" s="103" t="s">
        <v>969</v>
      </c>
      <c r="T215" s="98"/>
      <c r="U215" s="133"/>
    </row>
    <row r="216" ht="22.5" customHeight="1">
      <c r="A216" s="102">
        <v>45924.665235092594</v>
      </c>
      <c r="B216" s="103" t="s">
        <v>123</v>
      </c>
      <c r="C216" s="103" t="s">
        <v>829</v>
      </c>
      <c r="D216" s="103" t="s">
        <v>654</v>
      </c>
      <c r="E216" s="103" t="s">
        <v>494</v>
      </c>
      <c r="F216" s="103" t="s">
        <v>436</v>
      </c>
      <c r="G216" s="103" t="s">
        <v>124</v>
      </c>
      <c r="H216" s="103" t="s">
        <v>970</v>
      </c>
      <c r="T216" s="98"/>
      <c r="U216" s="133"/>
    </row>
    <row r="217" ht="22.5" customHeight="1">
      <c r="A217" s="102">
        <v>45924.66524202546</v>
      </c>
      <c r="B217" s="103" t="s">
        <v>382</v>
      </c>
      <c r="C217" s="103" t="s">
        <v>468</v>
      </c>
      <c r="D217" s="103" t="s">
        <v>469</v>
      </c>
      <c r="E217" s="103" t="s">
        <v>420</v>
      </c>
      <c r="F217" s="103" t="s">
        <v>436</v>
      </c>
      <c r="G217" s="103" t="s">
        <v>971</v>
      </c>
      <c r="H217" s="103" t="s">
        <v>972</v>
      </c>
      <c r="T217" s="98"/>
      <c r="U217" s="133"/>
    </row>
    <row r="218" ht="22.5" customHeight="1">
      <c r="A218" s="102">
        <v>45924.66525554398</v>
      </c>
      <c r="B218" s="103" t="s">
        <v>358</v>
      </c>
      <c r="C218" s="103" t="s">
        <v>800</v>
      </c>
      <c r="D218" s="103" t="s">
        <v>801</v>
      </c>
      <c r="E218" s="103" t="s">
        <v>494</v>
      </c>
      <c r="F218" s="103" t="s">
        <v>436</v>
      </c>
      <c r="G218" s="103" t="s">
        <v>973</v>
      </c>
      <c r="H218" s="103" t="s">
        <v>931</v>
      </c>
      <c r="T218" s="98"/>
      <c r="U218" s="133"/>
    </row>
    <row r="219" ht="22.5" customHeight="1">
      <c r="A219" s="102">
        <v>45924.6652665625</v>
      </c>
      <c r="B219" s="103" t="s">
        <v>387</v>
      </c>
      <c r="C219" s="103" t="s">
        <v>665</v>
      </c>
      <c r="D219" s="103" t="s">
        <v>666</v>
      </c>
      <c r="E219" s="103" t="s">
        <v>420</v>
      </c>
      <c r="F219" s="103" t="s">
        <v>436</v>
      </c>
      <c r="G219" s="103" t="s">
        <v>211</v>
      </c>
      <c r="H219" s="103" t="s">
        <v>931</v>
      </c>
      <c r="T219" s="98"/>
      <c r="U219" s="133"/>
    </row>
    <row r="220" ht="22.5" customHeight="1">
      <c r="A220" s="102">
        <v>45924.66526927083</v>
      </c>
      <c r="B220" s="103" t="s">
        <v>40</v>
      </c>
      <c r="C220" s="103" t="s">
        <v>747</v>
      </c>
      <c r="D220" s="103" t="s">
        <v>748</v>
      </c>
      <c r="E220" s="103" t="s">
        <v>494</v>
      </c>
      <c r="F220" s="103" t="s">
        <v>436</v>
      </c>
      <c r="G220" s="103" t="s">
        <v>38</v>
      </c>
      <c r="H220" s="103" t="s">
        <v>974</v>
      </c>
      <c r="T220" s="99"/>
      <c r="U220" s="133"/>
    </row>
    <row r="221" ht="22.5" customHeight="1">
      <c r="A221" s="102">
        <v>45924.66527196759</v>
      </c>
      <c r="B221" s="103" t="s">
        <v>108</v>
      </c>
      <c r="C221" s="103" t="s">
        <v>525</v>
      </c>
      <c r="D221" s="103" t="s">
        <v>526</v>
      </c>
      <c r="E221" s="103" t="s">
        <v>494</v>
      </c>
      <c r="F221" s="103" t="s">
        <v>436</v>
      </c>
      <c r="G221" s="103" t="s">
        <v>527</v>
      </c>
      <c r="H221" s="103" t="s">
        <v>975</v>
      </c>
      <c r="T221" s="99"/>
      <c r="U221" s="133"/>
    </row>
    <row r="222" ht="22.5" customHeight="1">
      <c r="A222" s="102">
        <v>45924.665278472225</v>
      </c>
      <c r="B222" s="103" t="s">
        <v>134</v>
      </c>
      <c r="C222" s="103" t="s">
        <v>643</v>
      </c>
      <c r="D222" s="103" t="s">
        <v>644</v>
      </c>
      <c r="E222" s="103" t="s">
        <v>420</v>
      </c>
      <c r="F222" s="103" t="s">
        <v>436</v>
      </c>
      <c r="G222" s="103" t="s">
        <v>124</v>
      </c>
      <c r="H222" s="103" t="s">
        <v>976</v>
      </c>
      <c r="T222" s="98"/>
      <c r="U222" s="133"/>
    </row>
    <row r="223" ht="22.5" customHeight="1">
      <c r="A223" s="102">
        <v>45924.665283333336</v>
      </c>
      <c r="B223" s="103" t="s">
        <v>326</v>
      </c>
      <c r="C223" s="103" t="s">
        <v>697</v>
      </c>
      <c r="D223" s="103" t="s">
        <v>698</v>
      </c>
      <c r="E223" s="103" t="s">
        <v>578</v>
      </c>
      <c r="F223" s="103" t="s">
        <v>436</v>
      </c>
      <c r="G223" s="103" t="s">
        <v>320</v>
      </c>
      <c r="H223" s="103" t="s">
        <v>977</v>
      </c>
      <c r="T223" s="99"/>
      <c r="U223" s="133"/>
    </row>
    <row r="224" ht="22.5" customHeight="1">
      <c r="A224" s="102">
        <v>45924.66529278935</v>
      </c>
      <c r="B224" s="103" t="s">
        <v>285</v>
      </c>
      <c r="C224" s="103" t="s">
        <v>790</v>
      </c>
      <c r="D224" s="103" t="s">
        <v>791</v>
      </c>
      <c r="E224" s="103" t="s">
        <v>420</v>
      </c>
      <c r="F224" s="103" t="s">
        <v>436</v>
      </c>
      <c r="G224" s="103" t="s">
        <v>978</v>
      </c>
      <c r="H224" s="103" t="s">
        <v>979</v>
      </c>
      <c r="T224" s="99"/>
      <c r="U224" s="133"/>
    </row>
    <row r="225" ht="22.5" customHeight="1">
      <c r="A225" s="102">
        <v>45924.66531221065</v>
      </c>
      <c r="B225" s="103" t="s">
        <v>289</v>
      </c>
      <c r="C225" s="103" t="s">
        <v>735</v>
      </c>
      <c r="D225" s="103" t="s">
        <v>736</v>
      </c>
      <c r="E225" s="103" t="s">
        <v>494</v>
      </c>
      <c r="F225" s="103" t="s">
        <v>436</v>
      </c>
      <c r="G225" s="103" t="s">
        <v>478</v>
      </c>
      <c r="H225" s="103" t="s">
        <v>980</v>
      </c>
      <c r="T225" s="99"/>
      <c r="U225" s="133"/>
    </row>
    <row r="226" ht="22.5" customHeight="1">
      <c r="A226" s="102">
        <v>45924.665313460646</v>
      </c>
      <c r="B226" s="103" t="s">
        <v>204</v>
      </c>
      <c r="C226" s="103" t="s">
        <v>745</v>
      </c>
      <c r="D226" s="103" t="s">
        <v>689</v>
      </c>
      <c r="E226" s="103" t="s">
        <v>420</v>
      </c>
      <c r="F226" s="103" t="s">
        <v>436</v>
      </c>
      <c r="G226" s="103" t="s">
        <v>198</v>
      </c>
      <c r="H226" s="103" t="s">
        <v>981</v>
      </c>
      <c r="T226" s="99"/>
      <c r="U226" s="133"/>
    </row>
    <row r="227" ht="22.5" customHeight="1">
      <c r="A227" s="102">
        <v>45924.6653180787</v>
      </c>
      <c r="B227" s="103" t="s">
        <v>132</v>
      </c>
      <c r="C227" s="103" t="s">
        <v>657</v>
      </c>
      <c r="D227" s="103" t="s">
        <v>660</v>
      </c>
      <c r="E227" s="103" t="s">
        <v>420</v>
      </c>
      <c r="F227" s="103" t="s">
        <v>436</v>
      </c>
      <c r="G227" s="103" t="s">
        <v>831</v>
      </c>
      <c r="H227" s="103" t="s">
        <v>982</v>
      </c>
      <c r="T227" s="99"/>
      <c r="U227" s="133"/>
    </row>
    <row r="228" ht="22.5" customHeight="1">
      <c r="A228" s="102">
        <v>45924.66533203704</v>
      </c>
      <c r="B228" s="103" t="s">
        <v>55</v>
      </c>
      <c r="C228" s="103" t="s">
        <v>562</v>
      </c>
      <c r="D228" s="103" t="s">
        <v>983</v>
      </c>
      <c r="E228" s="103" t="s">
        <v>494</v>
      </c>
      <c r="F228" s="103" t="s">
        <v>436</v>
      </c>
      <c r="G228" s="103" t="s">
        <v>984</v>
      </c>
      <c r="H228" s="103" t="s">
        <v>985</v>
      </c>
      <c r="T228" s="99"/>
      <c r="U228" s="133"/>
    </row>
    <row r="229" ht="22.5" customHeight="1">
      <c r="A229" s="102">
        <v>45924.66533351852</v>
      </c>
      <c r="B229" s="103" t="s">
        <v>156</v>
      </c>
      <c r="C229" s="103" t="s">
        <v>528</v>
      </c>
      <c r="D229" s="103" t="s">
        <v>529</v>
      </c>
      <c r="E229" s="103" t="s">
        <v>494</v>
      </c>
      <c r="F229" s="103" t="s">
        <v>436</v>
      </c>
      <c r="G229" s="103" t="s">
        <v>148</v>
      </c>
      <c r="H229" s="103" t="s">
        <v>931</v>
      </c>
      <c r="T229" s="99"/>
      <c r="U229" s="133"/>
    </row>
    <row r="230" ht="22.5" customHeight="1">
      <c r="A230" s="102">
        <v>45924.665370462964</v>
      </c>
      <c r="B230" s="103" t="s">
        <v>117</v>
      </c>
      <c r="C230" s="103" t="s">
        <v>778</v>
      </c>
      <c r="D230" s="103" t="s">
        <v>779</v>
      </c>
      <c r="E230" s="103" t="s">
        <v>420</v>
      </c>
      <c r="F230" s="103" t="s">
        <v>436</v>
      </c>
      <c r="G230" s="103" t="s">
        <v>986</v>
      </c>
      <c r="H230" s="103" t="s">
        <v>987</v>
      </c>
      <c r="T230" s="99"/>
      <c r="U230" s="133"/>
    </row>
    <row r="231" ht="22.5" customHeight="1">
      <c r="A231" s="102">
        <v>45924.665394247684</v>
      </c>
      <c r="B231" s="103" t="s">
        <v>324</v>
      </c>
      <c r="C231" s="103" t="s">
        <v>590</v>
      </c>
      <c r="D231" s="103" t="s">
        <v>591</v>
      </c>
      <c r="E231" s="103" t="s">
        <v>420</v>
      </c>
      <c r="F231" s="103" t="s">
        <v>436</v>
      </c>
      <c r="G231" s="103" t="s">
        <v>71</v>
      </c>
      <c r="H231" s="103" t="s">
        <v>988</v>
      </c>
      <c r="T231" s="99"/>
      <c r="U231" s="133"/>
    </row>
    <row r="232" ht="22.5" customHeight="1">
      <c r="A232" s="102">
        <v>45924.66542954861</v>
      </c>
      <c r="B232" s="103" t="s">
        <v>287</v>
      </c>
      <c r="C232" s="103" t="s">
        <v>989</v>
      </c>
      <c r="D232" s="103" t="s">
        <v>466</v>
      </c>
      <c r="E232" s="103" t="s">
        <v>494</v>
      </c>
      <c r="F232" s="103" t="s">
        <v>436</v>
      </c>
      <c r="G232" s="103" t="s">
        <v>428</v>
      </c>
      <c r="H232" s="103" t="s">
        <v>990</v>
      </c>
      <c r="T232" s="99"/>
      <c r="U232" s="133"/>
    </row>
    <row r="233" ht="22.5" customHeight="1">
      <c r="A233" s="102">
        <v>45924.66545537037</v>
      </c>
      <c r="B233" s="103" t="s">
        <v>272</v>
      </c>
      <c r="C233" s="103" t="s">
        <v>671</v>
      </c>
      <c r="D233" s="103" t="s">
        <v>509</v>
      </c>
      <c r="E233" s="103" t="s">
        <v>420</v>
      </c>
      <c r="F233" s="103" t="s">
        <v>436</v>
      </c>
      <c r="G233" s="103" t="s">
        <v>604</v>
      </c>
      <c r="H233" s="103" t="s">
        <v>931</v>
      </c>
      <c r="T233" s="99"/>
      <c r="U233" s="133"/>
    </row>
    <row r="234" ht="22.5" customHeight="1">
      <c r="A234" s="102">
        <v>45924.66548548611</v>
      </c>
      <c r="B234" s="103" t="s">
        <v>328</v>
      </c>
      <c r="C234" s="103" t="s">
        <v>826</v>
      </c>
      <c r="D234" s="103" t="s">
        <v>827</v>
      </c>
      <c r="E234" s="103" t="s">
        <v>420</v>
      </c>
      <c r="F234" s="103" t="s">
        <v>436</v>
      </c>
      <c r="G234" s="103" t="s">
        <v>38</v>
      </c>
      <c r="H234" s="103" t="s">
        <v>991</v>
      </c>
      <c r="T234" s="99"/>
      <c r="U234" s="133"/>
    </row>
    <row r="235" ht="22.5" customHeight="1">
      <c r="A235" s="102">
        <v>45924.665511666666</v>
      </c>
      <c r="B235" s="103" t="s">
        <v>226</v>
      </c>
      <c r="C235" s="103" t="s">
        <v>668</v>
      </c>
      <c r="D235" s="103" t="s">
        <v>581</v>
      </c>
      <c r="E235" s="103" t="s">
        <v>578</v>
      </c>
      <c r="F235" s="103" t="s">
        <v>436</v>
      </c>
      <c r="G235" s="103" t="s">
        <v>669</v>
      </c>
      <c r="H235" s="103" t="s">
        <v>992</v>
      </c>
      <c r="T235" s="99"/>
      <c r="U235" s="133"/>
    </row>
    <row r="236" ht="22.5" customHeight="1">
      <c r="A236" s="102">
        <v>45924.66554988426</v>
      </c>
      <c r="B236" s="103" t="s">
        <v>215</v>
      </c>
      <c r="C236" s="103" t="s">
        <v>452</v>
      </c>
      <c r="D236" s="103" t="s">
        <v>453</v>
      </c>
      <c r="E236" s="103" t="s">
        <v>578</v>
      </c>
      <c r="F236" s="103" t="s">
        <v>436</v>
      </c>
      <c r="G236" s="103" t="s">
        <v>161</v>
      </c>
      <c r="H236" s="103" t="s">
        <v>993</v>
      </c>
      <c r="U236" s="133"/>
    </row>
    <row r="237" ht="22.5" customHeight="1">
      <c r="A237" s="102">
        <v>45924.66555123843</v>
      </c>
      <c r="B237" s="103" t="s">
        <v>306</v>
      </c>
      <c r="C237" s="103" t="s">
        <v>994</v>
      </c>
      <c r="D237" s="103" t="s">
        <v>995</v>
      </c>
      <c r="E237" s="103" t="s">
        <v>494</v>
      </c>
      <c r="F237" s="103" t="s">
        <v>436</v>
      </c>
      <c r="G237" s="103" t="s">
        <v>462</v>
      </c>
      <c r="H237" s="103" t="s">
        <v>996</v>
      </c>
      <c r="U237" s="133"/>
    </row>
    <row r="238" ht="22.5" customHeight="1">
      <c r="A238" s="102">
        <v>45924.665590370365</v>
      </c>
      <c r="B238" s="103" t="s">
        <v>18</v>
      </c>
      <c r="C238" s="103" t="s">
        <v>811</v>
      </c>
      <c r="D238" s="103" t="s">
        <v>812</v>
      </c>
      <c r="E238" s="103" t="s">
        <v>494</v>
      </c>
      <c r="F238" s="103" t="s">
        <v>436</v>
      </c>
      <c r="G238" s="103" t="s">
        <v>997</v>
      </c>
      <c r="H238" s="103" t="s">
        <v>998</v>
      </c>
      <c r="U238" s="133"/>
    </row>
    <row r="239" ht="22.5" customHeight="1">
      <c r="A239" s="102">
        <v>45924.665594074075</v>
      </c>
      <c r="B239" s="103" t="s">
        <v>223</v>
      </c>
      <c r="C239" s="103" t="s">
        <v>741</v>
      </c>
      <c r="D239" s="103" t="s">
        <v>506</v>
      </c>
      <c r="E239" s="103" t="s">
        <v>578</v>
      </c>
      <c r="F239" s="103" t="s">
        <v>436</v>
      </c>
      <c r="G239" s="103" t="s">
        <v>999</v>
      </c>
      <c r="H239" s="103" t="s">
        <v>1000</v>
      </c>
      <c r="U239" s="133"/>
    </row>
    <row r="240" ht="22.5" customHeight="1">
      <c r="A240" s="102">
        <v>45924.665594375</v>
      </c>
      <c r="B240" s="103" t="s">
        <v>202</v>
      </c>
      <c r="C240" s="103" t="s">
        <v>634</v>
      </c>
      <c r="D240" s="103" t="s">
        <v>635</v>
      </c>
      <c r="E240" s="103" t="s">
        <v>578</v>
      </c>
      <c r="F240" s="103" t="s">
        <v>436</v>
      </c>
      <c r="G240" s="103" t="s">
        <v>198</v>
      </c>
      <c r="H240" s="103" t="s">
        <v>1001</v>
      </c>
      <c r="U240" s="133"/>
    </row>
    <row r="241" ht="22.5" customHeight="1">
      <c r="A241" s="102">
        <v>45924.66560623843</v>
      </c>
      <c r="B241" s="103" t="s">
        <v>128</v>
      </c>
      <c r="C241" s="103" t="s">
        <v>561</v>
      </c>
      <c r="D241" s="103" t="s">
        <v>830</v>
      </c>
      <c r="E241" s="103" t="s">
        <v>578</v>
      </c>
      <c r="F241" s="103" t="s">
        <v>436</v>
      </c>
      <c r="G241" s="103" t="s">
        <v>124</v>
      </c>
      <c r="H241" s="103" t="s">
        <v>1002</v>
      </c>
      <c r="U241" s="133"/>
    </row>
    <row r="242" ht="22.5" customHeight="1">
      <c r="A242" s="102">
        <v>45924.665638425926</v>
      </c>
      <c r="B242" s="103" t="s">
        <v>352</v>
      </c>
      <c r="C242" s="103" t="s">
        <v>555</v>
      </c>
      <c r="D242" s="103" t="s">
        <v>556</v>
      </c>
      <c r="E242" s="103" t="s">
        <v>494</v>
      </c>
      <c r="F242" s="103" t="s">
        <v>436</v>
      </c>
      <c r="G242" s="103" t="s">
        <v>570</v>
      </c>
      <c r="H242" s="103" t="s">
        <v>1003</v>
      </c>
      <c r="U242" s="133"/>
    </row>
    <row r="243" ht="22.5" customHeight="1">
      <c r="A243" s="102">
        <v>45924.665650717594</v>
      </c>
      <c r="B243" s="103" t="s">
        <v>14</v>
      </c>
      <c r="C243" s="103" t="s">
        <v>1004</v>
      </c>
      <c r="D243" s="103" t="s">
        <v>1005</v>
      </c>
      <c r="E243" s="103" t="s">
        <v>494</v>
      </c>
      <c r="F243" s="103" t="s">
        <v>436</v>
      </c>
      <c r="G243" s="103" t="s">
        <v>1006</v>
      </c>
      <c r="H243" s="103" t="s">
        <v>1007</v>
      </c>
      <c r="U243" s="133"/>
    </row>
    <row r="244" ht="22.5" customHeight="1">
      <c r="A244" s="102">
        <v>45924.66567920139</v>
      </c>
      <c r="B244" s="103" t="s">
        <v>400</v>
      </c>
      <c r="C244" s="103" t="s">
        <v>445</v>
      </c>
      <c r="D244" s="103" t="s">
        <v>641</v>
      </c>
      <c r="E244" s="103" t="s">
        <v>420</v>
      </c>
      <c r="F244" s="103" t="s">
        <v>436</v>
      </c>
      <c r="G244" s="103" t="s">
        <v>585</v>
      </c>
      <c r="H244" s="103" t="s">
        <v>1008</v>
      </c>
      <c r="U244" s="133"/>
    </row>
    <row r="245" ht="22.5" customHeight="1">
      <c r="A245" s="102">
        <v>45924.66572232639</v>
      </c>
      <c r="B245" s="103" t="s">
        <v>398</v>
      </c>
      <c r="C245" s="103" t="s">
        <v>751</v>
      </c>
      <c r="D245" s="103" t="s">
        <v>752</v>
      </c>
      <c r="E245" s="103" t="s">
        <v>420</v>
      </c>
      <c r="F245" s="103" t="s">
        <v>436</v>
      </c>
      <c r="G245" s="103" t="s">
        <v>568</v>
      </c>
      <c r="H245" s="103" t="s">
        <v>1009</v>
      </c>
      <c r="U245" s="133"/>
    </row>
    <row r="246" ht="22.5" customHeight="1">
      <c r="A246" s="102">
        <v>45924.66580048611</v>
      </c>
      <c r="B246" s="103" t="s">
        <v>197</v>
      </c>
      <c r="C246" s="103" t="s">
        <v>618</v>
      </c>
      <c r="D246" s="103" t="s">
        <v>619</v>
      </c>
      <c r="E246" s="103" t="s">
        <v>578</v>
      </c>
      <c r="F246" s="103" t="s">
        <v>436</v>
      </c>
      <c r="G246" s="103" t="s">
        <v>198</v>
      </c>
      <c r="H246" s="103" t="s">
        <v>1010</v>
      </c>
      <c r="U246" s="133"/>
    </row>
    <row r="247" ht="22.5" customHeight="1">
      <c r="A247" s="102">
        <v>45924.66586493056</v>
      </c>
      <c r="B247" s="103" t="s">
        <v>213</v>
      </c>
      <c r="C247" s="103" t="s">
        <v>728</v>
      </c>
      <c r="D247" s="103" t="s">
        <v>729</v>
      </c>
      <c r="E247" s="103" t="s">
        <v>578</v>
      </c>
      <c r="F247" s="103" t="s">
        <v>436</v>
      </c>
      <c r="G247" s="103" t="s">
        <v>211</v>
      </c>
      <c r="H247" s="103" t="s">
        <v>1011</v>
      </c>
      <c r="U247" s="133"/>
    </row>
    <row r="248" ht="22.5" customHeight="1">
      <c r="A248" s="102">
        <v>45924.66594313657</v>
      </c>
      <c r="B248" s="103" t="s">
        <v>150</v>
      </c>
      <c r="C248" s="103" t="s">
        <v>774</v>
      </c>
      <c r="D248" s="103" t="s">
        <v>775</v>
      </c>
      <c r="E248" s="103" t="s">
        <v>578</v>
      </c>
      <c r="F248" s="103" t="s">
        <v>436</v>
      </c>
      <c r="G248" s="103" t="s">
        <v>770</v>
      </c>
      <c r="H248" s="103" t="s">
        <v>1012</v>
      </c>
      <c r="U248" s="133"/>
    </row>
    <row r="249" ht="22.5" customHeight="1">
      <c r="A249" s="102">
        <v>45924.66601994213</v>
      </c>
      <c r="B249" s="103" t="s">
        <v>95</v>
      </c>
      <c r="C249" s="103" t="s">
        <v>814</v>
      </c>
      <c r="D249" s="103" t="s">
        <v>1013</v>
      </c>
      <c r="E249" s="103" t="s">
        <v>450</v>
      </c>
      <c r="F249" s="103" t="s">
        <v>441</v>
      </c>
      <c r="G249" s="103" t="s">
        <v>540</v>
      </c>
      <c r="H249" s="103" t="s">
        <v>1014</v>
      </c>
      <c r="U249" s="133"/>
    </row>
    <row r="250" ht="22.5" customHeight="1">
      <c r="A250" s="102">
        <v>45924.66613744213</v>
      </c>
      <c r="B250" s="103" t="s">
        <v>141</v>
      </c>
      <c r="C250" s="103" t="s">
        <v>803</v>
      </c>
      <c r="D250" s="103" t="s">
        <v>804</v>
      </c>
      <c r="E250" s="103" t="s">
        <v>494</v>
      </c>
      <c r="F250" s="103" t="s">
        <v>436</v>
      </c>
      <c r="G250" s="103" t="s">
        <v>805</v>
      </c>
      <c r="H250" s="103" t="s">
        <v>1015</v>
      </c>
      <c r="U250" s="133"/>
    </row>
    <row r="251" ht="22.5" customHeight="1">
      <c r="A251" s="102">
        <v>45924.6661521412</v>
      </c>
      <c r="B251" s="103" t="s">
        <v>221</v>
      </c>
      <c r="C251" s="103" t="s">
        <v>787</v>
      </c>
      <c r="D251" s="103" t="s">
        <v>651</v>
      </c>
      <c r="E251" s="103" t="s">
        <v>420</v>
      </c>
      <c r="F251" s="103" t="s">
        <v>436</v>
      </c>
      <c r="G251" s="103" t="s">
        <v>820</v>
      </c>
      <c r="H251" s="103" t="s">
        <v>1016</v>
      </c>
      <c r="U251" s="133"/>
    </row>
    <row r="252" ht="22.5" customHeight="1">
      <c r="A252" s="102">
        <v>45924.66619872685</v>
      </c>
      <c r="B252" s="103" t="s">
        <v>104</v>
      </c>
      <c r="C252" s="103" t="s">
        <v>522</v>
      </c>
      <c r="D252" s="103" t="s">
        <v>523</v>
      </c>
      <c r="E252" s="103" t="s">
        <v>420</v>
      </c>
      <c r="F252" s="103" t="s">
        <v>436</v>
      </c>
      <c r="G252" s="103" t="s">
        <v>98</v>
      </c>
      <c r="H252" s="103" t="s">
        <v>1017</v>
      </c>
      <c r="U252" s="133"/>
    </row>
    <row r="253" ht="22.5" customHeight="1">
      <c r="A253" s="102">
        <v>45924.66649318287</v>
      </c>
      <c r="B253" s="103" t="s">
        <v>206</v>
      </c>
      <c r="C253" s="103" t="s">
        <v>445</v>
      </c>
      <c r="D253" s="103" t="s">
        <v>1018</v>
      </c>
      <c r="E253" s="103" t="s">
        <v>450</v>
      </c>
      <c r="F253" s="103" t="s">
        <v>441</v>
      </c>
      <c r="G253" s="103" t="s">
        <v>1019</v>
      </c>
      <c r="H253" s="103" t="s">
        <v>1020</v>
      </c>
      <c r="U253" s="133"/>
    </row>
    <row r="254" ht="22.5" customHeight="1">
      <c r="A254" s="102">
        <v>45924.66655730324</v>
      </c>
      <c r="B254" s="103" t="s">
        <v>242</v>
      </c>
      <c r="C254" s="103" t="s">
        <v>679</v>
      </c>
      <c r="D254" s="103" t="s">
        <v>680</v>
      </c>
      <c r="E254" s="103" t="s">
        <v>450</v>
      </c>
      <c r="F254" s="103" t="s">
        <v>436</v>
      </c>
      <c r="G254" s="103" t="s">
        <v>615</v>
      </c>
      <c r="H254" s="103" t="s">
        <v>1021</v>
      </c>
      <c r="U254" s="133"/>
    </row>
    <row r="255" ht="22.5" customHeight="1">
      <c r="A255" s="102">
        <v>45924.666606956016</v>
      </c>
      <c r="B255" s="103" t="s">
        <v>208</v>
      </c>
      <c r="C255" s="103" t="s">
        <v>701</v>
      </c>
      <c r="D255" s="103" t="s">
        <v>1022</v>
      </c>
      <c r="E255" s="103" t="s">
        <v>450</v>
      </c>
      <c r="F255" s="103" t="s">
        <v>436</v>
      </c>
      <c r="G255" s="103" t="s">
        <v>198</v>
      </c>
      <c r="H255" s="103" t="s">
        <v>1021</v>
      </c>
      <c r="U255" s="133"/>
    </row>
    <row r="256" ht="22.5" customHeight="1">
      <c r="A256" s="102">
        <v>45924.66661369213</v>
      </c>
      <c r="B256" s="103" t="s">
        <v>193</v>
      </c>
      <c r="C256" s="103" t="s">
        <v>549</v>
      </c>
      <c r="D256" s="103" t="s">
        <v>550</v>
      </c>
      <c r="E256" s="103" t="s">
        <v>450</v>
      </c>
      <c r="F256" s="103" t="s">
        <v>436</v>
      </c>
      <c r="G256" s="103" t="s">
        <v>503</v>
      </c>
      <c r="H256" s="103" t="s">
        <v>1023</v>
      </c>
      <c r="U256" s="133"/>
    </row>
    <row r="257" ht="22.5" customHeight="1">
      <c r="A257" s="102">
        <v>45924.6666165162</v>
      </c>
      <c r="B257" s="103" t="s">
        <v>293</v>
      </c>
      <c r="C257" s="103" t="s">
        <v>448</v>
      </c>
      <c r="D257" s="103" t="s">
        <v>449</v>
      </c>
      <c r="E257" s="103" t="s">
        <v>450</v>
      </c>
      <c r="F257" s="103" t="s">
        <v>436</v>
      </c>
      <c r="G257" s="103" t="s">
        <v>294</v>
      </c>
      <c r="H257" s="103" t="s">
        <v>1024</v>
      </c>
      <c r="U257" s="133"/>
    </row>
    <row r="258" ht="22.5" customHeight="1">
      <c r="A258" s="102">
        <v>45924.66674310185</v>
      </c>
      <c r="B258" s="103" t="s">
        <v>195</v>
      </c>
      <c r="C258" s="103" t="s">
        <v>501</v>
      </c>
      <c r="D258" s="103" t="s">
        <v>1025</v>
      </c>
      <c r="E258" s="103" t="s">
        <v>450</v>
      </c>
      <c r="F258" s="103" t="s">
        <v>436</v>
      </c>
      <c r="G258" s="103" t="s">
        <v>503</v>
      </c>
      <c r="H258" s="103" t="s">
        <v>1026</v>
      </c>
      <c r="U258" s="133"/>
    </row>
    <row r="259" ht="22.5" customHeight="1">
      <c r="A259" s="102">
        <v>45924.66687527778</v>
      </c>
      <c r="B259" s="103" t="s">
        <v>374</v>
      </c>
      <c r="C259" s="103" t="s">
        <v>1027</v>
      </c>
      <c r="D259" s="103" t="s">
        <v>458</v>
      </c>
      <c r="E259" s="103" t="s">
        <v>450</v>
      </c>
      <c r="F259" s="103" t="s">
        <v>441</v>
      </c>
      <c r="G259" s="103" t="s">
        <v>442</v>
      </c>
      <c r="H259" s="103" t="s">
        <v>1014</v>
      </c>
      <c r="U259" s="133"/>
    </row>
    <row r="260" ht="22.5" customHeight="1">
      <c r="A260" s="102">
        <v>45924.666914988426</v>
      </c>
      <c r="B260" s="103" t="s">
        <v>291</v>
      </c>
      <c r="C260" s="103" t="s">
        <v>682</v>
      </c>
      <c r="D260" s="103" t="s">
        <v>683</v>
      </c>
      <c r="E260" s="103" t="s">
        <v>494</v>
      </c>
      <c r="F260" s="103" t="s">
        <v>436</v>
      </c>
      <c r="G260" s="103" t="s">
        <v>478</v>
      </c>
      <c r="H260" s="103" t="s">
        <v>1028</v>
      </c>
      <c r="U260" s="133"/>
    </row>
    <row r="261" ht="22.5" customHeight="1">
      <c r="A261" s="102">
        <v>45924.6669503125</v>
      </c>
      <c r="B261" s="103" t="s">
        <v>46</v>
      </c>
      <c r="C261" s="103" t="s">
        <v>797</v>
      </c>
      <c r="D261" s="103" t="s">
        <v>798</v>
      </c>
      <c r="E261" s="103" t="s">
        <v>578</v>
      </c>
      <c r="F261" s="103" t="s">
        <v>436</v>
      </c>
      <c r="G261" s="103" t="s">
        <v>1029</v>
      </c>
      <c r="H261" s="103" t="s">
        <v>1030</v>
      </c>
      <c r="U261" s="133"/>
    </row>
    <row r="262" ht="22.5" customHeight="1">
      <c r="A262" s="102">
        <v>45924.66728677083</v>
      </c>
      <c r="B262" s="103" t="s">
        <v>302</v>
      </c>
      <c r="C262" s="103" t="s">
        <v>1031</v>
      </c>
      <c r="D262" s="103" t="s">
        <v>838</v>
      </c>
      <c r="E262" s="103" t="s">
        <v>450</v>
      </c>
      <c r="F262" s="103" t="s">
        <v>436</v>
      </c>
      <c r="G262" s="103" t="s">
        <v>294</v>
      </c>
      <c r="H262" s="103" t="s">
        <v>1032</v>
      </c>
      <c r="U262" s="133"/>
    </row>
    <row r="263" ht="22.5" customHeight="1">
      <c r="A263" s="102">
        <v>45924.66733063657</v>
      </c>
      <c r="B263" s="103" t="s">
        <v>293</v>
      </c>
      <c r="C263" s="103" t="s">
        <v>448</v>
      </c>
      <c r="D263" s="103" t="s">
        <v>449</v>
      </c>
      <c r="E263" s="103" t="s">
        <v>450</v>
      </c>
      <c r="F263" s="103" t="s">
        <v>436</v>
      </c>
      <c r="G263" s="103" t="s">
        <v>294</v>
      </c>
      <c r="H263" s="103" t="s">
        <v>1033</v>
      </c>
      <c r="U263" s="133"/>
    </row>
    <row r="264" ht="22.5" customHeight="1">
      <c r="A264" s="102">
        <v>45924.6674566088</v>
      </c>
      <c r="B264" s="103" t="s">
        <v>68</v>
      </c>
      <c r="C264" s="103" t="s">
        <v>825</v>
      </c>
      <c r="D264" s="103" t="s">
        <v>515</v>
      </c>
      <c r="E264" s="103" t="s">
        <v>420</v>
      </c>
      <c r="F264" s="103" t="s">
        <v>436</v>
      </c>
      <c r="G264" s="103" t="s">
        <v>62</v>
      </c>
      <c r="H264" s="103" t="s">
        <v>1034</v>
      </c>
      <c r="U264" s="133"/>
    </row>
    <row r="265" ht="22.5" customHeight="1">
      <c r="A265" s="102">
        <v>45924.66763945602</v>
      </c>
      <c r="B265" s="103" t="s">
        <v>154</v>
      </c>
      <c r="C265" s="103" t="s">
        <v>546</v>
      </c>
      <c r="D265" s="103" t="s">
        <v>435</v>
      </c>
      <c r="E265" s="103" t="s">
        <v>420</v>
      </c>
      <c r="F265" s="103" t="s">
        <v>436</v>
      </c>
      <c r="G265" s="103" t="s">
        <v>148</v>
      </c>
      <c r="H265" s="103" t="s">
        <v>1035</v>
      </c>
      <c r="U265" s="133"/>
    </row>
    <row r="266" ht="22.5" customHeight="1">
      <c r="A266" s="102">
        <v>45924.667642291664</v>
      </c>
      <c r="B266" s="103" t="s">
        <v>171</v>
      </c>
      <c r="C266" s="103" t="s">
        <v>609</v>
      </c>
      <c r="D266" s="103" t="s">
        <v>610</v>
      </c>
      <c r="E266" s="103" t="s">
        <v>494</v>
      </c>
      <c r="F266" s="103" t="s">
        <v>436</v>
      </c>
      <c r="G266" s="103" t="s">
        <v>172</v>
      </c>
      <c r="H266" s="103" t="s">
        <v>1036</v>
      </c>
      <c r="U266" s="133"/>
    </row>
    <row r="267" ht="22.5" customHeight="1">
      <c r="A267" s="102">
        <v>45924.66815546296</v>
      </c>
      <c r="B267" s="103" t="s">
        <v>145</v>
      </c>
      <c r="C267" s="103" t="s">
        <v>783</v>
      </c>
      <c r="D267" s="103" t="s">
        <v>545</v>
      </c>
      <c r="E267" s="103" t="s">
        <v>420</v>
      </c>
      <c r="F267" s="103" t="s">
        <v>436</v>
      </c>
      <c r="G267" s="103" t="s">
        <v>784</v>
      </c>
      <c r="H267" s="103" t="s">
        <v>1037</v>
      </c>
      <c r="U267" s="133"/>
    </row>
    <row r="268" ht="22.5" customHeight="1">
      <c r="A268" s="102">
        <v>45924.66917709491</v>
      </c>
      <c r="B268" s="103" t="s">
        <v>66</v>
      </c>
      <c r="C268" s="103" t="s">
        <v>668</v>
      </c>
      <c r="D268" s="103" t="s">
        <v>689</v>
      </c>
      <c r="E268" s="103" t="s">
        <v>420</v>
      </c>
      <c r="F268" s="103" t="s">
        <v>436</v>
      </c>
      <c r="G268" s="103" t="s">
        <v>62</v>
      </c>
      <c r="H268" s="103" t="s">
        <v>1038</v>
      </c>
      <c r="U268" s="133"/>
    </row>
    <row r="269" ht="22.5" customHeight="1">
      <c r="A269" s="102">
        <v>45924.66989236111</v>
      </c>
      <c r="B269" s="103" t="s">
        <v>37</v>
      </c>
      <c r="C269" s="103" t="s">
        <v>764</v>
      </c>
      <c r="D269" s="103" t="s">
        <v>765</v>
      </c>
      <c r="E269" s="103" t="s">
        <v>494</v>
      </c>
      <c r="F269" s="103" t="s">
        <v>436</v>
      </c>
      <c r="G269" s="103" t="s">
        <v>38</v>
      </c>
      <c r="H269" s="103" t="s">
        <v>1039</v>
      </c>
      <c r="U269" s="133"/>
    </row>
    <row r="270" ht="22.5" customHeight="1">
      <c r="A270" s="102">
        <v>45924.67558311342</v>
      </c>
      <c r="B270" s="103" t="s">
        <v>311</v>
      </c>
      <c r="C270" s="103" t="s">
        <v>1040</v>
      </c>
      <c r="D270" s="103" t="s">
        <v>1041</v>
      </c>
      <c r="E270" s="103" t="s">
        <v>578</v>
      </c>
      <c r="F270" s="103" t="s">
        <v>436</v>
      </c>
      <c r="G270" s="103" t="s">
        <v>1042</v>
      </c>
      <c r="H270" s="103" t="s">
        <v>1043</v>
      </c>
      <c r="U270" s="133"/>
    </row>
    <row r="271" ht="22.5" customHeight="1">
      <c r="A271" s="102">
        <v>45924.67920971065</v>
      </c>
      <c r="B271" s="103" t="s">
        <v>276</v>
      </c>
      <c r="C271" s="103" t="s">
        <v>714</v>
      </c>
      <c r="D271" s="103" t="s">
        <v>715</v>
      </c>
      <c r="E271" s="103" t="s">
        <v>578</v>
      </c>
      <c r="F271" s="103" t="s">
        <v>436</v>
      </c>
      <c r="G271" s="103" t="s">
        <v>716</v>
      </c>
      <c r="H271" s="103" t="s">
        <v>1044</v>
      </c>
      <c r="U271" s="133"/>
    </row>
    <row r="272" ht="22.5" customHeight="1">
      <c r="A272" s="102">
        <v>45924.68779361111</v>
      </c>
      <c r="B272" s="103" t="s">
        <v>92</v>
      </c>
      <c r="C272" s="103" t="s">
        <v>1045</v>
      </c>
      <c r="D272" s="103" t="s">
        <v>1046</v>
      </c>
      <c r="E272" s="103" t="s">
        <v>450</v>
      </c>
      <c r="F272" s="103" t="s">
        <v>441</v>
      </c>
      <c r="G272" s="103" t="s">
        <v>84</v>
      </c>
      <c r="H272" s="103" t="s">
        <v>1033</v>
      </c>
      <c r="U272" s="133"/>
    </row>
    <row r="273" ht="22.5" customHeight="1">
      <c r="A273" s="102">
        <v>45924.71529467593</v>
      </c>
      <c r="B273" s="103" t="s">
        <v>341</v>
      </c>
      <c r="C273" s="135" t="s">
        <v>1047</v>
      </c>
      <c r="D273" s="103" t="s">
        <v>1048</v>
      </c>
      <c r="E273" s="103" t="s">
        <v>420</v>
      </c>
      <c r="F273" s="103" t="s">
        <v>436</v>
      </c>
      <c r="G273" s="103" t="s">
        <v>1049</v>
      </c>
      <c r="H273" s="103" t="s">
        <v>1050</v>
      </c>
      <c r="U273" s="133"/>
    </row>
    <row r="274" ht="22.5" customHeight="1">
      <c r="A274" s="102">
        <v>45924.760889375</v>
      </c>
      <c r="B274" s="103" t="s">
        <v>167</v>
      </c>
      <c r="C274" s="135" t="s">
        <v>599</v>
      </c>
      <c r="D274" s="103" t="s">
        <v>600</v>
      </c>
      <c r="E274" s="103" t="s">
        <v>450</v>
      </c>
      <c r="F274" s="103" t="s">
        <v>436</v>
      </c>
      <c r="G274" s="103" t="s">
        <v>161</v>
      </c>
      <c r="H274" s="103" t="s">
        <v>1051</v>
      </c>
      <c r="U274" s="133"/>
    </row>
    <row r="275" ht="22.5" customHeight="1">
      <c r="A275" s="102">
        <v>45931.64623888889</v>
      </c>
      <c r="B275" s="103" t="s">
        <v>304</v>
      </c>
      <c r="C275" s="103" t="s">
        <v>814</v>
      </c>
      <c r="D275" s="103" t="s">
        <v>888</v>
      </c>
      <c r="E275" s="103" t="s">
        <v>427</v>
      </c>
      <c r="F275" s="103" t="s">
        <v>441</v>
      </c>
      <c r="G275" s="103" t="s">
        <v>462</v>
      </c>
      <c r="H275" s="103" t="s">
        <v>1052</v>
      </c>
      <c r="U275" s="133"/>
    </row>
    <row r="276" ht="22.5" customHeight="1">
      <c r="A276" s="102">
        <v>45931.64639127315</v>
      </c>
      <c r="B276" s="103" t="s">
        <v>165</v>
      </c>
      <c r="C276" s="103" t="s">
        <v>847</v>
      </c>
      <c r="D276" s="103" t="s">
        <v>848</v>
      </c>
      <c r="E276" s="103" t="s">
        <v>427</v>
      </c>
      <c r="F276" s="103" t="s">
        <v>436</v>
      </c>
      <c r="G276" s="103" t="s">
        <v>445</v>
      </c>
      <c r="H276" s="103" t="s">
        <v>1053</v>
      </c>
      <c r="U276" s="133"/>
    </row>
    <row r="277" ht="22.5" customHeight="1">
      <c r="A277" s="102">
        <v>45931.64661365741</v>
      </c>
      <c r="B277" s="103" t="s">
        <v>174</v>
      </c>
      <c r="C277" s="103" t="s">
        <v>903</v>
      </c>
      <c r="D277" s="103" t="s">
        <v>638</v>
      </c>
      <c r="E277" s="103" t="s">
        <v>427</v>
      </c>
      <c r="F277" s="103" t="s">
        <v>436</v>
      </c>
      <c r="G277" s="103" t="s">
        <v>172</v>
      </c>
      <c r="H277" s="103" t="s">
        <v>1054</v>
      </c>
      <c r="U277" s="133"/>
    </row>
    <row r="278" ht="22.5" customHeight="1">
      <c r="A278" s="102">
        <v>45931.64675699074</v>
      </c>
      <c r="B278" s="103" t="s">
        <v>380</v>
      </c>
      <c r="C278" s="103" t="s">
        <v>439</v>
      </c>
      <c r="D278" s="103" t="s">
        <v>440</v>
      </c>
      <c r="E278" s="103" t="s">
        <v>427</v>
      </c>
      <c r="F278" s="103" t="s">
        <v>441</v>
      </c>
      <c r="G278" s="103" t="s">
        <v>442</v>
      </c>
      <c r="H278" s="103" t="s">
        <v>1055</v>
      </c>
      <c r="U278" s="133"/>
    </row>
    <row r="279" ht="22.5" customHeight="1">
      <c r="A279" s="102">
        <v>45931.646763055556</v>
      </c>
      <c r="B279" s="103" t="s">
        <v>112</v>
      </c>
      <c r="C279" s="103" t="s">
        <v>434</v>
      </c>
      <c r="D279" s="103" t="s">
        <v>435</v>
      </c>
      <c r="E279" s="103" t="s">
        <v>427</v>
      </c>
      <c r="F279" s="103" t="s">
        <v>436</v>
      </c>
      <c r="G279" s="103" t="s">
        <v>113</v>
      </c>
      <c r="H279" s="103" t="s">
        <v>1056</v>
      </c>
      <c r="U279" s="133"/>
    </row>
    <row r="280" ht="22.5" customHeight="1">
      <c r="A280" s="102">
        <v>45931.64684663195</v>
      </c>
      <c r="B280" s="103" t="s">
        <v>283</v>
      </c>
      <c r="C280" s="103" t="s">
        <v>425</v>
      </c>
      <c r="D280" s="103" t="s">
        <v>426</v>
      </c>
      <c r="E280" s="103" t="s">
        <v>427</v>
      </c>
      <c r="F280" s="103" t="s">
        <v>436</v>
      </c>
      <c r="G280" s="103" t="s">
        <v>428</v>
      </c>
      <c r="H280" s="103" t="s">
        <v>1057</v>
      </c>
      <c r="U280" s="133"/>
    </row>
    <row r="281" ht="22.5" customHeight="1">
      <c r="A281" s="102">
        <v>45931.646888020834</v>
      </c>
      <c r="B281" s="103" t="s">
        <v>296</v>
      </c>
      <c r="C281" s="103" t="s">
        <v>1058</v>
      </c>
      <c r="D281" s="103" t="s">
        <v>1059</v>
      </c>
      <c r="E281" s="103" t="s">
        <v>427</v>
      </c>
      <c r="F281" s="103" t="s">
        <v>436</v>
      </c>
      <c r="G281" s="103" t="s">
        <v>462</v>
      </c>
      <c r="H281" s="103" t="s">
        <v>1060</v>
      </c>
      <c r="U281" s="133"/>
    </row>
    <row r="282" ht="22.5" customHeight="1">
      <c r="A282" s="102">
        <v>45931.64689905093</v>
      </c>
      <c r="B282" s="103" t="s">
        <v>280</v>
      </c>
      <c r="C282" s="103" t="s">
        <v>476</v>
      </c>
      <c r="D282" s="103" t="s">
        <v>477</v>
      </c>
      <c r="E282" s="103" t="s">
        <v>427</v>
      </c>
      <c r="F282" s="103" t="s">
        <v>436</v>
      </c>
      <c r="G282" s="103" t="s">
        <v>478</v>
      </c>
      <c r="H282" s="103" t="s">
        <v>1057</v>
      </c>
      <c r="U282" s="133"/>
    </row>
    <row r="283" ht="22.5" customHeight="1">
      <c r="A283" s="102">
        <v>45931.64705053241</v>
      </c>
      <c r="B283" s="103" t="s">
        <v>285</v>
      </c>
      <c r="C283" s="103" t="s">
        <v>790</v>
      </c>
      <c r="D283" s="103" t="s">
        <v>791</v>
      </c>
      <c r="E283" s="103" t="s">
        <v>427</v>
      </c>
      <c r="F283" s="103" t="s">
        <v>436</v>
      </c>
      <c r="G283" s="103" t="s">
        <v>478</v>
      </c>
      <c r="H283" s="103" t="s">
        <v>1061</v>
      </c>
      <c r="U283" s="133"/>
    </row>
    <row r="284" ht="22.5" customHeight="1">
      <c r="A284" s="102">
        <v>45931.64705677083</v>
      </c>
      <c r="B284" s="103" t="s">
        <v>293</v>
      </c>
      <c r="C284" s="103" t="s">
        <v>448</v>
      </c>
      <c r="D284" s="103" t="s">
        <v>449</v>
      </c>
      <c r="E284" s="103" t="s">
        <v>427</v>
      </c>
      <c r="F284" s="103" t="s">
        <v>436</v>
      </c>
      <c r="G284" s="103" t="s">
        <v>294</v>
      </c>
      <c r="H284" s="103" t="s">
        <v>1062</v>
      </c>
      <c r="U284" s="133"/>
    </row>
    <row r="285" ht="22.5" customHeight="1">
      <c r="A285" s="102">
        <v>45931.647183865745</v>
      </c>
      <c r="B285" s="103" t="s">
        <v>302</v>
      </c>
      <c r="C285" s="103" t="s">
        <v>837</v>
      </c>
      <c r="D285" s="103" t="s">
        <v>838</v>
      </c>
      <c r="E285" s="103" t="s">
        <v>427</v>
      </c>
      <c r="F285" s="103" t="s">
        <v>436</v>
      </c>
      <c r="G285" s="103" t="s">
        <v>294</v>
      </c>
      <c r="H285" s="103" t="s">
        <v>1063</v>
      </c>
      <c r="U285" s="133"/>
    </row>
    <row r="286" ht="22.5" customHeight="1">
      <c r="A286" s="102">
        <v>45931.64722424769</v>
      </c>
      <c r="B286" s="103" t="s">
        <v>391</v>
      </c>
      <c r="C286" s="103" t="s">
        <v>472</v>
      </c>
      <c r="D286" s="103" t="s">
        <v>473</v>
      </c>
      <c r="E286" s="103" t="s">
        <v>427</v>
      </c>
      <c r="F286" s="103" t="s">
        <v>436</v>
      </c>
      <c r="G286" s="103" t="s">
        <v>474</v>
      </c>
      <c r="H286" s="103" t="s">
        <v>1064</v>
      </c>
      <c r="U286" s="133"/>
    </row>
    <row r="287" ht="22.5" customHeight="1">
      <c r="A287" s="102">
        <v>45931.64776222222</v>
      </c>
      <c r="B287" s="103" t="s">
        <v>298</v>
      </c>
      <c r="C287" s="103" t="s">
        <v>460</v>
      </c>
      <c r="D287" s="103" t="s">
        <v>461</v>
      </c>
      <c r="E287" s="103" t="s">
        <v>427</v>
      </c>
      <c r="F287" s="103" t="s">
        <v>436</v>
      </c>
      <c r="G287" s="103" t="s">
        <v>462</v>
      </c>
      <c r="H287" s="103" t="s">
        <v>1065</v>
      </c>
      <c r="U287" s="133"/>
    </row>
    <row r="288" ht="22.5" customHeight="1">
      <c r="A288" s="102">
        <v>45931.64781521991</v>
      </c>
      <c r="B288" s="103" t="s">
        <v>35</v>
      </c>
      <c r="C288" s="103" t="s">
        <v>1066</v>
      </c>
      <c r="D288" s="103" t="s">
        <v>1067</v>
      </c>
      <c r="E288" s="103" t="s">
        <v>427</v>
      </c>
      <c r="F288" s="103" t="s">
        <v>436</v>
      </c>
      <c r="G288" s="103" t="s">
        <v>912</v>
      </c>
      <c r="H288" s="103" t="s">
        <v>1068</v>
      </c>
      <c r="U288" s="133"/>
    </row>
    <row r="289" ht="22.5" customHeight="1">
      <c r="A289" s="102">
        <v>45931.64872858796</v>
      </c>
      <c r="B289" s="103" t="s">
        <v>68</v>
      </c>
      <c r="C289" s="103" t="s">
        <v>825</v>
      </c>
      <c r="D289" s="103" t="s">
        <v>515</v>
      </c>
      <c r="E289" s="103" t="s">
        <v>427</v>
      </c>
      <c r="F289" s="103" t="s">
        <v>436</v>
      </c>
      <c r="G289" s="103" t="s">
        <v>62</v>
      </c>
      <c r="H289" s="103" t="s">
        <v>1069</v>
      </c>
      <c r="U289" s="133"/>
    </row>
    <row r="290" ht="22.5" customHeight="1">
      <c r="A290" s="102">
        <v>45931.6489310301</v>
      </c>
      <c r="B290" s="103" t="s">
        <v>66</v>
      </c>
      <c r="C290" s="103" t="s">
        <v>668</v>
      </c>
      <c r="D290" s="103" t="s">
        <v>689</v>
      </c>
      <c r="E290" s="103" t="s">
        <v>427</v>
      </c>
      <c r="F290" s="103" t="s">
        <v>436</v>
      </c>
      <c r="G290" s="103" t="s">
        <v>62</v>
      </c>
      <c r="H290" s="103" t="s">
        <v>1070</v>
      </c>
      <c r="U290" s="133"/>
    </row>
    <row r="291" ht="22.5" customHeight="1">
      <c r="A291" s="102">
        <v>45931.64924454861</v>
      </c>
      <c r="B291" s="103" t="s">
        <v>115</v>
      </c>
      <c r="C291" s="103" t="s">
        <v>489</v>
      </c>
      <c r="D291" s="103" t="s">
        <v>490</v>
      </c>
      <c r="E291" s="103" t="s">
        <v>427</v>
      </c>
      <c r="F291" s="103" t="s">
        <v>436</v>
      </c>
      <c r="G291" s="103" t="s">
        <v>1071</v>
      </c>
      <c r="H291" s="103" t="s">
        <v>1072</v>
      </c>
      <c r="U291" s="133"/>
    </row>
    <row r="292" ht="22.5" customHeight="1">
      <c r="A292" s="102">
        <v>45931.65002274305</v>
      </c>
      <c r="B292" s="103" t="s">
        <v>145</v>
      </c>
      <c r="C292" s="103" t="s">
        <v>783</v>
      </c>
      <c r="D292" s="103" t="s">
        <v>545</v>
      </c>
      <c r="E292" s="103" t="s">
        <v>427</v>
      </c>
      <c r="F292" s="103" t="s">
        <v>436</v>
      </c>
      <c r="G292" s="103" t="s">
        <v>784</v>
      </c>
      <c r="H292" s="103" t="s">
        <v>1073</v>
      </c>
      <c r="U292" s="133"/>
    </row>
    <row r="293" ht="22.5" customHeight="1">
      <c r="A293" s="102">
        <v>45931.65003454861</v>
      </c>
      <c r="B293" s="103" t="s">
        <v>382</v>
      </c>
      <c r="C293" s="103" t="s">
        <v>468</v>
      </c>
      <c r="D293" s="103" t="s">
        <v>469</v>
      </c>
      <c r="E293" s="103" t="s">
        <v>427</v>
      </c>
      <c r="F293" s="103" t="s">
        <v>436</v>
      </c>
      <c r="G293" s="103" t="s">
        <v>1074</v>
      </c>
      <c r="H293" s="103" t="s">
        <v>1075</v>
      </c>
      <c r="U293" s="133"/>
    </row>
    <row r="294" ht="22.5" customHeight="1">
      <c r="A294" s="102">
        <v>45931.650480254626</v>
      </c>
      <c r="B294" s="103" t="s">
        <v>385</v>
      </c>
      <c r="C294" s="103" t="s">
        <v>465</v>
      </c>
      <c r="D294" s="103" t="s">
        <v>466</v>
      </c>
      <c r="E294" s="103" t="s">
        <v>427</v>
      </c>
      <c r="F294" s="103" t="s">
        <v>436</v>
      </c>
      <c r="G294" s="103" t="s">
        <v>474</v>
      </c>
      <c r="H294" s="103" t="s">
        <v>1076</v>
      </c>
      <c r="U294" s="133"/>
    </row>
    <row r="295" ht="22.5" customHeight="1">
      <c r="A295" s="102">
        <v>45931.65269447917</v>
      </c>
      <c r="B295" s="103" t="s">
        <v>376</v>
      </c>
      <c r="C295" s="103" t="s">
        <v>877</v>
      </c>
      <c r="D295" s="103" t="s">
        <v>878</v>
      </c>
      <c r="E295" s="103" t="s">
        <v>420</v>
      </c>
      <c r="F295" s="103" t="s">
        <v>441</v>
      </c>
      <c r="G295" s="103" t="s">
        <v>442</v>
      </c>
      <c r="H295" s="103" t="s">
        <v>1077</v>
      </c>
      <c r="U295" s="133"/>
    </row>
    <row r="296" ht="22.5" customHeight="1">
      <c r="A296" s="102">
        <v>45931.65888052083</v>
      </c>
      <c r="B296" s="103" t="s">
        <v>268</v>
      </c>
      <c r="C296" s="103" t="s">
        <v>722</v>
      </c>
      <c r="D296" s="103" t="s">
        <v>723</v>
      </c>
      <c r="E296" s="103" t="s">
        <v>639</v>
      </c>
      <c r="F296" s="103" t="s">
        <v>436</v>
      </c>
      <c r="G296" s="103" t="s">
        <v>604</v>
      </c>
      <c r="H296" s="103" t="s">
        <v>1078</v>
      </c>
      <c r="U296" s="133"/>
    </row>
    <row r="297" ht="22.5" customHeight="1">
      <c r="A297" s="102">
        <v>45931.659025127316</v>
      </c>
      <c r="B297" s="103" t="s">
        <v>265</v>
      </c>
      <c r="C297" s="103" t="s">
        <v>733</v>
      </c>
      <c r="D297" s="103" t="s">
        <v>734</v>
      </c>
      <c r="E297" s="103" t="s">
        <v>639</v>
      </c>
      <c r="F297" s="103" t="s">
        <v>436</v>
      </c>
      <c r="G297" s="103" t="s">
        <v>604</v>
      </c>
      <c r="H297" s="103" t="s">
        <v>1079</v>
      </c>
      <c r="U297" s="133"/>
    </row>
    <row r="298" ht="22.5" customHeight="1">
      <c r="A298" s="102">
        <v>45931.65902653935</v>
      </c>
      <c r="B298" s="103" t="s">
        <v>270</v>
      </c>
      <c r="C298" s="103" t="s">
        <v>1080</v>
      </c>
      <c r="D298" s="103" t="s">
        <v>647</v>
      </c>
      <c r="E298" s="103" t="s">
        <v>639</v>
      </c>
      <c r="F298" s="103" t="s">
        <v>436</v>
      </c>
      <c r="G298" s="103" t="s">
        <v>648</v>
      </c>
      <c r="H298" s="103" t="s">
        <v>1081</v>
      </c>
      <c r="U298" s="133"/>
    </row>
    <row r="299" ht="22.5" customHeight="1">
      <c r="A299" s="102">
        <v>45931.6591021875</v>
      </c>
      <c r="B299" s="103" t="s">
        <v>132</v>
      </c>
      <c r="C299" s="103" t="s">
        <v>657</v>
      </c>
      <c r="D299" s="103" t="s">
        <v>660</v>
      </c>
      <c r="E299" s="103" t="s">
        <v>450</v>
      </c>
      <c r="F299" s="103" t="s">
        <v>436</v>
      </c>
      <c r="G299" s="103" t="s">
        <v>831</v>
      </c>
      <c r="H299" s="103" t="s">
        <v>1082</v>
      </c>
      <c r="U299" s="133"/>
    </row>
    <row r="300" ht="22.5" customHeight="1">
      <c r="A300" s="102">
        <v>45931.65915798611</v>
      </c>
      <c r="B300" s="103" t="s">
        <v>361</v>
      </c>
      <c r="C300" s="103" t="s">
        <v>625</v>
      </c>
      <c r="D300" s="103" t="s">
        <v>626</v>
      </c>
      <c r="E300" s="103" t="s">
        <v>450</v>
      </c>
      <c r="F300" s="103" t="s">
        <v>436</v>
      </c>
      <c r="G300" s="103" t="s">
        <v>359</v>
      </c>
      <c r="H300" s="103" t="s">
        <v>1083</v>
      </c>
      <c r="U300" s="133"/>
    </row>
    <row r="301" ht="22.5" customHeight="1">
      <c r="A301" s="102">
        <v>45931.65915821759</v>
      </c>
      <c r="B301" s="103" t="s">
        <v>121</v>
      </c>
      <c r="C301" s="103" t="s">
        <v>940</v>
      </c>
      <c r="D301" s="103" t="s">
        <v>458</v>
      </c>
      <c r="E301" s="103" t="s">
        <v>639</v>
      </c>
      <c r="F301" s="103" t="s">
        <v>436</v>
      </c>
      <c r="G301" s="103" t="s">
        <v>113</v>
      </c>
      <c r="H301" s="103" t="s">
        <v>1084</v>
      </c>
      <c r="U301" s="133"/>
    </row>
    <row r="302" ht="22.5" customHeight="1">
      <c r="A302" s="102">
        <v>45931.659161261574</v>
      </c>
      <c r="B302" s="103" t="s">
        <v>119</v>
      </c>
      <c r="C302" s="103" t="s">
        <v>814</v>
      </c>
      <c r="D302" s="103" t="s">
        <v>493</v>
      </c>
      <c r="E302" s="103" t="s">
        <v>450</v>
      </c>
      <c r="F302" s="103" t="s">
        <v>436</v>
      </c>
      <c r="G302" s="103" t="s">
        <v>113</v>
      </c>
      <c r="H302" s="103" t="s">
        <v>1084</v>
      </c>
      <c r="U302" s="133"/>
    </row>
    <row r="303" ht="22.5" customHeight="1">
      <c r="A303" s="102">
        <v>45931.659206701384</v>
      </c>
      <c r="B303" s="103" t="s">
        <v>358</v>
      </c>
      <c r="C303" s="103" t="s">
        <v>1085</v>
      </c>
      <c r="D303" s="103" t="s">
        <v>801</v>
      </c>
      <c r="E303" s="103" t="s">
        <v>639</v>
      </c>
      <c r="F303" s="103" t="s">
        <v>436</v>
      </c>
      <c r="G303" s="103" t="s">
        <v>359</v>
      </c>
      <c r="H303" s="103" t="s">
        <v>1081</v>
      </c>
      <c r="U303" s="133"/>
    </row>
    <row r="304" ht="22.5" customHeight="1">
      <c r="A304" s="102">
        <v>45931.659281875</v>
      </c>
      <c r="B304" s="103" t="s">
        <v>117</v>
      </c>
      <c r="C304" s="103" t="s">
        <v>1086</v>
      </c>
      <c r="D304" s="103" t="s">
        <v>779</v>
      </c>
      <c r="E304" s="103" t="s">
        <v>450</v>
      </c>
      <c r="F304" s="103" t="s">
        <v>436</v>
      </c>
      <c r="G304" s="103" t="s">
        <v>1071</v>
      </c>
      <c r="H304" s="103" t="s">
        <v>1079</v>
      </c>
      <c r="U304" s="133"/>
    </row>
    <row r="305" ht="22.5" customHeight="1">
      <c r="A305" s="102">
        <v>45931.659292233795</v>
      </c>
      <c r="B305" s="103" t="s">
        <v>291</v>
      </c>
      <c r="C305" s="103" t="s">
        <v>682</v>
      </c>
      <c r="D305" s="103" t="s">
        <v>683</v>
      </c>
      <c r="E305" s="103" t="s">
        <v>639</v>
      </c>
      <c r="F305" s="103" t="s">
        <v>436</v>
      </c>
      <c r="G305" s="103" t="s">
        <v>478</v>
      </c>
      <c r="H305" s="103" t="s">
        <v>1079</v>
      </c>
      <c r="U305" s="133"/>
    </row>
    <row r="306" ht="22.5" customHeight="1">
      <c r="A306" s="102">
        <v>45931.65930112269</v>
      </c>
      <c r="B306" s="103" t="s">
        <v>130</v>
      </c>
      <c r="C306" s="103" t="s">
        <v>557</v>
      </c>
      <c r="D306" s="103" t="s">
        <v>558</v>
      </c>
      <c r="E306" s="103" t="s">
        <v>639</v>
      </c>
      <c r="F306" s="103" t="s">
        <v>436</v>
      </c>
      <c r="G306" s="103" t="s">
        <v>1087</v>
      </c>
      <c r="H306" s="103" t="s">
        <v>1088</v>
      </c>
      <c r="U306" s="133"/>
    </row>
    <row r="307" ht="22.5" customHeight="1">
      <c r="A307" s="102">
        <v>45931.65931707176</v>
      </c>
      <c r="B307" s="103" t="s">
        <v>64</v>
      </c>
      <c r="C307" s="103" t="s">
        <v>1089</v>
      </c>
      <c r="D307" s="103" t="s">
        <v>1090</v>
      </c>
      <c r="E307" s="103" t="s">
        <v>639</v>
      </c>
      <c r="F307" s="103" t="s">
        <v>436</v>
      </c>
      <c r="G307" s="103" t="s">
        <v>62</v>
      </c>
      <c r="H307" s="103" t="s">
        <v>1091</v>
      </c>
      <c r="U307" s="133"/>
    </row>
    <row r="308" ht="22.5" customHeight="1">
      <c r="A308" s="102">
        <v>45931.65945341435</v>
      </c>
      <c r="B308" s="103" t="s">
        <v>278</v>
      </c>
      <c r="C308" s="103" t="s">
        <v>622</v>
      </c>
      <c r="D308" s="103" t="s">
        <v>623</v>
      </c>
      <c r="E308" s="103" t="s">
        <v>450</v>
      </c>
      <c r="F308" s="103" t="s">
        <v>436</v>
      </c>
      <c r="G308" s="103" t="s">
        <v>1092</v>
      </c>
      <c r="H308" s="103" t="s">
        <v>1093</v>
      </c>
      <c r="U308" s="133"/>
    </row>
    <row r="309" ht="22.5" customHeight="1">
      <c r="A309" s="102">
        <v>45931.65945579861</v>
      </c>
      <c r="B309" s="103" t="s">
        <v>134</v>
      </c>
      <c r="C309" s="103" t="s">
        <v>643</v>
      </c>
      <c r="D309" s="103" t="s">
        <v>644</v>
      </c>
      <c r="E309" s="103" t="s">
        <v>450</v>
      </c>
      <c r="F309" s="103" t="s">
        <v>436</v>
      </c>
      <c r="G309" s="103" t="s">
        <v>124</v>
      </c>
      <c r="H309" s="103" t="s">
        <v>1079</v>
      </c>
      <c r="U309" s="133"/>
    </row>
    <row r="310" ht="22.5" customHeight="1">
      <c r="A310" s="102">
        <v>45931.65950297454</v>
      </c>
      <c r="B310" s="103" t="s">
        <v>61</v>
      </c>
      <c r="C310" s="103" t="s">
        <v>741</v>
      </c>
      <c r="D310" s="103" t="s">
        <v>761</v>
      </c>
      <c r="E310" s="103" t="s">
        <v>639</v>
      </c>
      <c r="F310" s="103" t="s">
        <v>436</v>
      </c>
      <c r="G310" s="103" t="s">
        <v>62</v>
      </c>
      <c r="H310" s="103" t="s">
        <v>1094</v>
      </c>
      <c r="U310" s="133"/>
    </row>
    <row r="311" ht="22.5" customHeight="1">
      <c r="A311" s="102">
        <v>45931.659550185184</v>
      </c>
      <c r="B311" s="103" t="s">
        <v>210</v>
      </c>
      <c r="C311" s="103" t="s">
        <v>711</v>
      </c>
      <c r="D311" s="103" t="s">
        <v>712</v>
      </c>
      <c r="E311" s="103" t="s">
        <v>639</v>
      </c>
      <c r="F311" s="103" t="s">
        <v>436</v>
      </c>
      <c r="G311" s="103" t="s">
        <v>211</v>
      </c>
      <c r="H311" s="103" t="s">
        <v>1095</v>
      </c>
      <c r="U311" s="133"/>
    </row>
    <row r="312" ht="22.5" customHeight="1">
      <c r="A312" s="102">
        <v>45931.65955105324</v>
      </c>
      <c r="B312" s="103" t="s">
        <v>147</v>
      </c>
      <c r="C312" s="103" t="s">
        <v>780</v>
      </c>
      <c r="D312" s="103" t="s">
        <v>781</v>
      </c>
      <c r="E312" s="103" t="s">
        <v>450</v>
      </c>
      <c r="F312" s="103" t="s">
        <v>436</v>
      </c>
      <c r="G312" s="103" t="s">
        <v>725</v>
      </c>
      <c r="H312" s="103" t="s">
        <v>1094</v>
      </c>
      <c r="U312" s="133"/>
    </row>
    <row r="313" ht="22.5" customHeight="1">
      <c r="A313" s="102">
        <v>45931.659618425925</v>
      </c>
      <c r="B313" s="103" t="s">
        <v>152</v>
      </c>
      <c r="C313" s="103" t="s">
        <v>768</v>
      </c>
      <c r="D313" s="103" t="s">
        <v>769</v>
      </c>
      <c r="E313" s="103" t="s">
        <v>639</v>
      </c>
      <c r="F313" s="103" t="s">
        <v>436</v>
      </c>
      <c r="G313" s="103" t="s">
        <v>770</v>
      </c>
      <c r="H313" s="103" t="s">
        <v>1091</v>
      </c>
      <c r="U313" s="133"/>
    </row>
    <row r="314" ht="22.5" customHeight="1">
      <c r="A314" s="102">
        <v>45931.65964694445</v>
      </c>
      <c r="B314" s="103" t="s">
        <v>289</v>
      </c>
      <c r="C314" s="103" t="s">
        <v>735</v>
      </c>
      <c r="D314" s="103" t="s">
        <v>736</v>
      </c>
      <c r="E314" s="103" t="s">
        <v>639</v>
      </c>
      <c r="F314" s="103" t="s">
        <v>436</v>
      </c>
      <c r="G314" s="103" t="s">
        <v>428</v>
      </c>
      <c r="H314" s="103" t="s">
        <v>1096</v>
      </c>
      <c r="U314" s="133"/>
    </row>
    <row r="315" ht="22.5" customHeight="1">
      <c r="A315" s="102">
        <v>45931.659937372686</v>
      </c>
      <c r="B315" s="103" t="s">
        <v>152</v>
      </c>
      <c r="C315" s="103" t="s">
        <v>962</v>
      </c>
      <c r="D315" s="103" t="s">
        <v>769</v>
      </c>
      <c r="E315" s="103" t="s">
        <v>639</v>
      </c>
      <c r="F315" s="103" t="s">
        <v>436</v>
      </c>
      <c r="G315" s="103" t="s">
        <v>770</v>
      </c>
      <c r="H315" s="103" t="s">
        <v>1091</v>
      </c>
      <c r="U315" s="133"/>
    </row>
    <row r="316" ht="22.5" customHeight="1">
      <c r="A316" s="102">
        <v>45931.660370196754</v>
      </c>
      <c r="B316" s="103" t="s">
        <v>77</v>
      </c>
      <c r="C316" s="103" t="s">
        <v>701</v>
      </c>
      <c r="D316" s="103" t="s">
        <v>458</v>
      </c>
      <c r="E316" s="103" t="s">
        <v>494</v>
      </c>
      <c r="F316" s="103" t="s">
        <v>441</v>
      </c>
      <c r="G316" s="103" t="s">
        <v>71</v>
      </c>
      <c r="H316" s="103" t="s">
        <v>1091</v>
      </c>
      <c r="U316" s="133"/>
    </row>
    <row r="317" ht="22.5" customHeight="1">
      <c r="A317" s="102">
        <v>45931.6604097338</v>
      </c>
      <c r="B317" s="103" t="s">
        <v>169</v>
      </c>
      <c r="C317" s="103" t="s">
        <v>676</v>
      </c>
      <c r="D317" s="103" t="s">
        <v>677</v>
      </c>
      <c r="E317" s="103" t="s">
        <v>450</v>
      </c>
      <c r="F317" s="103" t="s">
        <v>436</v>
      </c>
      <c r="G317" s="103" t="s">
        <v>445</v>
      </c>
      <c r="H317" s="103" t="s">
        <v>1097</v>
      </c>
      <c r="U317" s="133"/>
    </row>
    <row r="318" ht="22.5" customHeight="1">
      <c r="A318" s="102">
        <v>45931.660777627316</v>
      </c>
      <c r="B318" s="103" t="s">
        <v>27</v>
      </c>
      <c r="C318" s="103" t="s">
        <v>1098</v>
      </c>
      <c r="D318" s="103" t="s">
        <v>947</v>
      </c>
      <c r="E318" s="103" t="s">
        <v>639</v>
      </c>
      <c r="F318" s="103" t="s">
        <v>436</v>
      </c>
      <c r="G318" s="103" t="s">
        <v>912</v>
      </c>
      <c r="H318" s="103" t="s">
        <v>1099</v>
      </c>
      <c r="U318" s="133"/>
    </row>
    <row r="319" ht="22.5" customHeight="1">
      <c r="A319" s="102">
        <v>45931.661181504634</v>
      </c>
      <c r="B319" s="103" t="s">
        <v>208</v>
      </c>
      <c r="C319" s="103" t="s">
        <v>701</v>
      </c>
      <c r="D319" s="103" t="s">
        <v>1022</v>
      </c>
      <c r="E319" s="103" t="s">
        <v>420</v>
      </c>
      <c r="F319" s="103" t="s">
        <v>436</v>
      </c>
      <c r="G319" s="103" t="s">
        <v>198</v>
      </c>
      <c r="H319" s="103" t="s">
        <v>1100</v>
      </c>
      <c r="U319" s="133"/>
    </row>
    <row r="320" ht="22.5" customHeight="1">
      <c r="A320" s="102">
        <v>45931.66118512732</v>
      </c>
      <c r="B320" s="103" t="s">
        <v>167</v>
      </c>
      <c r="C320" s="103" t="s">
        <v>599</v>
      </c>
      <c r="D320" s="103" t="s">
        <v>600</v>
      </c>
      <c r="E320" s="103" t="s">
        <v>420</v>
      </c>
      <c r="F320" s="103" t="s">
        <v>436</v>
      </c>
      <c r="G320" s="103" t="s">
        <v>445</v>
      </c>
      <c r="H320" s="103" t="s">
        <v>1101</v>
      </c>
      <c r="U320" s="133"/>
    </row>
    <row r="321" ht="22.5" customHeight="1">
      <c r="A321" s="102">
        <v>45931.66130201389</v>
      </c>
      <c r="B321" s="103" t="s">
        <v>673</v>
      </c>
      <c r="C321" s="103" t="s">
        <v>674</v>
      </c>
      <c r="D321" s="103" t="s">
        <v>581</v>
      </c>
      <c r="E321" s="103" t="s">
        <v>639</v>
      </c>
      <c r="F321" s="103" t="s">
        <v>436</v>
      </c>
      <c r="G321" s="103" t="s">
        <v>359</v>
      </c>
      <c r="H321" s="103" t="s">
        <v>1102</v>
      </c>
      <c r="U321" s="133"/>
    </row>
    <row r="322" ht="22.5" customHeight="1">
      <c r="A322" s="102">
        <v>45931.66199552083</v>
      </c>
      <c r="B322" s="103" t="s">
        <v>108</v>
      </c>
      <c r="C322" s="103" t="s">
        <v>525</v>
      </c>
      <c r="D322" s="103" t="s">
        <v>526</v>
      </c>
      <c r="E322" s="103" t="s">
        <v>494</v>
      </c>
      <c r="F322" s="103" t="s">
        <v>436</v>
      </c>
      <c r="G322" s="103" t="s">
        <v>527</v>
      </c>
      <c r="H322" s="103" t="s">
        <v>1103</v>
      </c>
      <c r="U322" s="133"/>
    </row>
    <row r="323" ht="22.5" customHeight="1">
      <c r="A323" s="102">
        <v>45931.66205871528</v>
      </c>
      <c r="B323" s="103" t="s">
        <v>53</v>
      </c>
      <c r="C323" s="103" t="s">
        <v>1104</v>
      </c>
      <c r="D323" s="103" t="s">
        <v>1105</v>
      </c>
      <c r="E323" s="103" t="s">
        <v>494</v>
      </c>
      <c r="F323" s="103" t="s">
        <v>436</v>
      </c>
      <c r="G323" s="103" t="s">
        <v>49</v>
      </c>
      <c r="H323" s="103" t="s">
        <v>1106</v>
      </c>
      <c r="U323" s="133"/>
    </row>
    <row r="324" ht="22.5" customHeight="1">
      <c r="A324" s="102">
        <v>45931.66211447917</v>
      </c>
      <c r="B324" s="103" t="s">
        <v>55</v>
      </c>
      <c r="C324" s="103" t="s">
        <v>1107</v>
      </c>
      <c r="D324" s="103" t="s">
        <v>1108</v>
      </c>
      <c r="E324" s="103" t="s">
        <v>494</v>
      </c>
      <c r="F324" s="103" t="s">
        <v>436</v>
      </c>
      <c r="G324" s="103" t="s">
        <v>1109</v>
      </c>
      <c r="H324" s="103" t="s">
        <v>1110</v>
      </c>
      <c r="U324" s="133"/>
    </row>
    <row r="325" ht="22.5" customHeight="1">
      <c r="A325" s="102">
        <v>45931.66213939815</v>
      </c>
      <c r="B325" s="103" t="s">
        <v>104</v>
      </c>
      <c r="C325" s="103" t="s">
        <v>522</v>
      </c>
      <c r="D325" s="103" t="s">
        <v>523</v>
      </c>
      <c r="E325" s="103" t="s">
        <v>494</v>
      </c>
      <c r="F325" s="103" t="s">
        <v>436</v>
      </c>
      <c r="G325" s="103" t="s">
        <v>98</v>
      </c>
      <c r="H325" s="103" t="s">
        <v>1111</v>
      </c>
      <c r="U325" s="133"/>
    </row>
    <row r="326" ht="22.5" customHeight="1">
      <c r="A326" s="102">
        <v>45931.66213885417</v>
      </c>
      <c r="B326" s="103" t="s">
        <v>126</v>
      </c>
      <c r="C326" s="103" t="s">
        <v>1112</v>
      </c>
      <c r="D326" s="103" t="s">
        <v>1113</v>
      </c>
      <c r="E326" s="103" t="s">
        <v>450</v>
      </c>
      <c r="F326" s="103" t="s">
        <v>436</v>
      </c>
      <c r="G326" s="103" t="s">
        <v>942</v>
      </c>
      <c r="H326" s="103" t="s">
        <v>1114</v>
      </c>
      <c r="U326" s="133"/>
    </row>
    <row r="327" ht="22.5" customHeight="1">
      <c r="A327" s="102">
        <v>45931.662156307866</v>
      </c>
      <c r="B327" s="103" t="s">
        <v>123</v>
      </c>
      <c r="C327" s="103" t="s">
        <v>829</v>
      </c>
      <c r="D327" s="103" t="s">
        <v>654</v>
      </c>
      <c r="E327" s="103" t="s">
        <v>450</v>
      </c>
      <c r="F327" s="103" t="s">
        <v>436</v>
      </c>
      <c r="G327" s="103" t="s">
        <v>124</v>
      </c>
      <c r="H327" s="103" t="s">
        <v>1079</v>
      </c>
      <c r="U327" s="133"/>
    </row>
    <row r="328" ht="22.5" customHeight="1">
      <c r="A328" s="102">
        <v>45931.66222493055</v>
      </c>
      <c r="B328" s="103" t="s">
        <v>128</v>
      </c>
      <c r="C328" s="103" t="s">
        <v>561</v>
      </c>
      <c r="D328" s="103" t="s">
        <v>830</v>
      </c>
      <c r="E328" s="103" t="s">
        <v>450</v>
      </c>
      <c r="F328" s="103" t="s">
        <v>436</v>
      </c>
      <c r="G328" s="103" t="s">
        <v>124</v>
      </c>
      <c r="H328" s="103" t="s">
        <v>1091</v>
      </c>
      <c r="U328" s="133"/>
    </row>
    <row r="329" ht="22.5" customHeight="1">
      <c r="A329" s="102">
        <v>45931.66243480324</v>
      </c>
      <c r="B329" s="103" t="s">
        <v>156</v>
      </c>
      <c r="C329" s="103" t="s">
        <v>528</v>
      </c>
      <c r="D329" s="103" t="s">
        <v>529</v>
      </c>
      <c r="E329" s="103" t="s">
        <v>494</v>
      </c>
      <c r="F329" s="103" t="s">
        <v>436</v>
      </c>
      <c r="G329" s="103" t="s">
        <v>1115</v>
      </c>
      <c r="H329" s="103" t="s">
        <v>1116</v>
      </c>
      <c r="U329" s="133"/>
    </row>
    <row r="330" ht="22.5" customHeight="1">
      <c r="A330" s="102">
        <v>45931.66243704861</v>
      </c>
      <c r="B330" s="103" t="s">
        <v>88</v>
      </c>
      <c r="C330" s="103" t="s">
        <v>1117</v>
      </c>
      <c r="D330" s="103" t="s">
        <v>1118</v>
      </c>
      <c r="E330" s="103" t="s">
        <v>494</v>
      </c>
      <c r="F330" s="103" t="s">
        <v>436</v>
      </c>
      <c r="G330" s="103" t="s">
        <v>422</v>
      </c>
      <c r="H330" s="103" t="s">
        <v>1119</v>
      </c>
      <c r="U330" s="133"/>
    </row>
    <row r="331" ht="22.5" customHeight="1">
      <c r="A331" s="102">
        <v>45931.66267883102</v>
      </c>
      <c r="B331" s="103" t="s">
        <v>81</v>
      </c>
      <c r="C331" s="103" t="s">
        <v>569</v>
      </c>
      <c r="D331" s="103" t="s">
        <v>461</v>
      </c>
      <c r="E331" s="103" t="s">
        <v>494</v>
      </c>
      <c r="F331" s="103" t="s">
        <v>436</v>
      </c>
      <c r="G331" s="103" t="s">
        <v>495</v>
      </c>
      <c r="H331" s="103" t="s">
        <v>1120</v>
      </c>
      <c r="U331" s="133"/>
    </row>
    <row r="332" ht="22.5" customHeight="1">
      <c r="A332" s="102">
        <v>45931.662702870366</v>
      </c>
      <c r="B332" s="103" t="s">
        <v>263</v>
      </c>
      <c r="C332" s="103" t="s">
        <v>505</v>
      </c>
      <c r="D332" s="103" t="s">
        <v>506</v>
      </c>
      <c r="E332" s="103" t="s">
        <v>494</v>
      </c>
      <c r="F332" s="103" t="s">
        <v>436</v>
      </c>
      <c r="G332" s="103" t="s">
        <v>255</v>
      </c>
      <c r="H332" s="103" t="s">
        <v>1121</v>
      </c>
      <c r="U332" s="133"/>
    </row>
    <row r="333" ht="22.5" customHeight="1">
      <c r="A333" s="102">
        <v>45931.66272152778</v>
      </c>
      <c r="B333" s="103" t="s">
        <v>354</v>
      </c>
      <c r="C333" s="103" t="s">
        <v>518</v>
      </c>
      <c r="D333" s="103" t="s">
        <v>519</v>
      </c>
      <c r="E333" s="103" t="s">
        <v>494</v>
      </c>
      <c r="F333" s="103" t="s">
        <v>436</v>
      </c>
      <c r="G333" s="103" t="s">
        <v>932</v>
      </c>
      <c r="H333" s="103" t="s">
        <v>1122</v>
      </c>
      <c r="U333" s="133"/>
    </row>
    <row r="334" ht="22.5" customHeight="1">
      <c r="A334" s="102">
        <v>45931.662733414356</v>
      </c>
      <c r="B334" s="103" t="s">
        <v>102</v>
      </c>
      <c r="C334" s="103" t="s">
        <v>508</v>
      </c>
      <c r="D334" s="103" t="s">
        <v>509</v>
      </c>
      <c r="E334" s="103" t="s">
        <v>494</v>
      </c>
      <c r="F334" s="103" t="s">
        <v>436</v>
      </c>
      <c r="G334" s="103" t="s">
        <v>1123</v>
      </c>
      <c r="H334" s="103" t="s">
        <v>1124</v>
      </c>
      <c r="U334" s="133"/>
    </row>
    <row r="335" ht="22.5" customHeight="1">
      <c r="A335" s="102">
        <v>45931.6627671412</v>
      </c>
      <c r="B335" s="103" t="s">
        <v>108</v>
      </c>
      <c r="C335" s="103" t="s">
        <v>525</v>
      </c>
      <c r="D335" s="103" t="s">
        <v>526</v>
      </c>
      <c r="E335" s="103" t="s">
        <v>494</v>
      </c>
      <c r="F335" s="103" t="s">
        <v>436</v>
      </c>
      <c r="G335" s="103" t="s">
        <v>527</v>
      </c>
      <c r="H335" s="103" t="s">
        <v>1125</v>
      </c>
      <c r="U335" s="133"/>
    </row>
    <row r="336" ht="22.5" customHeight="1">
      <c r="A336" s="102">
        <v>45931.66276960648</v>
      </c>
      <c r="B336" s="103" t="s">
        <v>110</v>
      </c>
      <c r="C336" s="103" t="s">
        <v>514</v>
      </c>
      <c r="D336" s="103" t="s">
        <v>515</v>
      </c>
      <c r="E336" s="103" t="s">
        <v>494</v>
      </c>
      <c r="F336" s="103" t="s">
        <v>436</v>
      </c>
      <c r="G336" s="103" t="s">
        <v>944</v>
      </c>
      <c r="H336" s="103" t="s">
        <v>1126</v>
      </c>
      <c r="U336" s="133"/>
    </row>
    <row r="337" ht="22.5" customHeight="1">
      <c r="A337" s="102">
        <v>45931.66284121528</v>
      </c>
      <c r="B337" s="103" t="s">
        <v>83</v>
      </c>
      <c r="C337" s="103" t="s">
        <v>559</v>
      </c>
      <c r="D337" s="103" t="s">
        <v>560</v>
      </c>
      <c r="E337" s="103" t="s">
        <v>494</v>
      </c>
      <c r="F337" s="103" t="s">
        <v>436</v>
      </c>
      <c r="G337" s="103" t="s">
        <v>1127</v>
      </c>
      <c r="H337" s="103" t="s">
        <v>1128</v>
      </c>
      <c r="U337" s="133"/>
    </row>
    <row r="338" ht="22.5" customHeight="1">
      <c r="A338" s="102">
        <v>45931.66289450231</v>
      </c>
      <c r="B338" s="103" t="s">
        <v>332</v>
      </c>
      <c r="C338" s="103" t="s">
        <v>445</v>
      </c>
      <c r="D338" s="103" t="s">
        <v>739</v>
      </c>
      <c r="E338" s="103" t="s">
        <v>420</v>
      </c>
      <c r="F338" s="103" t="s">
        <v>441</v>
      </c>
      <c r="G338" s="103" t="s">
        <v>699</v>
      </c>
      <c r="H338" s="103" t="s">
        <v>1129</v>
      </c>
      <c r="U338" s="133"/>
    </row>
    <row r="339" ht="22.5" customHeight="1">
      <c r="A339" s="102">
        <v>45931.66292004629</v>
      </c>
      <c r="B339" s="103" t="s">
        <v>254</v>
      </c>
      <c r="C339" s="103" t="s">
        <v>565</v>
      </c>
      <c r="D339" s="103" t="s">
        <v>566</v>
      </c>
      <c r="E339" s="103" t="s">
        <v>494</v>
      </c>
      <c r="F339" s="103" t="s">
        <v>436</v>
      </c>
      <c r="G339" s="103" t="s">
        <v>495</v>
      </c>
      <c r="H339" s="103" t="s">
        <v>1130</v>
      </c>
      <c r="U339" s="133"/>
    </row>
    <row r="340" ht="22.5" customHeight="1">
      <c r="A340" s="102">
        <v>45931.662977025466</v>
      </c>
      <c r="B340" s="103" t="s">
        <v>70</v>
      </c>
      <c r="C340" s="103" t="s">
        <v>725</v>
      </c>
      <c r="D340" s="103" t="s">
        <v>726</v>
      </c>
      <c r="E340" s="103" t="s">
        <v>639</v>
      </c>
      <c r="F340" s="103" t="s">
        <v>436</v>
      </c>
      <c r="G340" s="103" t="s">
        <v>905</v>
      </c>
      <c r="H340" s="103" t="s">
        <v>1091</v>
      </c>
      <c r="U340" s="133"/>
    </row>
    <row r="341" ht="22.5" customHeight="1">
      <c r="A341" s="102">
        <v>45931.66306175926</v>
      </c>
      <c r="B341" s="103" t="s">
        <v>193</v>
      </c>
      <c r="C341" s="103" t="s">
        <v>549</v>
      </c>
      <c r="D341" s="103" t="s">
        <v>550</v>
      </c>
      <c r="E341" s="103" t="s">
        <v>494</v>
      </c>
      <c r="F341" s="103" t="s">
        <v>436</v>
      </c>
      <c r="G341" s="103" t="s">
        <v>503</v>
      </c>
      <c r="H341" s="103" t="s">
        <v>1131</v>
      </c>
      <c r="U341" s="133"/>
    </row>
    <row r="342" ht="22.5" customHeight="1">
      <c r="A342" s="102">
        <v>45931.66315489583</v>
      </c>
      <c r="B342" s="103" t="s">
        <v>156</v>
      </c>
      <c r="C342" s="103" t="s">
        <v>528</v>
      </c>
      <c r="D342" s="103" t="s">
        <v>529</v>
      </c>
      <c r="E342" s="103" t="s">
        <v>494</v>
      </c>
      <c r="F342" s="103" t="s">
        <v>436</v>
      </c>
      <c r="G342" s="103" t="s">
        <v>148</v>
      </c>
      <c r="H342" s="103" t="s">
        <v>1116</v>
      </c>
      <c r="U342" s="133"/>
    </row>
    <row r="343" ht="22.5" customHeight="1">
      <c r="A343" s="102">
        <v>45931.66325600694</v>
      </c>
      <c r="B343" s="103" t="s">
        <v>356</v>
      </c>
      <c r="C343" s="103" t="s">
        <v>544</v>
      </c>
      <c r="D343" s="103" t="s">
        <v>545</v>
      </c>
      <c r="E343" s="103" t="s">
        <v>494</v>
      </c>
      <c r="F343" s="103" t="s">
        <v>436</v>
      </c>
      <c r="G343" s="103" t="s">
        <v>1132</v>
      </c>
      <c r="H343" s="103" t="s">
        <v>1133</v>
      </c>
      <c r="U343" s="133"/>
    </row>
    <row r="344" ht="22.5" customHeight="1">
      <c r="A344" s="102">
        <v>45931.66339887731</v>
      </c>
      <c r="B344" s="103" t="s">
        <v>154</v>
      </c>
      <c r="C344" s="103" t="s">
        <v>1134</v>
      </c>
      <c r="D344" s="103" t="s">
        <v>435</v>
      </c>
      <c r="E344" s="103" t="s">
        <v>494</v>
      </c>
      <c r="F344" s="103" t="s">
        <v>436</v>
      </c>
      <c r="G344" s="103" t="s">
        <v>148</v>
      </c>
      <c r="H344" s="103" t="s">
        <v>1135</v>
      </c>
      <c r="U344" s="133"/>
    </row>
    <row r="345" ht="22.5" customHeight="1">
      <c r="A345" s="102">
        <v>45931.66342012731</v>
      </c>
      <c r="B345" s="103" t="s">
        <v>352</v>
      </c>
      <c r="C345" s="103" t="s">
        <v>555</v>
      </c>
      <c r="D345" s="103" t="s">
        <v>556</v>
      </c>
      <c r="E345" s="103" t="s">
        <v>494</v>
      </c>
      <c r="F345" s="103" t="s">
        <v>436</v>
      </c>
      <c r="G345" s="103" t="s">
        <v>1136</v>
      </c>
      <c r="H345" s="103" t="s">
        <v>1137</v>
      </c>
      <c r="U345" s="133"/>
    </row>
    <row r="346" ht="22.5" customHeight="1">
      <c r="A346" s="102">
        <v>45931.663717800926</v>
      </c>
      <c r="B346" s="103" t="s">
        <v>59</v>
      </c>
      <c r="C346" s="103" t="s">
        <v>919</v>
      </c>
      <c r="D346" s="103" t="s">
        <v>548</v>
      </c>
      <c r="E346" s="103" t="s">
        <v>494</v>
      </c>
      <c r="F346" s="103" t="s">
        <v>436</v>
      </c>
      <c r="G346" s="103" t="s">
        <v>49</v>
      </c>
      <c r="H346" s="103" t="s">
        <v>1138</v>
      </c>
      <c r="U346" s="133"/>
    </row>
    <row r="347" ht="22.5" customHeight="1">
      <c r="A347" s="102">
        <v>45931.66506519676</v>
      </c>
      <c r="B347" s="103" t="s">
        <v>235</v>
      </c>
      <c r="C347" s="103" t="s">
        <v>1139</v>
      </c>
      <c r="D347" s="103" t="s">
        <v>891</v>
      </c>
      <c r="E347" s="103" t="s">
        <v>578</v>
      </c>
      <c r="F347" s="103" t="s">
        <v>436</v>
      </c>
      <c r="G347" s="103" t="s">
        <v>892</v>
      </c>
      <c r="H347" s="103" t="s">
        <v>1140</v>
      </c>
      <c r="U347" s="133"/>
    </row>
    <row r="348" ht="22.5" customHeight="1">
      <c r="A348" s="102">
        <v>45931.66508987268</v>
      </c>
      <c r="B348" s="103" t="s">
        <v>221</v>
      </c>
      <c r="C348" s="103" t="s">
        <v>787</v>
      </c>
      <c r="D348" s="103" t="s">
        <v>651</v>
      </c>
      <c r="E348" s="103" t="s">
        <v>450</v>
      </c>
      <c r="F348" s="103" t="s">
        <v>436</v>
      </c>
      <c r="G348" s="103" t="s">
        <v>820</v>
      </c>
      <c r="H348" s="103" t="s">
        <v>1141</v>
      </c>
      <c r="U348" s="133"/>
    </row>
    <row r="349" ht="22.5" customHeight="1">
      <c r="A349" s="102">
        <v>45931.66509351852</v>
      </c>
      <c r="B349" s="103" t="s">
        <v>252</v>
      </c>
      <c r="C349" s="103" t="s">
        <v>901</v>
      </c>
      <c r="D349" s="103" t="s">
        <v>614</v>
      </c>
      <c r="E349" s="103" t="s">
        <v>578</v>
      </c>
      <c r="F349" s="103" t="s">
        <v>436</v>
      </c>
      <c r="G349" s="103" t="s">
        <v>615</v>
      </c>
      <c r="H349" s="103" t="s">
        <v>1142</v>
      </c>
      <c r="U349" s="133"/>
    </row>
    <row r="350" ht="22.5" customHeight="1">
      <c r="A350" s="102">
        <v>45931.665153344904</v>
      </c>
      <c r="B350" s="103" t="s">
        <v>16</v>
      </c>
      <c r="C350" s="103" t="s">
        <v>771</v>
      </c>
      <c r="D350" s="103" t="s">
        <v>772</v>
      </c>
      <c r="E350" s="103" t="s">
        <v>420</v>
      </c>
      <c r="F350" s="103" t="s">
        <v>436</v>
      </c>
      <c r="G350" s="103" t="s">
        <v>10</v>
      </c>
      <c r="H350" s="103" t="s">
        <v>1143</v>
      </c>
      <c r="U350" s="133"/>
    </row>
    <row r="351" ht="22.5" customHeight="1">
      <c r="A351" s="102">
        <v>45931.665153229165</v>
      </c>
      <c r="B351" s="103" t="s">
        <v>237</v>
      </c>
      <c r="C351" s="103" t="s">
        <v>861</v>
      </c>
      <c r="D351" s="103" t="s">
        <v>862</v>
      </c>
      <c r="E351" s="103" t="s">
        <v>578</v>
      </c>
      <c r="F351" s="103" t="s">
        <v>436</v>
      </c>
      <c r="G351" s="103" t="s">
        <v>892</v>
      </c>
      <c r="H351" s="103" t="s">
        <v>1140</v>
      </c>
      <c r="U351" s="133"/>
    </row>
    <row r="352" ht="22.5" customHeight="1">
      <c r="A352" s="102">
        <v>45931.665175092596</v>
      </c>
      <c r="B352" s="103" t="s">
        <v>242</v>
      </c>
      <c r="C352" s="103" t="s">
        <v>679</v>
      </c>
      <c r="D352" s="103" t="s">
        <v>680</v>
      </c>
      <c r="E352" s="103" t="s">
        <v>578</v>
      </c>
      <c r="F352" s="103" t="s">
        <v>436</v>
      </c>
      <c r="G352" s="103" t="s">
        <v>615</v>
      </c>
      <c r="H352" s="103" t="s">
        <v>1144</v>
      </c>
      <c r="U352" s="133"/>
    </row>
    <row r="353" ht="22.5" customHeight="1">
      <c r="A353" s="102">
        <v>45931.66519451389</v>
      </c>
      <c r="B353" s="103" t="s">
        <v>334</v>
      </c>
      <c r="C353" s="103" t="s">
        <v>1145</v>
      </c>
      <c r="D353" s="103" t="s">
        <v>1146</v>
      </c>
      <c r="E353" s="103" t="s">
        <v>578</v>
      </c>
      <c r="F353" s="103" t="s">
        <v>441</v>
      </c>
      <c r="G353" s="103" t="s">
        <v>335</v>
      </c>
      <c r="H353" s="103" t="s">
        <v>1100</v>
      </c>
      <c r="U353" s="133"/>
    </row>
    <row r="354" ht="22.5" customHeight="1">
      <c r="A354" s="102">
        <v>45931.66525844907</v>
      </c>
      <c r="B354" s="103" t="s">
        <v>202</v>
      </c>
      <c r="C354" s="103" t="s">
        <v>634</v>
      </c>
      <c r="D354" s="103" t="s">
        <v>635</v>
      </c>
      <c r="E354" s="103" t="s">
        <v>420</v>
      </c>
      <c r="F354" s="103" t="s">
        <v>436</v>
      </c>
      <c r="G354" s="103" t="s">
        <v>198</v>
      </c>
      <c r="H354" s="103" t="s">
        <v>1147</v>
      </c>
      <c r="U354" s="133"/>
    </row>
    <row r="355" ht="22.5" customHeight="1">
      <c r="A355" s="102">
        <v>45931.66529076389</v>
      </c>
      <c r="B355" s="103" t="s">
        <v>14</v>
      </c>
      <c r="C355" s="103" t="s">
        <v>1004</v>
      </c>
      <c r="D355" s="103" t="s">
        <v>719</v>
      </c>
      <c r="E355" s="103" t="s">
        <v>420</v>
      </c>
      <c r="F355" s="103" t="s">
        <v>436</v>
      </c>
      <c r="G355" s="103" t="s">
        <v>720</v>
      </c>
      <c r="H355" s="103" t="s">
        <v>1100</v>
      </c>
      <c r="U355" s="133"/>
    </row>
    <row r="356" ht="22.5" customHeight="1">
      <c r="A356" s="102">
        <v>45931.66529131944</v>
      </c>
      <c r="B356" s="103" t="s">
        <v>326</v>
      </c>
      <c r="C356" s="103" t="s">
        <v>1148</v>
      </c>
      <c r="D356" s="103" t="s">
        <v>698</v>
      </c>
      <c r="E356" s="103" t="s">
        <v>578</v>
      </c>
      <c r="F356" s="103" t="s">
        <v>436</v>
      </c>
      <c r="G356" s="103" t="s">
        <v>320</v>
      </c>
      <c r="H356" s="103" t="s">
        <v>1144</v>
      </c>
      <c r="U356" s="133"/>
    </row>
    <row r="357" ht="22.5" customHeight="1">
      <c r="A357" s="102">
        <v>45931.66530768518</v>
      </c>
      <c r="B357" s="103" t="s">
        <v>160</v>
      </c>
      <c r="C357" s="103" t="s">
        <v>631</v>
      </c>
      <c r="D357" s="103" t="s">
        <v>870</v>
      </c>
      <c r="E357" s="103" t="s">
        <v>420</v>
      </c>
      <c r="F357" s="103" t="s">
        <v>441</v>
      </c>
      <c r="G357" s="103" t="s">
        <v>1149</v>
      </c>
      <c r="H357" s="103" t="s">
        <v>1150</v>
      </c>
      <c r="U357" s="133"/>
    </row>
    <row r="358" ht="22.5" customHeight="1">
      <c r="A358" s="102">
        <v>45931.66531273148</v>
      </c>
      <c r="B358" s="103" t="s">
        <v>402</v>
      </c>
      <c r="C358" s="103" t="s">
        <v>834</v>
      </c>
      <c r="D358" s="103" t="s">
        <v>835</v>
      </c>
      <c r="E358" s="103" t="s">
        <v>578</v>
      </c>
      <c r="F358" s="103" t="s">
        <v>441</v>
      </c>
      <c r="G358" s="103" t="s">
        <v>585</v>
      </c>
      <c r="H358" s="103" t="s">
        <v>1151</v>
      </c>
      <c r="U358" s="133"/>
    </row>
    <row r="359" ht="22.5" customHeight="1">
      <c r="A359" s="102">
        <v>45931.665314502316</v>
      </c>
      <c r="B359" s="103" t="s">
        <v>404</v>
      </c>
      <c r="C359" s="103" t="s">
        <v>583</v>
      </c>
      <c r="D359" s="103" t="s">
        <v>584</v>
      </c>
      <c r="E359" s="103" t="s">
        <v>578</v>
      </c>
      <c r="F359" s="103" t="s">
        <v>441</v>
      </c>
      <c r="G359" s="103" t="s">
        <v>568</v>
      </c>
      <c r="H359" s="103" t="s">
        <v>1152</v>
      </c>
      <c r="U359" s="133"/>
    </row>
    <row r="360" ht="22.5" customHeight="1">
      <c r="A360" s="102">
        <v>45931.6653709838</v>
      </c>
      <c r="B360" s="103" t="s">
        <v>396</v>
      </c>
      <c r="C360" s="103" t="s">
        <v>593</v>
      </c>
      <c r="D360" s="103" t="s">
        <v>594</v>
      </c>
      <c r="E360" s="103" t="s">
        <v>420</v>
      </c>
      <c r="F360" s="103" t="s">
        <v>436</v>
      </c>
      <c r="G360" s="103" t="s">
        <v>568</v>
      </c>
      <c r="H360" s="103" t="s">
        <v>1153</v>
      </c>
      <c r="U360" s="133"/>
    </row>
    <row r="361" ht="22.5" customHeight="1">
      <c r="A361" s="102">
        <v>45931.6654278125</v>
      </c>
      <c r="B361" s="103" t="s">
        <v>400</v>
      </c>
      <c r="C361" s="103" t="s">
        <v>445</v>
      </c>
      <c r="D361" s="103" t="s">
        <v>641</v>
      </c>
      <c r="E361" s="103" t="s">
        <v>420</v>
      </c>
      <c r="F361" s="103" t="s">
        <v>436</v>
      </c>
      <c r="G361" s="103" t="s">
        <v>585</v>
      </c>
      <c r="H361" s="103" t="s">
        <v>1154</v>
      </c>
      <c r="U361" s="133"/>
    </row>
    <row r="362" ht="22.5" customHeight="1">
      <c r="A362" s="102">
        <v>45931.66547063657</v>
      </c>
      <c r="B362" s="103" t="s">
        <v>204</v>
      </c>
      <c r="C362" s="103" t="s">
        <v>745</v>
      </c>
      <c r="D362" s="103" t="s">
        <v>689</v>
      </c>
      <c r="E362" s="103" t="s">
        <v>578</v>
      </c>
      <c r="F362" s="103" t="s">
        <v>436</v>
      </c>
      <c r="G362" s="103" t="s">
        <v>198</v>
      </c>
      <c r="H362" s="103" t="s">
        <v>1155</v>
      </c>
      <c r="U362" s="133"/>
    </row>
    <row r="363" ht="22.5" customHeight="1">
      <c r="A363" s="102">
        <v>45931.66548412037</v>
      </c>
      <c r="B363" s="103" t="s">
        <v>219</v>
      </c>
      <c r="C363" s="103" t="s">
        <v>818</v>
      </c>
      <c r="D363" s="103" t="s">
        <v>1156</v>
      </c>
      <c r="E363" s="103" t="s">
        <v>450</v>
      </c>
      <c r="F363" s="103" t="s">
        <v>436</v>
      </c>
      <c r="G363" s="103" t="s">
        <v>1157</v>
      </c>
      <c r="H363" s="103" t="s">
        <v>1078</v>
      </c>
      <c r="U363" s="133"/>
    </row>
    <row r="364" ht="22.5" customHeight="1">
      <c r="A364" s="102">
        <v>45931.6655009838</v>
      </c>
      <c r="B364" s="103" t="s">
        <v>246</v>
      </c>
      <c r="C364" s="103" t="s">
        <v>703</v>
      </c>
      <c r="D364" s="103" t="s">
        <v>1158</v>
      </c>
      <c r="E364" s="103" t="s">
        <v>578</v>
      </c>
      <c r="F364" s="103" t="s">
        <v>441</v>
      </c>
      <c r="G364" s="103" t="s">
        <v>705</v>
      </c>
      <c r="H364" s="103" t="s">
        <v>1140</v>
      </c>
      <c r="U364" s="133"/>
    </row>
    <row r="365" ht="22.5" customHeight="1">
      <c r="A365" s="102">
        <v>45931.665509375</v>
      </c>
      <c r="B365" s="103" t="s">
        <v>136</v>
      </c>
      <c r="C365" s="103" t="s">
        <v>587</v>
      </c>
      <c r="D365" s="103" t="s">
        <v>588</v>
      </c>
      <c r="E365" s="103" t="s">
        <v>420</v>
      </c>
      <c r="F365" s="103" t="s">
        <v>436</v>
      </c>
      <c r="G365" s="103" t="s">
        <v>137</v>
      </c>
      <c r="H365" s="103" t="s">
        <v>1159</v>
      </c>
      <c r="U365" s="133"/>
    </row>
    <row r="366" ht="22.5" customHeight="1">
      <c r="A366" s="102">
        <v>45931.66551537037</v>
      </c>
      <c r="B366" s="103" t="s">
        <v>244</v>
      </c>
      <c r="C366" s="103" t="s">
        <v>1160</v>
      </c>
      <c r="D366" s="103" t="s">
        <v>1161</v>
      </c>
      <c r="E366" s="103" t="s">
        <v>420</v>
      </c>
      <c r="F366" s="103" t="s">
        <v>441</v>
      </c>
      <c r="G366" s="103" t="s">
        <v>615</v>
      </c>
      <c r="H366" s="103" t="s">
        <v>1162</v>
      </c>
      <c r="U366" s="133"/>
    </row>
    <row r="367" ht="22.5" customHeight="1">
      <c r="A367" s="102">
        <v>45931.66551929398</v>
      </c>
      <c r="B367" s="103" t="s">
        <v>398</v>
      </c>
      <c r="C367" s="103" t="s">
        <v>751</v>
      </c>
      <c r="D367" s="103" t="s">
        <v>752</v>
      </c>
      <c r="E367" s="103" t="s">
        <v>420</v>
      </c>
      <c r="F367" s="103" t="s">
        <v>436</v>
      </c>
      <c r="G367" s="103" t="s">
        <v>568</v>
      </c>
      <c r="H367" s="103" t="s">
        <v>1129</v>
      </c>
      <c r="U367" s="133"/>
    </row>
    <row r="368" ht="22.5" customHeight="1">
      <c r="A368" s="102">
        <v>45931.6655324537</v>
      </c>
      <c r="B368" s="103" t="s">
        <v>228</v>
      </c>
      <c r="C368" s="103" t="s">
        <v>905</v>
      </c>
      <c r="D368" s="103" t="s">
        <v>573</v>
      </c>
      <c r="E368" s="103" t="s">
        <v>420</v>
      </c>
      <c r="F368" s="103" t="s">
        <v>436</v>
      </c>
      <c r="G368" s="103" t="s">
        <v>1163</v>
      </c>
      <c r="H368" s="103" t="s">
        <v>1162</v>
      </c>
      <c r="U368" s="133"/>
    </row>
    <row r="369" ht="22.5" customHeight="1">
      <c r="A369" s="102">
        <v>45931.665546018514</v>
      </c>
      <c r="B369" s="103" t="s">
        <v>306</v>
      </c>
      <c r="C369" s="103" t="s">
        <v>994</v>
      </c>
      <c r="D369" s="103" t="s">
        <v>748</v>
      </c>
      <c r="E369" s="103" t="s">
        <v>420</v>
      </c>
      <c r="F369" s="103" t="s">
        <v>436</v>
      </c>
      <c r="G369" s="103" t="s">
        <v>462</v>
      </c>
      <c r="H369" s="103" t="s">
        <v>1162</v>
      </c>
      <c r="U369" s="133"/>
    </row>
    <row r="370" ht="22.5" customHeight="1">
      <c r="A370" s="102">
        <v>45931.665569178236</v>
      </c>
      <c r="B370" s="103" t="s">
        <v>217</v>
      </c>
      <c r="C370" s="103" t="s">
        <v>816</v>
      </c>
      <c r="D370" s="103" t="s">
        <v>647</v>
      </c>
      <c r="E370" s="103" t="s">
        <v>450</v>
      </c>
      <c r="F370" s="103" t="s">
        <v>436</v>
      </c>
      <c r="G370" s="103" t="s">
        <v>1164</v>
      </c>
      <c r="H370" s="103" t="s">
        <v>1078</v>
      </c>
      <c r="U370" s="133"/>
    </row>
    <row r="371" ht="22.5" customHeight="1">
      <c r="A371" s="102">
        <v>45931.665588703705</v>
      </c>
      <c r="B371" s="103" t="s">
        <v>330</v>
      </c>
      <c r="C371" s="103" t="s">
        <v>662</v>
      </c>
      <c r="D371" s="103" t="s">
        <v>663</v>
      </c>
      <c r="E371" s="103" t="s">
        <v>420</v>
      </c>
      <c r="F371" s="103" t="s">
        <v>436</v>
      </c>
      <c r="G371" s="103" t="s">
        <v>320</v>
      </c>
      <c r="H371" s="103" t="s">
        <v>1165</v>
      </c>
      <c r="U371" s="133"/>
    </row>
    <row r="372" ht="22.5" customHeight="1">
      <c r="A372" s="102">
        <v>45931.665589131946</v>
      </c>
      <c r="B372" s="103" t="s">
        <v>317</v>
      </c>
      <c r="C372" s="103" t="s">
        <v>615</v>
      </c>
      <c r="D372" s="103" t="s">
        <v>1166</v>
      </c>
      <c r="E372" s="103" t="s">
        <v>578</v>
      </c>
      <c r="F372" s="103" t="s">
        <v>441</v>
      </c>
      <c r="G372" s="103" t="s">
        <v>1167</v>
      </c>
      <c r="H372" s="103" t="s">
        <v>1100</v>
      </c>
      <c r="U372" s="133"/>
    </row>
    <row r="373" ht="22.5" customHeight="1">
      <c r="A373" s="102">
        <v>45931.66560314815</v>
      </c>
      <c r="B373" s="103" t="s">
        <v>691</v>
      </c>
      <c r="C373" s="103"/>
      <c r="D373" s="103" t="s">
        <v>692</v>
      </c>
      <c r="E373" s="103" t="s">
        <v>420</v>
      </c>
      <c r="F373" s="103" t="s">
        <v>436</v>
      </c>
      <c r="G373" s="103" t="s">
        <v>699</v>
      </c>
      <c r="H373" s="103" t="s">
        <v>1168</v>
      </c>
      <c r="U373" s="133"/>
    </row>
    <row r="374" ht="22.5" customHeight="1">
      <c r="A374" s="102">
        <v>45931.665745509265</v>
      </c>
      <c r="B374" s="103" t="s">
        <v>20</v>
      </c>
      <c r="C374" s="103" t="s">
        <v>754</v>
      </c>
      <c r="D374" s="103" t="s">
        <v>1169</v>
      </c>
      <c r="E374" s="103" t="s">
        <v>420</v>
      </c>
      <c r="F374" s="103" t="s">
        <v>436</v>
      </c>
      <c r="G374" s="103" t="s">
        <v>957</v>
      </c>
      <c r="H374" s="103" t="s">
        <v>1143</v>
      </c>
      <c r="U374" s="133"/>
    </row>
    <row r="375" ht="22.5" customHeight="1">
      <c r="A375" s="102">
        <v>45931.66576822917</v>
      </c>
      <c r="B375" s="103" t="s">
        <v>18</v>
      </c>
      <c r="C375" s="103" t="s">
        <v>811</v>
      </c>
      <c r="D375" s="103" t="s">
        <v>812</v>
      </c>
      <c r="E375" s="103" t="s">
        <v>420</v>
      </c>
      <c r="F375" s="103" t="s">
        <v>436</v>
      </c>
      <c r="G375" s="103" t="s">
        <v>10</v>
      </c>
      <c r="H375" s="103" t="s">
        <v>1170</v>
      </c>
      <c r="U375" s="133"/>
    </row>
    <row r="376" ht="22.5" customHeight="1">
      <c r="A376" s="102">
        <v>45931.66586581018</v>
      </c>
      <c r="B376" s="103" t="s">
        <v>200</v>
      </c>
      <c r="C376" s="103" t="s">
        <v>1171</v>
      </c>
      <c r="D376" s="103" t="s">
        <v>588</v>
      </c>
      <c r="E376" s="103" t="s">
        <v>578</v>
      </c>
      <c r="F376" s="103" t="s">
        <v>436</v>
      </c>
      <c r="G376" s="103" t="s">
        <v>629</v>
      </c>
      <c r="H376" s="103" t="s">
        <v>1144</v>
      </c>
      <c r="U376" s="133"/>
    </row>
    <row r="377" ht="22.5" customHeight="1">
      <c r="A377" s="102">
        <v>45931.6659621875</v>
      </c>
      <c r="B377" s="103" t="s">
        <v>33</v>
      </c>
      <c r="C377" s="103" t="s">
        <v>743</v>
      </c>
      <c r="D377" s="103" t="s">
        <v>458</v>
      </c>
      <c r="E377" s="103" t="s">
        <v>420</v>
      </c>
      <c r="F377" s="103" t="s">
        <v>436</v>
      </c>
      <c r="G377" s="103" t="s">
        <v>23</v>
      </c>
      <c r="H377" s="103" t="s">
        <v>1143</v>
      </c>
      <c r="U377" s="133"/>
    </row>
    <row r="378" ht="22.5" customHeight="1">
      <c r="A378" s="102">
        <v>45931.665981701386</v>
      </c>
      <c r="B378" s="103" t="s">
        <v>31</v>
      </c>
      <c r="C378" s="103" t="s">
        <v>930</v>
      </c>
      <c r="D378" s="103" t="s">
        <v>694</v>
      </c>
      <c r="E378" s="103" t="s">
        <v>420</v>
      </c>
      <c r="F378" s="103" t="s">
        <v>436</v>
      </c>
      <c r="G378" s="103" t="s">
        <v>1172</v>
      </c>
      <c r="H378" s="103" t="s">
        <v>1173</v>
      </c>
      <c r="U378" s="133"/>
    </row>
    <row r="379" ht="22.5" customHeight="1">
      <c r="A379" s="102">
        <v>45931.66602819445</v>
      </c>
      <c r="B379" s="103" t="s">
        <v>365</v>
      </c>
      <c r="C379" s="103" t="s">
        <v>1174</v>
      </c>
      <c r="D379" s="103" t="s">
        <v>654</v>
      </c>
      <c r="E379" s="103" t="s">
        <v>494</v>
      </c>
      <c r="F379" s="103" t="s">
        <v>436</v>
      </c>
      <c r="G379" s="103" t="s">
        <v>655</v>
      </c>
      <c r="H379" s="103" t="s">
        <v>1162</v>
      </c>
      <c r="U379" s="133"/>
    </row>
    <row r="380" ht="22.5" customHeight="1">
      <c r="A380" s="102">
        <v>45931.66613790509</v>
      </c>
      <c r="B380" s="103" t="s">
        <v>197</v>
      </c>
      <c r="C380" s="103" t="s">
        <v>618</v>
      </c>
      <c r="D380" s="103" t="s">
        <v>619</v>
      </c>
      <c r="E380" s="103" t="s">
        <v>578</v>
      </c>
      <c r="F380" s="103" t="s">
        <v>436</v>
      </c>
      <c r="G380" s="103" t="s">
        <v>620</v>
      </c>
      <c r="H380" s="103" t="s">
        <v>1175</v>
      </c>
      <c r="U380" s="133"/>
    </row>
    <row r="381" ht="22.5" customHeight="1">
      <c r="A381" s="102">
        <v>45931.66614287037</v>
      </c>
      <c r="B381" s="103" t="s">
        <v>393</v>
      </c>
      <c r="C381" s="103" t="s">
        <v>657</v>
      </c>
      <c r="D381" s="103" t="s">
        <v>658</v>
      </c>
      <c r="E381" s="103" t="s">
        <v>420</v>
      </c>
      <c r="F381" s="103" t="s">
        <v>436</v>
      </c>
      <c r="G381" s="103" t="s">
        <v>568</v>
      </c>
      <c r="H381" s="103" t="s">
        <v>1162</v>
      </c>
      <c r="U381" s="133"/>
    </row>
    <row r="382" ht="22.5" customHeight="1">
      <c r="A382" s="102">
        <v>45931.66623216435</v>
      </c>
      <c r="B382" s="103" t="s">
        <v>141</v>
      </c>
      <c r="C382" s="103" t="s">
        <v>803</v>
      </c>
      <c r="D382" s="103" t="s">
        <v>804</v>
      </c>
      <c r="E382" s="103" t="s">
        <v>420</v>
      </c>
      <c r="F382" s="103" t="s">
        <v>436</v>
      </c>
      <c r="G382" s="103" t="s">
        <v>1176</v>
      </c>
      <c r="H382" s="103" t="s">
        <v>1177</v>
      </c>
      <c r="U382" s="133"/>
    </row>
    <row r="383" ht="22.5" customHeight="1">
      <c r="A383" s="102">
        <v>45931.66624341435</v>
      </c>
      <c r="B383" s="103" t="s">
        <v>232</v>
      </c>
      <c r="C383" s="103" t="s">
        <v>1178</v>
      </c>
      <c r="D383" s="103" t="s">
        <v>1179</v>
      </c>
      <c r="E383" s="103" t="s">
        <v>420</v>
      </c>
      <c r="F383" s="103" t="s">
        <v>441</v>
      </c>
      <c r="G383" s="103" t="s">
        <v>1180</v>
      </c>
      <c r="H383" s="103" t="s">
        <v>1162</v>
      </c>
      <c r="U383" s="133"/>
    </row>
    <row r="384" ht="22.5" customHeight="1">
      <c r="A384" s="102">
        <v>45931.66626611111</v>
      </c>
      <c r="B384" s="103" t="s">
        <v>367</v>
      </c>
      <c r="C384" s="103" t="s">
        <v>757</v>
      </c>
      <c r="D384" s="103" t="s">
        <v>758</v>
      </c>
      <c r="E384" s="103" t="s">
        <v>420</v>
      </c>
      <c r="F384" s="103" t="s">
        <v>436</v>
      </c>
      <c r="G384" s="103" t="s">
        <v>359</v>
      </c>
      <c r="H384" s="103" t="s">
        <v>1181</v>
      </c>
      <c r="U384" s="133"/>
    </row>
    <row r="385" ht="22.5" customHeight="1">
      <c r="A385" s="102">
        <v>45931.66631598379</v>
      </c>
      <c r="B385" s="103" t="s">
        <v>365</v>
      </c>
      <c r="C385" s="103" t="s">
        <v>653</v>
      </c>
      <c r="D385" s="103" t="s">
        <v>654</v>
      </c>
      <c r="E385" s="103" t="s">
        <v>420</v>
      </c>
      <c r="F385" s="103" t="s">
        <v>436</v>
      </c>
      <c r="G385" s="103" t="s">
        <v>655</v>
      </c>
      <c r="H385" s="103" t="s">
        <v>655</v>
      </c>
      <c r="U385" s="133"/>
    </row>
    <row r="386" ht="22.5" customHeight="1">
      <c r="A386" s="102">
        <v>45931.666407557874</v>
      </c>
      <c r="B386" s="103" t="s">
        <v>223</v>
      </c>
      <c r="C386" s="103" t="s">
        <v>741</v>
      </c>
      <c r="D386" s="103" t="s">
        <v>506</v>
      </c>
      <c r="E386" s="103" t="s">
        <v>578</v>
      </c>
      <c r="F386" s="103" t="s">
        <v>436</v>
      </c>
      <c r="G386" s="103" t="s">
        <v>669</v>
      </c>
      <c r="H386" s="103" t="s">
        <v>1182</v>
      </c>
      <c r="U386" s="133"/>
    </row>
    <row r="387" ht="22.5" customHeight="1">
      <c r="A387" s="102">
        <v>45931.66702121528</v>
      </c>
      <c r="B387" s="103" t="s">
        <v>184</v>
      </c>
      <c r="C387" s="103" t="s">
        <v>865</v>
      </c>
      <c r="D387" s="103" t="s">
        <v>866</v>
      </c>
      <c r="E387" s="103" t="s">
        <v>420</v>
      </c>
      <c r="F387" s="103" t="s">
        <v>436</v>
      </c>
      <c r="G387" s="103" t="s">
        <v>957</v>
      </c>
      <c r="H387" s="103" t="s">
        <v>1183</v>
      </c>
      <c r="U387" s="133"/>
    </row>
    <row r="388" ht="22.5" customHeight="1">
      <c r="A388" s="102">
        <v>45931.66705686343</v>
      </c>
      <c r="B388" s="103" t="s">
        <v>328</v>
      </c>
      <c r="C388" s="103" t="s">
        <v>826</v>
      </c>
      <c r="D388" s="103" t="s">
        <v>827</v>
      </c>
      <c r="E388" s="103" t="s">
        <v>578</v>
      </c>
      <c r="F388" s="103" t="s">
        <v>436</v>
      </c>
      <c r="G388" s="103" t="s">
        <v>320</v>
      </c>
      <c r="H388" s="103" t="s">
        <v>1184</v>
      </c>
      <c r="U388" s="133"/>
    </row>
    <row r="389" ht="22.5" customHeight="1">
      <c r="A389" s="102">
        <v>45931.66719548611</v>
      </c>
      <c r="B389" s="103" t="s">
        <v>322</v>
      </c>
      <c r="C389" s="103" t="s">
        <v>631</v>
      </c>
      <c r="D389" s="103" t="s">
        <v>632</v>
      </c>
      <c r="E389" s="103" t="s">
        <v>578</v>
      </c>
      <c r="F389" s="103" t="s">
        <v>436</v>
      </c>
      <c r="G389" s="103" t="s">
        <v>699</v>
      </c>
      <c r="H389" s="103" t="s">
        <v>1185</v>
      </c>
      <c r="U389" s="133"/>
    </row>
    <row r="390" ht="22.5" customHeight="1">
      <c r="A390" s="102">
        <v>45931.66802534722</v>
      </c>
      <c r="B390" s="103" t="s">
        <v>42</v>
      </c>
      <c r="C390" s="103" t="s">
        <v>1186</v>
      </c>
      <c r="D390" s="103" t="s">
        <v>1187</v>
      </c>
      <c r="E390" s="103" t="s">
        <v>420</v>
      </c>
      <c r="F390" s="103" t="s">
        <v>441</v>
      </c>
      <c r="G390" s="103" t="s">
        <v>997</v>
      </c>
      <c r="H390" s="103" t="s">
        <v>1144</v>
      </c>
      <c r="U390" s="133"/>
    </row>
    <row r="391" ht="22.5" customHeight="1">
      <c r="A391" s="102">
        <v>45931.66840106482</v>
      </c>
      <c r="B391" s="103" t="s">
        <v>330</v>
      </c>
      <c r="C391" s="103" t="s">
        <v>662</v>
      </c>
      <c r="D391" s="103" t="s">
        <v>663</v>
      </c>
      <c r="E391" s="103" t="s">
        <v>420</v>
      </c>
      <c r="F391" s="103" t="s">
        <v>436</v>
      </c>
      <c r="G391" s="103" t="s">
        <v>320</v>
      </c>
      <c r="H391" s="103" t="s">
        <v>1188</v>
      </c>
      <c r="U391" s="133"/>
    </row>
    <row r="392" ht="22.5" customHeight="1">
      <c r="A392" s="102">
        <v>45931.66953572917</v>
      </c>
      <c r="B392" s="103" t="s">
        <v>187</v>
      </c>
      <c r="C392" s="103" t="s">
        <v>751</v>
      </c>
      <c r="D392" s="103" t="s">
        <v>647</v>
      </c>
      <c r="E392" s="103" t="s">
        <v>420</v>
      </c>
      <c r="F392" s="103" t="s">
        <v>436</v>
      </c>
      <c r="G392" s="103" t="s">
        <v>185</v>
      </c>
      <c r="H392" s="103" t="s">
        <v>1189</v>
      </c>
      <c r="U392" s="133"/>
    </row>
    <row r="393" ht="22.5" customHeight="1">
      <c r="A393" s="102">
        <v>45931.67104324074</v>
      </c>
      <c r="B393" s="103" t="s">
        <v>226</v>
      </c>
      <c r="C393" s="103" t="s">
        <v>668</v>
      </c>
      <c r="D393" s="103" t="s">
        <v>1190</v>
      </c>
      <c r="E393" s="103" t="s">
        <v>578</v>
      </c>
      <c r="F393" s="103" t="s">
        <v>436</v>
      </c>
      <c r="G393" s="103" t="s">
        <v>1163</v>
      </c>
      <c r="H393" s="103" t="s">
        <v>1191</v>
      </c>
      <c r="U393" s="133"/>
    </row>
    <row r="394" ht="22.5" customHeight="1">
      <c r="A394" s="102">
        <v>45931.67380023148</v>
      </c>
      <c r="B394" s="103" t="s">
        <v>1192</v>
      </c>
      <c r="C394" s="103" t="s">
        <v>1193</v>
      </c>
      <c r="D394" s="103" t="s">
        <v>1194</v>
      </c>
      <c r="E394" s="103" t="s">
        <v>639</v>
      </c>
      <c r="F394" s="103" t="s">
        <v>441</v>
      </c>
      <c r="G394" s="103" t="s">
        <v>997</v>
      </c>
      <c r="H394" s="103" t="s">
        <v>1143</v>
      </c>
      <c r="U394" s="133"/>
    </row>
    <row r="395" ht="22.5" customHeight="1">
      <c r="A395" s="102">
        <v>45931.67642905093</v>
      </c>
      <c r="B395" s="103" t="s">
        <v>230</v>
      </c>
      <c r="C395" s="103" t="s">
        <v>911</v>
      </c>
      <c r="D395" s="103" t="s">
        <v>573</v>
      </c>
      <c r="E395" s="103" t="s">
        <v>578</v>
      </c>
      <c r="F395" s="103" t="s">
        <v>436</v>
      </c>
      <c r="G395" s="103" t="s">
        <v>1163</v>
      </c>
      <c r="H395" s="103" t="s">
        <v>1195</v>
      </c>
      <c r="U395" s="133"/>
    </row>
    <row r="396" ht="22.5" customHeight="1">
      <c r="A396" s="102">
        <v>45931.677511180555</v>
      </c>
      <c r="B396" s="103" t="s">
        <v>40</v>
      </c>
      <c r="C396" s="103" t="s">
        <v>747</v>
      </c>
      <c r="D396" s="103" t="s">
        <v>748</v>
      </c>
      <c r="E396" s="103" t="s">
        <v>420</v>
      </c>
      <c r="F396" s="103" t="s">
        <v>436</v>
      </c>
      <c r="G396" s="103" t="s">
        <v>38</v>
      </c>
      <c r="H396" s="103" t="s">
        <v>1162</v>
      </c>
      <c r="U396" s="133"/>
    </row>
    <row r="397" ht="22.5" customHeight="1">
      <c r="A397" s="102">
        <v>45931.677600254625</v>
      </c>
      <c r="B397" s="103" t="s">
        <v>37</v>
      </c>
      <c r="C397" s="103" t="s">
        <v>764</v>
      </c>
      <c r="D397" s="103" t="s">
        <v>765</v>
      </c>
      <c r="E397" s="103" t="s">
        <v>420</v>
      </c>
      <c r="F397" s="103" t="s">
        <v>436</v>
      </c>
      <c r="G397" s="103" t="s">
        <v>38</v>
      </c>
      <c r="H397" s="103" t="s">
        <v>1162</v>
      </c>
      <c r="U397" s="133"/>
    </row>
    <row r="398" ht="22.5" customHeight="1">
      <c r="A398" s="102">
        <v>45931.67994608796</v>
      </c>
      <c r="B398" s="103" t="s">
        <v>158</v>
      </c>
      <c r="C398" s="103" t="s">
        <v>540</v>
      </c>
      <c r="D398" s="103" t="s">
        <v>541</v>
      </c>
      <c r="E398" s="103" t="s">
        <v>494</v>
      </c>
      <c r="F398" s="103" t="s">
        <v>436</v>
      </c>
      <c r="G398" s="103" t="s">
        <v>542</v>
      </c>
      <c r="H398" s="103" t="s">
        <v>1196</v>
      </c>
      <c r="U398" s="133"/>
    </row>
    <row r="399" ht="22.5" customHeight="1">
      <c r="A399" s="102">
        <v>45931.68275506944</v>
      </c>
      <c r="B399" s="103" t="s">
        <v>276</v>
      </c>
      <c r="C399" s="103" t="s">
        <v>714</v>
      </c>
      <c r="D399" s="103" t="s">
        <v>715</v>
      </c>
      <c r="E399" s="103" t="s">
        <v>639</v>
      </c>
      <c r="F399" s="103" t="s">
        <v>436</v>
      </c>
      <c r="G399" s="103" t="s">
        <v>604</v>
      </c>
      <c r="H399" s="103" t="s">
        <v>1197</v>
      </c>
      <c r="U399" s="133"/>
    </row>
    <row r="400" ht="22.5" customHeight="1">
      <c r="A400" s="102">
        <v>45931.716174270834</v>
      </c>
      <c r="B400" s="103" t="s">
        <v>385</v>
      </c>
      <c r="C400" s="135" t="s">
        <v>465</v>
      </c>
      <c r="D400" s="103" t="s">
        <v>466</v>
      </c>
      <c r="E400" s="103" t="s">
        <v>427</v>
      </c>
      <c r="F400" s="103" t="s">
        <v>436</v>
      </c>
      <c r="G400" s="103" t="s">
        <v>474</v>
      </c>
      <c r="H400" s="103" t="s">
        <v>1198</v>
      </c>
      <c r="U400" s="133"/>
    </row>
    <row r="401" ht="22.5" customHeight="1">
      <c r="A401" s="102">
        <v>45931.7587100463</v>
      </c>
      <c r="B401" s="103" t="s">
        <v>341</v>
      </c>
      <c r="C401" s="135" t="s">
        <v>1199</v>
      </c>
      <c r="D401" s="103" t="s">
        <v>1048</v>
      </c>
      <c r="E401" s="103" t="s">
        <v>494</v>
      </c>
      <c r="F401" s="103" t="s">
        <v>436</v>
      </c>
      <c r="G401" s="103" t="s">
        <v>335</v>
      </c>
      <c r="H401" s="103" t="s">
        <v>1200</v>
      </c>
      <c r="U401" s="133"/>
    </row>
    <row r="402" ht="22.5" customHeight="1">
      <c r="A402" s="136">
        <v>45938.63630726852</v>
      </c>
      <c r="B402" s="103" t="s">
        <v>106</v>
      </c>
      <c r="C402" s="137" t="s">
        <v>497</v>
      </c>
      <c r="D402" s="103" t="s">
        <v>498</v>
      </c>
      <c r="E402" s="103" t="s">
        <v>427</v>
      </c>
      <c r="F402" s="103" t="s">
        <v>441</v>
      </c>
      <c r="G402" s="103" t="s">
        <v>527</v>
      </c>
      <c r="H402" s="103" t="s">
        <v>1201</v>
      </c>
      <c r="U402" s="133"/>
    </row>
    <row r="403" ht="22.5" customHeight="1">
      <c r="A403" s="138">
        <v>45938.63644994213</v>
      </c>
      <c r="B403" s="103" t="s">
        <v>246</v>
      </c>
      <c r="C403" s="139" t="s">
        <v>703</v>
      </c>
      <c r="D403" s="103" t="s">
        <v>704</v>
      </c>
      <c r="E403" s="103" t="s">
        <v>427</v>
      </c>
      <c r="F403" s="103" t="s">
        <v>441</v>
      </c>
      <c r="G403" s="103" t="s">
        <v>615</v>
      </c>
      <c r="H403" s="103" t="s">
        <v>1202</v>
      </c>
      <c r="U403" s="133"/>
    </row>
    <row r="404" ht="22.5" customHeight="1">
      <c r="A404" s="138">
        <v>45938.63652195602</v>
      </c>
      <c r="B404" s="103" t="s">
        <v>100</v>
      </c>
      <c r="C404" s="139" t="s">
        <v>1203</v>
      </c>
      <c r="D404" s="103" t="s">
        <v>597</v>
      </c>
      <c r="E404" s="103" t="s">
        <v>427</v>
      </c>
      <c r="F404" s="103" t="s">
        <v>441</v>
      </c>
      <c r="G404" s="103" t="s">
        <v>527</v>
      </c>
      <c r="H404" s="103" t="s">
        <v>1204</v>
      </c>
      <c r="U404" s="133"/>
    </row>
    <row r="405" ht="22.5" customHeight="1">
      <c r="A405" s="138">
        <v>45938.63699013889</v>
      </c>
      <c r="B405" s="103" t="s">
        <v>378</v>
      </c>
      <c r="C405" s="139" t="s">
        <v>1205</v>
      </c>
      <c r="D405" s="103" t="s">
        <v>1206</v>
      </c>
      <c r="E405" s="103" t="s">
        <v>427</v>
      </c>
      <c r="F405" s="103" t="s">
        <v>441</v>
      </c>
      <c r="G405" s="103" t="s">
        <v>1207</v>
      </c>
      <c r="H405" s="103" t="s">
        <v>1208</v>
      </c>
      <c r="U405" s="133"/>
    </row>
    <row r="406" ht="22.5" customHeight="1">
      <c r="A406" s="138">
        <v>45938.63740103009</v>
      </c>
      <c r="B406" s="103" t="s">
        <v>259</v>
      </c>
      <c r="C406" s="139" t="s">
        <v>606</v>
      </c>
      <c r="D406" s="103" t="s">
        <v>607</v>
      </c>
      <c r="E406" s="103" t="s">
        <v>427</v>
      </c>
      <c r="F406" s="103" t="s">
        <v>441</v>
      </c>
      <c r="G406" s="103" t="s">
        <v>809</v>
      </c>
      <c r="H406" s="103" t="s">
        <v>1209</v>
      </c>
      <c r="U406" s="133"/>
    </row>
    <row r="407" ht="22.5" customHeight="1">
      <c r="A407" s="138">
        <v>45938.6376106713</v>
      </c>
      <c r="B407" s="103" t="s">
        <v>261</v>
      </c>
      <c r="C407" s="139" t="s">
        <v>1210</v>
      </c>
      <c r="D407" s="103" t="s">
        <v>1211</v>
      </c>
      <c r="E407" s="103" t="s">
        <v>427</v>
      </c>
      <c r="F407" s="103" t="s">
        <v>441</v>
      </c>
      <c r="G407" s="103" t="s">
        <v>809</v>
      </c>
      <c r="H407" s="103" t="s">
        <v>1212</v>
      </c>
      <c r="U407" s="133"/>
    </row>
    <row r="408" ht="22.5" customHeight="1">
      <c r="A408" s="138">
        <v>45938.637618946756</v>
      </c>
      <c r="B408" s="103" t="s">
        <v>22</v>
      </c>
      <c r="C408" s="139" t="s">
        <v>596</v>
      </c>
      <c r="D408" s="103" t="s">
        <v>597</v>
      </c>
      <c r="E408" s="103" t="s">
        <v>427</v>
      </c>
      <c r="F408" s="103" t="s">
        <v>441</v>
      </c>
      <c r="G408" s="103" t="s">
        <v>23</v>
      </c>
      <c r="H408" s="103" t="s">
        <v>1213</v>
      </c>
      <c r="U408" s="133"/>
    </row>
    <row r="409" ht="22.5" customHeight="1">
      <c r="A409" s="138">
        <v>45938.63771971065</v>
      </c>
      <c r="B409" s="103" t="s">
        <v>75</v>
      </c>
      <c r="C409" s="139" t="s">
        <v>707</v>
      </c>
      <c r="D409" s="103" t="s">
        <v>689</v>
      </c>
      <c r="E409" s="103" t="s">
        <v>427</v>
      </c>
      <c r="F409" s="103" t="s">
        <v>441</v>
      </c>
      <c r="G409" s="103" t="s">
        <v>71</v>
      </c>
      <c r="H409" s="103" t="s">
        <v>1214</v>
      </c>
      <c r="U409" s="133"/>
    </row>
    <row r="410" ht="22.5" customHeight="1">
      <c r="A410" s="138">
        <v>45938.63789287037</v>
      </c>
      <c r="B410" s="103" t="s">
        <v>97</v>
      </c>
      <c r="C410" s="139" t="s">
        <v>580</v>
      </c>
      <c r="D410" s="103" t="s">
        <v>581</v>
      </c>
      <c r="E410" s="103" t="s">
        <v>427</v>
      </c>
      <c r="F410" s="103" t="s">
        <v>441</v>
      </c>
      <c r="G410" s="103" t="s">
        <v>98</v>
      </c>
      <c r="H410" s="103" t="s">
        <v>1215</v>
      </c>
      <c r="U410" s="133"/>
    </row>
    <row r="411" ht="22.5" customHeight="1">
      <c r="A411" s="138">
        <v>45938.63829700231</v>
      </c>
      <c r="B411" s="103" t="s">
        <v>178</v>
      </c>
      <c r="C411" s="139" t="s">
        <v>1216</v>
      </c>
      <c r="D411" s="103" t="s">
        <v>689</v>
      </c>
      <c r="E411" s="103" t="s">
        <v>450</v>
      </c>
      <c r="F411" s="103" t="s">
        <v>441</v>
      </c>
      <c r="G411" s="103" t="s">
        <v>1217</v>
      </c>
      <c r="H411" s="103" t="s">
        <v>1218</v>
      </c>
      <c r="U411" s="133"/>
    </row>
    <row r="412" ht="22.5" customHeight="1">
      <c r="A412" s="138">
        <v>45938.640533784725</v>
      </c>
      <c r="B412" s="103" t="s">
        <v>180</v>
      </c>
      <c r="C412" s="139" t="s">
        <v>1219</v>
      </c>
      <c r="D412" s="103" t="s">
        <v>1220</v>
      </c>
      <c r="E412" s="103" t="s">
        <v>427</v>
      </c>
      <c r="F412" s="103" t="s">
        <v>441</v>
      </c>
      <c r="G412" s="103" t="s">
        <v>172</v>
      </c>
      <c r="H412" s="103" t="s">
        <v>1221</v>
      </c>
      <c r="U412" s="133"/>
    </row>
    <row r="413" ht="22.5" customHeight="1">
      <c r="A413" s="138">
        <v>45938.64322636574</v>
      </c>
      <c r="B413" s="103" t="s">
        <v>257</v>
      </c>
      <c r="C413" s="139" t="s">
        <v>856</v>
      </c>
      <c r="D413" s="103" t="s">
        <v>558</v>
      </c>
      <c r="E413" s="103" t="s">
        <v>639</v>
      </c>
      <c r="F413" s="103" t="s">
        <v>441</v>
      </c>
      <c r="G413" s="103" t="s">
        <v>1222</v>
      </c>
      <c r="H413" s="103" t="s">
        <v>1223</v>
      </c>
      <c r="U413" s="133"/>
    </row>
    <row r="414" ht="22.5" customHeight="1">
      <c r="A414" s="138">
        <v>45938.64799378472</v>
      </c>
      <c r="B414" s="103" t="s">
        <v>126</v>
      </c>
      <c r="C414" s="139" t="s">
        <v>1224</v>
      </c>
      <c r="D414" s="103" t="s">
        <v>1113</v>
      </c>
      <c r="E414" s="103" t="s">
        <v>494</v>
      </c>
      <c r="F414" s="103" t="s">
        <v>436</v>
      </c>
      <c r="G414" s="103" t="s">
        <v>1225</v>
      </c>
      <c r="H414" s="103" t="s">
        <v>1226</v>
      </c>
      <c r="U414" s="133"/>
    </row>
    <row r="415" ht="22.5" customHeight="1">
      <c r="A415" s="140">
        <v>45938.65368650463</v>
      </c>
      <c r="B415" s="103" t="s">
        <v>77</v>
      </c>
      <c r="C415" s="141" t="s">
        <v>701</v>
      </c>
      <c r="D415" s="103" t="s">
        <v>458</v>
      </c>
      <c r="E415" s="103" t="s">
        <v>427</v>
      </c>
      <c r="F415" s="103" t="s">
        <v>441</v>
      </c>
      <c r="G415" s="103" t="s">
        <v>71</v>
      </c>
      <c r="H415" s="103" t="s">
        <v>1227</v>
      </c>
    </row>
    <row r="416" ht="22.5" customHeight="1">
      <c r="A416" s="102">
        <v>45945.64637037037</v>
      </c>
      <c r="B416" s="103" t="s">
        <v>165</v>
      </c>
      <c r="C416" s="103" t="s">
        <v>847</v>
      </c>
      <c r="D416" s="103" t="s">
        <v>848</v>
      </c>
      <c r="E416" s="103" t="s">
        <v>427</v>
      </c>
      <c r="F416" s="103" t="s">
        <v>436</v>
      </c>
      <c r="G416" s="103" t="s">
        <v>445</v>
      </c>
      <c r="H416" s="103" t="s">
        <v>1228</v>
      </c>
    </row>
    <row r="417" ht="22.5" customHeight="1">
      <c r="A417" s="102">
        <v>45945.646978958335</v>
      </c>
      <c r="B417" s="103" t="s">
        <v>369</v>
      </c>
      <c r="C417" s="103" t="s">
        <v>457</v>
      </c>
      <c r="D417" s="103" t="s">
        <v>458</v>
      </c>
      <c r="E417" s="103" t="s">
        <v>427</v>
      </c>
      <c r="F417" s="103" t="s">
        <v>441</v>
      </c>
      <c r="G417" s="103" t="s">
        <v>1207</v>
      </c>
      <c r="H417" s="103" t="s">
        <v>1229</v>
      </c>
    </row>
    <row r="418" ht="22.5" customHeight="1">
      <c r="A418" s="102">
        <v>45945.646979930556</v>
      </c>
      <c r="B418" s="103" t="s">
        <v>90</v>
      </c>
      <c r="C418" s="103" t="s">
        <v>418</v>
      </c>
      <c r="D418" s="103" t="s">
        <v>419</v>
      </c>
      <c r="E418" s="103" t="s">
        <v>427</v>
      </c>
      <c r="F418" s="103" t="s">
        <v>436</v>
      </c>
      <c r="G418" s="103" t="s">
        <v>84</v>
      </c>
      <c r="H418" s="103" t="s">
        <v>1230</v>
      </c>
    </row>
    <row r="419" ht="22.5" customHeight="1">
      <c r="A419" s="102">
        <v>45945.6469937037</v>
      </c>
      <c r="B419" s="103" t="s">
        <v>337</v>
      </c>
      <c r="C419" s="103" t="s">
        <v>561</v>
      </c>
      <c r="D419" s="103" t="s">
        <v>466</v>
      </c>
      <c r="E419" s="103" t="s">
        <v>427</v>
      </c>
      <c r="F419" s="103" t="s">
        <v>441</v>
      </c>
      <c r="G419" s="103" t="s">
        <v>335</v>
      </c>
      <c r="H419" s="103" t="s">
        <v>1231</v>
      </c>
    </row>
    <row r="420" ht="22.5" customHeight="1">
      <c r="A420" s="102">
        <v>45945.64727784722</v>
      </c>
      <c r="B420" s="103" t="s">
        <v>308</v>
      </c>
      <c r="C420" s="103" t="s">
        <v>685</v>
      </c>
      <c r="D420" s="103" t="s">
        <v>686</v>
      </c>
      <c r="E420" s="103" t="s">
        <v>427</v>
      </c>
      <c r="F420" s="103" t="s">
        <v>441</v>
      </c>
      <c r="G420" s="103" t="s">
        <v>687</v>
      </c>
      <c r="H420" s="103" t="s">
        <v>1232</v>
      </c>
    </row>
    <row r="421" ht="22.5" customHeight="1">
      <c r="A421" s="102">
        <v>45945.64731395833</v>
      </c>
      <c r="B421" s="103" t="s">
        <v>132</v>
      </c>
      <c r="C421" s="103" t="s">
        <v>1233</v>
      </c>
      <c r="D421" s="103" t="s">
        <v>660</v>
      </c>
      <c r="E421" s="103" t="s">
        <v>427</v>
      </c>
      <c r="F421" s="103" t="s">
        <v>436</v>
      </c>
      <c r="G421" s="103" t="s">
        <v>124</v>
      </c>
      <c r="H421" s="103" t="s">
        <v>1234</v>
      </c>
    </row>
    <row r="422" ht="22.5" customHeight="1">
      <c r="A422" s="102">
        <v>45945.64740495371</v>
      </c>
      <c r="B422" s="103" t="s">
        <v>112</v>
      </c>
      <c r="C422" s="103" t="s">
        <v>434</v>
      </c>
      <c r="D422" s="103" t="s">
        <v>435</v>
      </c>
      <c r="E422" s="103" t="s">
        <v>427</v>
      </c>
      <c r="F422" s="103" t="s">
        <v>436</v>
      </c>
      <c r="G422" s="103" t="s">
        <v>113</v>
      </c>
      <c r="H422" s="103" t="s">
        <v>1235</v>
      </c>
    </row>
    <row r="423" ht="22.5" customHeight="1">
      <c r="A423" s="102">
        <v>45945.6477284838</v>
      </c>
      <c r="B423" s="103" t="s">
        <v>293</v>
      </c>
      <c r="C423" s="103" t="s">
        <v>448</v>
      </c>
      <c r="D423" s="103" t="s">
        <v>449</v>
      </c>
      <c r="E423" s="103" t="s">
        <v>427</v>
      </c>
      <c r="F423" s="103" t="s">
        <v>436</v>
      </c>
      <c r="G423" s="103" t="s">
        <v>294</v>
      </c>
      <c r="H423" s="103" t="s">
        <v>1236</v>
      </c>
    </row>
    <row r="424" ht="22.5" customHeight="1">
      <c r="A424" s="102">
        <v>45945.64782291667</v>
      </c>
      <c r="B424" s="103" t="s">
        <v>302</v>
      </c>
      <c r="C424" s="103" t="s">
        <v>1031</v>
      </c>
      <c r="D424" s="103" t="s">
        <v>838</v>
      </c>
      <c r="E424" s="103" t="s">
        <v>427</v>
      </c>
      <c r="F424" s="103" t="s">
        <v>436</v>
      </c>
      <c r="G424" s="103" t="s">
        <v>839</v>
      </c>
      <c r="H424" s="103" t="s">
        <v>1237</v>
      </c>
    </row>
    <row r="425" ht="22.5" customHeight="1">
      <c r="A425" s="102">
        <v>45945.647994756946</v>
      </c>
      <c r="B425" s="103" t="s">
        <v>174</v>
      </c>
      <c r="C425" s="103" t="s">
        <v>637</v>
      </c>
      <c r="D425" s="103" t="s">
        <v>638</v>
      </c>
      <c r="E425" s="103" t="s">
        <v>427</v>
      </c>
      <c r="F425" s="103" t="s">
        <v>436</v>
      </c>
      <c r="G425" s="103" t="s">
        <v>172</v>
      </c>
      <c r="H425" s="103" t="s">
        <v>1238</v>
      </c>
    </row>
    <row r="426" ht="22.5" customHeight="1">
      <c r="A426" s="102">
        <v>45945.65110505787</v>
      </c>
      <c r="B426" s="103" t="s">
        <v>130</v>
      </c>
      <c r="C426" s="103" t="s">
        <v>557</v>
      </c>
      <c r="D426" s="103" t="s">
        <v>558</v>
      </c>
      <c r="E426" s="103" t="s">
        <v>427</v>
      </c>
      <c r="F426" s="103" t="s">
        <v>436</v>
      </c>
      <c r="G426" s="103" t="s">
        <v>124</v>
      </c>
      <c r="H426" s="103" t="s">
        <v>1239</v>
      </c>
    </row>
    <row r="427" ht="22.5" customHeight="1">
      <c r="A427" s="102">
        <v>45945.65308773148</v>
      </c>
      <c r="B427" s="103" t="s">
        <v>380</v>
      </c>
      <c r="C427" s="103" t="s">
        <v>439</v>
      </c>
      <c r="D427" s="103" t="s">
        <v>440</v>
      </c>
      <c r="E427" s="103" t="s">
        <v>427</v>
      </c>
      <c r="F427" s="103" t="s">
        <v>441</v>
      </c>
      <c r="G427" s="103" t="s">
        <v>442</v>
      </c>
      <c r="H427" s="103" t="s">
        <v>1240</v>
      </c>
    </row>
    <row r="428" ht="22.5" customHeight="1">
      <c r="A428" s="102">
        <v>45945.65309653935</v>
      </c>
      <c r="B428" s="103" t="s">
        <v>115</v>
      </c>
      <c r="C428" s="103" t="s">
        <v>489</v>
      </c>
      <c r="D428" s="103" t="s">
        <v>490</v>
      </c>
      <c r="E428" s="103" t="s">
        <v>427</v>
      </c>
      <c r="F428" s="103" t="s">
        <v>436</v>
      </c>
      <c r="G428" s="103" t="s">
        <v>1071</v>
      </c>
      <c r="H428" s="103" t="s">
        <v>1241</v>
      </c>
    </row>
    <row r="429" ht="22.5" customHeight="1">
      <c r="A429" s="102">
        <v>45945.65383258102</v>
      </c>
      <c r="B429" s="103" t="s">
        <v>363</v>
      </c>
      <c r="C429" s="103" t="s">
        <v>1242</v>
      </c>
      <c r="D429" s="103" t="s">
        <v>431</v>
      </c>
      <c r="E429" s="103" t="s">
        <v>427</v>
      </c>
      <c r="F429" s="103" t="s">
        <v>441</v>
      </c>
      <c r="G429" s="103" t="s">
        <v>359</v>
      </c>
      <c r="H429" s="103" t="s">
        <v>1243</v>
      </c>
    </row>
    <row r="430" ht="22.5" customHeight="1">
      <c r="A430" s="102">
        <v>45945.65427086806</v>
      </c>
      <c r="B430" s="103" t="s">
        <v>391</v>
      </c>
      <c r="C430" s="103" t="s">
        <v>472</v>
      </c>
      <c r="D430" s="103" t="s">
        <v>473</v>
      </c>
      <c r="E430" s="103" t="s">
        <v>427</v>
      </c>
      <c r="F430" s="103" t="s">
        <v>436</v>
      </c>
      <c r="G430" s="103" t="s">
        <v>474</v>
      </c>
      <c r="H430" s="103" t="s">
        <v>1244</v>
      </c>
    </row>
    <row r="431" ht="22.5" customHeight="1">
      <c r="A431" s="102">
        <v>45945.656083090274</v>
      </c>
      <c r="B431" s="103" t="s">
        <v>287</v>
      </c>
      <c r="C431" s="103" t="s">
        <v>989</v>
      </c>
      <c r="D431" s="103" t="s">
        <v>466</v>
      </c>
      <c r="E431" s="103" t="s">
        <v>427</v>
      </c>
      <c r="F431" s="103" t="s">
        <v>436</v>
      </c>
      <c r="G431" s="103" t="s">
        <v>478</v>
      </c>
      <c r="H431" s="103" t="s">
        <v>1245</v>
      </c>
    </row>
    <row r="432" ht="22.5" customHeight="1">
      <c r="A432" s="102">
        <v>45945.660716597224</v>
      </c>
      <c r="B432" s="103" t="s">
        <v>358</v>
      </c>
      <c r="C432" s="103" t="s">
        <v>1085</v>
      </c>
      <c r="D432" s="103" t="s">
        <v>801</v>
      </c>
      <c r="E432" s="103" t="s">
        <v>450</v>
      </c>
      <c r="F432" s="103" t="s">
        <v>436</v>
      </c>
      <c r="G432" s="103" t="s">
        <v>359</v>
      </c>
      <c r="H432" s="103" t="s">
        <v>1246</v>
      </c>
    </row>
    <row r="433" ht="22.5" customHeight="1">
      <c r="A433" s="102">
        <v>45945.66236472222</v>
      </c>
      <c r="B433" s="103" t="s">
        <v>121</v>
      </c>
      <c r="C433" s="103" t="s">
        <v>940</v>
      </c>
      <c r="D433" s="103" t="s">
        <v>458</v>
      </c>
      <c r="E433" s="103" t="s">
        <v>639</v>
      </c>
      <c r="F433" s="103" t="s">
        <v>436</v>
      </c>
      <c r="G433" s="103" t="s">
        <v>113</v>
      </c>
      <c r="H433" s="103" t="s">
        <v>1247</v>
      </c>
    </row>
    <row r="434" ht="22.5" customHeight="1">
      <c r="A434" s="102">
        <v>45945.66238734954</v>
      </c>
      <c r="B434" s="103" t="s">
        <v>117</v>
      </c>
      <c r="C434" s="103" t="s">
        <v>778</v>
      </c>
      <c r="D434" s="103" t="s">
        <v>779</v>
      </c>
      <c r="E434" s="103" t="s">
        <v>639</v>
      </c>
      <c r="F434" s="103" t="s">
        <v>436</v>
      </c>
      <c r="G434" s="103" t="s">
        <v>986</v>
      </c>
      <c r="H434" s="103" t="s">
        <v>1248</v>
      </c>
    </row>
    <row r="435" ht="22.5" customHeight="1">
      <c r="A435" s="102">
        <v>45945.66246775463</v>
      </c>
      <c r="B435" s="103" t="s">
        <v>215</v>
      </c>
      <c r="C435" s="103" t="s">
        <v>452</v>
      </c>
      <c r="D435" s="103" t="s">
        <v>453</v>
      </c>
      <c r="E435" s="103" t="s">
        <v>639</v>
      </c>
      <c r="F435" s="103" t="s">
        <v>436</v>
      </c>
      <c r="G435" s="103" t="s">
        <v>820</v>
      </c>
      <c r="H435" s="103" t="s">
        <v>1249</v>
      </c>
    </row>
    <row r="436" ht="22.5" customHeight="1">
      <c r="A436" s="102">
        <v>45945.663302754634</v>
      </c>
      <c r="B436" s="103" t="s">
        <v>27</v>
      </c>
      <c r="C436" s="103" t="s">
        <v>946</v>
      </c>
      <c r="D436" s="103" t="s">
        <v>947</v>
      </c>
      <c r="E436" s="103" t="s">
        <v>639</v>
      </c>
      <c r="F436" s="103" t="s">
        <v>436</v>
      </c>
      <c r="G436" s="103" t="s">
        <v>912</v>
      </c>
      <c r="H436" s="103" t="s">
        <v>1250</v>
      </c>
    </row>
    <row r="437" ht="22.5" customHeight="1">
      <c r="A437" s="102">
        <v>45945.66332740741</v>
      </c>
      <c r="B437" s="103" t="s">
        <v>169</v>
      </c>
      <c r="C437" s="103" t="s">
        <v>676</v>
      </c>
      <c r="D437" s="103" t="s">
        <v>677</v>
      </c>
      <c r="E437" s="103" t="s">
        <v>450</v>
      </c>
      <c r="F437" s="103" t="s">
        <v>436</v>
      </c>
      <c r="G437" s="103" t="s">
        <v>445</v>
      </c>
      <c r="H437" s="103" t="s">
        <v>1251</v>
      </c>
    </row>
    <row r="438" ht="22.5" customHeight="1">
      <c r="A438" s="102">
        <v>45945.663354097225</v>
      </c>
      <c r="B438" s="103" t="s">
        <v>268</v>
      </c>
      <c r="C438" s="103" t="s">
        <v>722</v>
      </c>
      <c r="D438" s="103" t="s">
        <v>723</v>
      </c>
      <c r="E438" s="103" t="s">
        <v>639</v>
      </c>
      <c r="F438" s="103" t="s">
        <v>436</v>
      </c>
      <c r="G438" s="103" t="s">
        <v>604</v>
      </c>
      <c r="H438" s="103" t="s">
        <v>1252</v>
      </c>
    </row>
    <row r="439" ht="22.5" customHeight="1">
      <c r="A439" s="102">
        <v>45945.663500219904</v>
      </c>
      <c r="B439" s="103" t="s">
        <v>102</v>
      </c>
      <c r="C439" s="103" t="s">
        <v>508</v>
      </c>
      <c r="D439" s="103" t="s">
        <v>509</v>
      </c>
      <c r="E439" s="103" t="s">
        <v>450</v>
      </c>
      <c r="F439" s="103" t="s">
        <v>436</v>
      </c>
      <c r="G439" s="103" t="s">
        <v>527</v>
      </c>
      <c r="H439" s="103" t="s">
        <v>1252</v>
      </c>
    </row>
    <row r="440" ht="22.5" customHeight="1">
      <c r="A440" s="102">
        <v>45945.663547696764</v>
      </c>
      <c r="B440" s="103" t="s">
        <v>272</v>
      </c>
      <c r="C440" s="103" t="s">
        <v>671</v>
      </c>
      <c r="D440" s="103" t="s">
        <v>509</v>
      </c>
      <c r="E440" s="103" t="s">
        <v>450</v>
      </c>
      <c r="F440" s="103" t="s">
        <v>436</v>
      </c>
      <c r="G440" s="103" t="s">
        <v>604</v>
      </c>
      <c r="H440" s="103" t="s">
        <v>1253</v>
      </c>
    </row>
    <row r="441" ht="22.5" customHeight="1">
      <c r="A441" s="102">
        <v>45945.66357133102</v>
      </c>
      <c r="B441" s="103" t="s">
        <v>274</v>
      </c>
      <c r="C441" s="103" t="s">
        <v>602</v>
      </c>
      <c r="D441" s="103" t="s">
        <v>603</v>
      </c>
      <c r="E441" s="103" t="s">
        <v>450</v>
      </c>
      <c r="F441" s="103" t="s">
        <v>436</v>
      </c>
      <c r="G441" s="103" t="s">
        <v>604</v>
      </c>
      <c r="H441" s="103" t="s">
        <v>1253</v>
      </c>
    </row>
    <row r="442" ht="22.5" customHeight="1">
      <c r="A442" s="102">
        <v>45945.663647141206</v>
      </c>
      <c r="B442" s="103" t="s">
        <v>673</v>
      </c>
      <c r="C442" s="103" t="s">
        <v>674</v>
      </c>
      <c r="D442" s="103" t="s">
        <v>581</v>
      </c>
      <c r="E442" s="103" t="s">
        <v>639</v>
      </c>
      <c r="F442" s="103" t="s">
        <v>436</v>
      </c>
      <c r="G442" s="103" t="s">
        <v>23</v>
      </c>
      <c r="H442" s="103" t="s">
        <v>1254</v>
      </c>
    </row>
    <row r="443" ht="22.5" customHeight="1">
      <c r="A443" s="102">
        <v>45945.66371065972</v>
      </c>
      <c r="B443" s="103" t="s">
        <v>70</v>
      </c>
      <c r="C443" s="103" t="s">
        <v>1255</v>
      </c>
      <c r="D443" s="103" t="s">
        <v>726</v>
      </c>
      <c r="E443" s="103" t="s">
        <v>639</v>
      </c>
      <c r="F443" s="103" t="s">
        <v>436</v>
      </c>
      <c r="G443" s="103" t="s">
        <v>71</v>
      </c>
      <c r="H443" s="103" t="s">
        <v>1256</v>
      </c>
    </row>
    <row r="444" ht="22.5" customHeight="1">
      <c r="A444" s="102">
        <v>45945.66381037037</v>
      </c>
      <c r="B444" s="103" t="s">
        <v>265</v>
      </c>
      <c r="C444" s="103" t="s">
        <v>733</v>
      </c>
      <c r="D444" s="103" t="s">
        <v>734</v>
      </c>
      <c r="E444" s="103" t="s">
        <v>450</v>
      </c>
      <c r="F444" s="103" t="s">
        <v>436</v>
      </c>
      <c r="G444" s="103" t="s">
        <v>604</v>
      </c>
      <c r="H444" s="103" t="s">
        <v>1252</v>
      </c>
    </row>
    <row r="445" ht="22.5" customHeight="1">
      <c r="A445" s="102">
        <v>45945.66381932871</v>
      </c>
      <c r="B445" s="103" t="s">
        <v>213</v>
      </c>
      <c r="C445" s="103" t="s">
        <v>728</v>
      </c>
      <c r="D445" s="103" t="s">
        <v>729</v>
      </c>
      <c r="E445" s="103" t="s">
        <v>639</v>
      </c>
      <c r="F445" s="103" t="s">
        <v>436</v>
      </c>
      <c r="G445" s="103" t="s">
        <v>211</v>
      </c>
      <c r="H445" s="103" t="s">
        <v>1257</v>
      </c>
    </row>
    <row r="446" ht="22.5" customHeight="1">
      <c r="A446" s="102">
        <v>45945.66384984954</v>
      </c>
      <c r="B446" s="103" t="s">
        <v>387</v>
      </c>
      <c r="C446" s="103" t="s">
        <v>665</v>
      </c>
      <c r="D446" s="103" t="s">
        <v>666</v>
      </c>
      <c r="E446" s="103" t="s">
        <v>450</v>
      </c>
      <c r="F446" s="103" t="s">
        <v>436</v>
      </c>
      <c r="G446" s="103" t="s">
        <v>1258</v>
      </c>
      <c r="H446" s="103" t="s">
        <v>1253</v>
      </c>
    </row>
    <row r="447" ht="22.5" customHeight="1">
      <c r="A447" s="102">
        <v>45945.66387942129</v>
      </c>
      <c r="B447" s="103" t="s">
        <v>289</v>
      </c>
      <c r="C447" s="103" t="s">
        <v>735</v>
      </c>
      <c r="D447" s="103" t="s">
        <v>736</v>
      </c>
      <c r="E447" s="103" t="s">
        <v>639</v>
      </c>
      <c r="F447" s="103" t="s">
        <v>436</v>
      </c>
      <c r="G447" s="103" t="s">
        <v>478</v>
      </c>
      <c r="H447" s="103" t="s">
        <v>1259</v>
      </c>
    </row>
    <row r="448" ht="22.5" customHeight="1">
      <c r="A448" s="102">
        <v>45945.663892453704</v>
      </c>
      <c r="B448" s="103" t="s">
        <v>278</v>
      </c>
      <c r="C448" s="103" t="s">
        <v>622</v>
      </c>
      <c r="D448" s="103" t="s">
        <v>623</v>
      </c>
      <c r="E448" s="103" t="s">
        <v>639</v>
      </c>
      <c r="F448" s="103" t="s">
        <v>436</v>
      </c>
      <c r="G448" s="103" t="s">
        <v>604</v>
      </c>
      <c r="H448" s="103" t="s">
        <v>1260</v>
      </c>
    </row>
    <row r="449" ht="22.5" customHeight="1">
      <c r="A449" s="102">
        <v>45945.66389413194</v>
      </c>
      <c r="B449" s="103" t="s">
        <v>389</v>
      </c>
      <c r="C449" s="103" t="s">
        <v>731</v>
      </c>
      <c r="D449" s="103" t="s">
        <v>666</v>
      </c>
      <c r="E449" s="103" t="s">
        <v>450</v>
      </c>
      <c r="F449" s="103" t="s">
        <v>436</v>
      </c>
      <c r="G449" s="103" t="s">
        <v>383</v>
      </c>
      <c r="H449" s="103" t="s">
        <v>1261</v>
      </c>
    </row>
    <row r="450" ht="22.5" customHeight="1">
      <c r="A450" s="102">
        <v>45945.66389991898</v>
      </c>
      <c r="B450" s="103" t="s">
        <v>61</v>
      </c>
      <c r="C450" s="103" t="s">
        <v>741</v>
      </c>
      <c r="D450" s="103" t="s">
        <v>761</v>
      </c>
      <c r="E450" s="103" t="s">
        <v>450</v>
      </c>
      <c r="F450" s="103" t="s">
        <v>436</v>
      </c>
      <c r="G450" s="103" t="s">
        <v>62</v>
      </c>
      <c r="H450" s="103" t="s">
        <v>1253</v>
      </c>
    </row>
    <row r="451" ht="22.5" customHeight="1">
      <c r="A451" s="102">
        <v>45945.66391416667</v>
      </c>
      <c r="B451" s="103" t="s">
        <v>64</v>
      </c>
      <c r="C451" s="103" t="s">
        <v>1089</v>
      </c>
      <c r="D451" s="103" t="s">
        <v>1090</v>
      </c>
      <c r="E451" s="103" t="s">
        <v>450</v>
      </c>
      <c r="F451" s="103" t="s">
        <v>436</v>
      </c>
      <c r="G451" s="103" t="s">
        <v>62</v>
      </c>
      <c r="H451" s="103" t="s">
        <v>1256</v>
      </c>
    </row>
    <row r="452" ht="22.5" customHeight="1">
      <c r="A452" s="102">
        <v>45945.66398484954</v>
      </c>
      <c r="B452" s="103" t="s">
        <v>81</v>
      </c>
      <c r="C452" s="103" t="s">
        <v>569</v>
      </c>
      <c r="D452" s="103" t="s">
        <v>461</v>
      </c>
      <c r="E452" s="103" t="s">
        <v>450</v>
      </c>
      <c r="F452" s="103" t="s">
        <v>436</v>
      </c>
      <c r="G452" s="103" t="s">
        <v>71</v>
      </c>
      <c r="H452" s="103" t="s">
        <v>1262</v>
      </c>
    </row>
    <row r="453" ht="22.5" customHeight="1">
      <c r="A453" s="102">
        <v>45945.66421297454</v>
      </c>
      <c r="B453" s="103" t="s">
        <v>128</v>
      </c>
      <c r="C453" s="103" t="s">
        <v>561</v>
      </c>
      <c r="D453" s="103" t="s">
        <v>830</v>
      </c>
      <c r="E453" s="103" t="s">
        <v>450</v>
      </c>
      <c r="F453" s="103" t="s">
        <v>436</v>
      </c>
      <c r="G453" s="103" t="s">
        <v>124</v>
      </c>
      <c r="H453" s="103" t="s">
        <v>1252</v>
      </c>
    </row>
    <row r="454" ht="22.5" customHeight="1">
      <c r="A454" s="102">
        <v>45945.66443533565</v>
      </c>
      <c r="B454" s="103" t="s">
        <v>150</v>
      </c>
      <c r="C454" s="103" t="s">
        <v>774</v>
      </c>
      <c r="D454" s="103" t="s">
        <v>775</v>
      </c>
      <c r="E454" s="103" t="s">
        <v>639</v>
      </c>
      <c r="F454" s="103" t="s">
        <v>436</v>
      </c>
      <c r="G454" s="103" t="s">
        <v>770</v>
      </c>
      <c r="H454" s="103" t="s">
        <v>1263</v>
      </c>
    </row>
    <row r="455" ht="22.5" customHeight="1">
      <c r="A455" s="102">
        <v>45945.664530277776</v>
      </c>
      <c r="B455" s="103" t="s">
        <v>210</v>
      </c>
      <c r="C455" s="103" t="s">
        <v>711</v>
      </c>
      <c r="D455" s="103" t="s">
        <v>712</v>
      </c>
      <c r="E455" s="103" t="s">
        <v>639</v>
      </c>
      <c r="F455" s="103" t="s">
        <v>436</v>
      </c>
      <c r="G455" s="103" t="s">
        <v>211</v>
      </c>
      <c r="H455" s="103" t="s">
        <v>1264</v>
      </c>
    </row>
    <row r="456" ht="22.5" customHeight="1">
      <c r="A456" s="102">
        <v>45945.66457925926</v>
      </c>
      <c r="B456" s="103" t="s">
        <v>123</v>
      </c>
      <c r="C456" s="103" t="s">
        <v>829</v>
      </c>
      <c r="D456" s="103" t="s">
        <v>654</v>
      </c>
      <c r="E456" s="103" t="s">
        <v>450</v>
      </c>
      <c r="F456" s="103" t="s">
        <v>436</v>
      </c>
      <c r="G456" s="103" t="s">
        <v>124</v>
      </c>
      <c r="H456" s="103" t="s">
        <v>1259</v>
      </c>
    </row>
    <row r="457" ht="22.5" customHeight="1">
      <c r="A457" s="102">
        <v>45945.664597546296</v>
      </c>
      <c r="B457" s="103" t="s">
        <v>126</v>
      </c>
      <c r="C457" s="103" t="s">
        <v>1265</v>
      </c>
      <c r="D457" s="103" t="s">
        <v>1266</v>
      </c>
      <c r="E457" s="103" t="s">
        <v>450</v>
      </c>
      <c r="F457" s="103" t="s">
        <v>436</v>
      </c>
      <c r="G457" s="103" t="s">
        <v>1225</v>
      </c>
      <c r="H457" s="103" t="s">
        <v>1252</v>
      </c>
    </row>
    <row r="458" ht="22.5" customHeight="1">
      <c r="A458" s="102">
        <v>45945.66498552084</v>
      </c>
      <c r="B458" s="103" t="s">
        <v>150</v>
      </c>
      <c r="C458" s="103" t="s">
        <v>774</v>
      </c>
      <c r="D458" s="103" t="s">
        <v>775</v>
      </c>
      <c r="E458" s="103" t="s">
        <v>450</v>
      </c>
      <c r="F458" s="103" t="s">
        <v>436</v>
      </c>
      <c r="G458" s="103" t="s">
        <v>770</v>
      </c>
      <c r="H458" s="103" t="s">
        <v>1267</v>
      </c>
    </row>
    <row r="459" ht="22.5" customHeight="1">
      <c r="A459" s="102">
        <v>45945.66504571759</v>
      </c>
      <c r="B459" s="103" t="s">
        <v>73</v>
      </c>
      <c r="C459" s="103" t="s">
        <v>557</v>
      </c>
      <c r="D459" s="103" t="s">
        <v>709</v>
      </c>
      <c r="E459" s="103" t="s">
        <v>639</v>
      </c>
      <c r="F459" s="103" t="s">
        <v>441</v>
      </c>
      <c r="G459" s="103" t="s">
        <v>71</v>
      </c>
      <c r="H459" s="103" t="s">
        <v>1256</v>
      </c>
    </row>
    <row r="460" ht="22.5" customHeight="1">
      <c r="A460" s="102">
        <v>45945.66524428241</v>
      </c>
      <c r="B460" s="103" t="s">
        <v>276</v>
      </c>
      <c r="C460" s="103" t="s">
        <v>714</v>
      </c>
      <c r="D460" s="103" t="s">
        <v>715</v>
      </c>
      <c r="E460" s="103" t="s">
        <v>639</v>
      </c>
      <c r="F460" s="103" t="s">
        <v>436</v>
      </c>
      <c r="G460" s="103" t="s">
        <v>604</v>
      </c>
      <c r="H460" s="103" t="s">
        <v>1264</v>
      </c>
    </row>
    <row r="461" ht="22.5" customHeight="1">
      <c r="A461" s="102">
        <v>45945.665646863425</v>
      </c>
      <c r="B461" s="103" t="s">
        <v>152</v>
      </c>
      <c r="C461" s="103" t="s">
        <v>962</v>
      </c>
      <c r="D461" s="103" t="s">
        <v>769</v>
      </c>
      <c r="E461" s="103" t="s">
        <v>450</v>
      </c>
      <c r="F461" s="103" t="s">
        <v>436</v>
      </c>
      <c r="G461" s="103" t="s">
        <v>1268</v>
      </c>
      <c r="H461" s="103" t="s">
        <v>1269</v>
      </c>
    </row>
    <row r="462" ht="22.5" customHeight="1">
      <c r="A462" s="102">
        <v>45945.66595576389</v>
      </c>
      <c r="B462" s="103" t="s">
        <v>147</v>
      </c>
      <c r="C462" s="103" t="s">
        <v>780</v>
      </c>
      <c r="D462" s="103" t="s">
        <v>781</v>
      </c>
      <c r="E462" s="103" t="s">
        <v>450</v>
      </c>
      <c r="F462" s="103" t="s">
        <v>436</v>
      </c>
      <c r="G462" s="103" t="s">
        <v>1270</v>
      </c>
      <c r="H462" s="103" t="s">
        <v>1271</v>
      </c>
    </row>
    <row r="463" ht="22.5" customHeight="1">
      <c r="A463" s="102">
        <v>45945.6671918287</v>
      </c>
      <c r="B463" s="103" t="s">
        <v>163</v>
      </c>
      <c r="C463" s="103" t="s">
        <v>425</v>
      </c>
      <c r="D463" s="103" t="s">
        <v>895</v>
      </c>
      <c r="E463" s="103" t="s">
        <v>450</v>
      </c>
      <c r="F463" s="103" t="s">
        <v>441</v>
      </c>
      <c r="G463" s="103" t="s">
        <v>161</v>
      </c>
      <c r="H463" s="103" t="s">
        <v>1272</v>
      </c>
    </row>
    <row r="464" ht="22.5" customHeight="1">
      <c r="A464" s="102">
        <v>45945.66720564815</v>
      </c>
      <c r="B464" s="103" t="s">
        <v>221</v>
      </c>
      <c r="C464" s="103" t="s">
        <v>787</v>
      </c>
      <c r="D464" s="103" t="s">
        <v>651</v>
      </c>
      <c r="E464" s="103" t="s">
        <v>639</v>
      </c>
      <c r="F464" s="103" t="s">
        <v>436</v>
      </c>
      <c r="G464" s="103" t="s">
        <v>1157</v>
      </c>
      <c r="H464" s="103" t="s">
        <v>1273</v>
      </c>
    </row>
    <row r="465" ht="22.5" customHeight="1">
      <c r="A465" s="102">
        <v>45945.667602754635</v>
      </c>
      <c r="B465" s="103" t="s">
        <v>324</v>
      </c>
      <c r="C465" s="103" t="s">
        <v>590</v>
      </c>
      <c r="D465" s="103" t="s">
        <v>591</v>
      </c>
      <c r="E465" s="103" t="s">
        <v>578</v>
      </c>
      <c r="F465" s="103" t="s">
        <v>436</v>
      </c>
      <c r="G465" s="103" t="s">
        <v>699</v>
      </c>
      <c r="H465" s="103" t="s">
        <v>1274</v>
      </c>
    </row>
    <row r="466" ht="22.5" customHeight="1">
      <c r="A466" s="102">
        <v>45945.667630393524</v>
      </c>
      <c r="B466" s="103" t="s">
        <v>304</v>
      </c>
      <c r="C466" s="103" t="s">
        <v>887</v>
      </c>
      <c r="D466" s="103" t="s">
        <v>888</v>
      </c>
      <c r="E466" s="103" t="s">
        <v>420</v>
      </c>
      <c r="F466" s="103" t="s">
        <v>441</v>
      </c>
      <c r="G466" s="103" t="s">
        <v>1275</v>
      </c>
      <c r="H466" s="103" t="s">
        <v>1276</v>
      </c>
    </row>
    <row r="467" ht="22.5" customHeight="1">
      <c r="A467" s="102">
        <v>45945.66764818287</v>
      </c>
      <c r="B467" s="103" t="s">
        <v>219</v>
      </c>
      <c r="C467" s="103" t="s">
        <v>1277</v>
      </c>
      <c r="D467" s="103" t="s">
        <v>1278</v>
      </c>
      <c r="E467" s="103" t="s">
        <v>639</v>
      </c>
      <c r="F467" s="103" t="s">
        <v>436</v>
      </c>
      <c r="G467" s="103" t="s">
        <v>1279</v>
      </c>
      <c r="H467" s="103" t="s">
        <v>1280</v>
      </c>
    </row>
    <row r="468" ht="22.5" customHeight="1">
      <c r="A468" s="102">
        <v>45945.66768201389</v>
      </c>
      <c r="B468" s="103" t="s">
        <v>9</v>
      </c>
      <c r="C468" s="103" t="s">
        <v>576</v>
      </c>
      <c r="D468" s="103" t="s">
        <v>577</v>
      </c>
      <c r="E468" s="103" t="s">
        <v>578</v>
      </c>
      <c r="F468" s="103" t="s">
        <v>436</v>
      </c>
      <c r="G468" s="103" t="s">
        <v>10</v>
      </c>
      <c r="H468" s="103" t="s">
        <v>1281</v>
      </c>
    </row>
    <row r="469" ht="22.5" customHeight="1">
      <c r="A469" s="102">
        <v>45945.66770174769</v>
      </c>
      <c r="B469" s="103" t="s">
        <v>382</v>
      </c>
      <c r="C469" s="103" t="s">
        <v>468</v>
      </c>
      <c r="D469" s="103" t="s">
        <v>469</v>
      </c>
      <c r="E469" s="103" t="s">
        <v>494</v>
      </c>
      <c r="F469" s="103" t="s">
        <v>436</v>
      </c>
      <c r="G469" s="103" t="s">
        <v>1074</v>
      </c>
      <c r="H469" s="103" t="s">
        <v>1282</v>
      </c>
    </row>
    <row r="470" ht="22.5" customHeight="1">
      <c r="A470" s="102">
        <v>45945.667729374996</v>
      </c>
      <c r="B470" s="103" t="s">
        <v>332</v>
      </c>
      <c r="C470" s="103" t="s">
        <v>445</v>
      </c>
      <c r="D470" s="103" t="s">
        <v>739</v>
      </c>
      <c r="E470" s="103" t="s">
        <v>420</v>
      </c>
      <c r="F470" s="103" t="s">
        <v>441</v>
      </c>
      <c r="G470" s="103" t="s">
        <v>699</v>
      </c>
      <c r="H470" s="103" t="s">
        <v>1283</v>
      </c>
    </row>
    <row r="471" ht="22.5" customHeight="1">
      <c r="A471" s="102">
        <v>45945.6677575</v>
      </c>
      <c r="B471" s="103" t="s">
        <v>16</v>
      </c>
      <c r="C471" s="103" t="s">
        <v>771</v>
      </c>
      <c r="D471" s="103" t="s">
        <v>772</v>
      </c>
      <c r="E471" s="103" t="s">
        <v>578</v>
      </c>
      <c r="F471" s="103" t="s">
        <v>436</v>
      </c>
      <c r="G471" s="103" t="s">
        <v>1284</v>
      </c>
      <c r="H471" s="103" t="s">
        <v>1285</v>
      </c>
    </row>
    <row r="472" ht="22.5" customHeight="1">
      <c r="A472" s="102">
        <v>45945.66776596065</v>
      </c>
      <c r="B472" s="103" t="s">
        <v>237</v>
      </c>
      <c r="C472" s="103" t="s">
        <v>861</v>
      </c>
      <c r="D472" s="103" t="s">
        <v>862</v>
      </c>
      <c r="E472" s="103" t="s">
        <v>420</v>
      </c>
      <c r="F472" s="103" t="s">
        <v>436</v>
      </c>
      <c r="G472" s="103" t="s">
        <v>1286</v>
      </c>
      <c r="H472" s="103" t="s">
        <v>1287</v>
      </c>
    </row>
    <row r="473" ht="22.5" customHeight="1">
      <c r="A473" s="102">
        <v>45945.66776699074</v>
      </c>
      <c r="B473" s="103" t="s">
        <v>206</v>
      </c>
      <c r="C473" s="103" t="s">
        <v>445</v>
      </c>
      <c r="D473" s="103" t="s">
        <v>1288</v>
      </c>
      <c r="E473" s="103" t="s">
        <v>420</v>
      </c>
      <c r="F473" s="103" t="s">
        <v>441</v>
      </c>
      <c r="G473" s="103" t="s">
        <v>1019</v>
      </c>
      <c r="H473" s="103" t="s">
        <v>1289</v>
      </c>
    </row>
    <row r="474" ht="22.5" customHeight="1">
      <c r="A474" s="102">
        <v>45945.66777680555</v>
      </c>
      <c r="B474" s="103" t="s">
        <v>396</v>
      </c>
      <c r="C474" s="103" t="s">
        <v>593</v>
      </c>
      <c r="D474" s="103" t="s">
        <v>594</v>
      </c>
      <c r="E474" s="103" t="s">
        <v>420</v>
      </c>
      <c r="F474" s="103" t="s">
        <v>436</v>
      </c>
      <c r="G474" s="103" t="s">
        <v>568</v>
      </c>
      <c r="H474" s="103" t="s">
        <v>1290</v>
      </c>
    </row>
    <row r="475" ht="22.5" customHeight="1">
      <c r="A475" s="102">
        <v>45945.66778239583</v>
      </c>
      <c r="B475" s="103" t="s">
        <v>385</v>
      </c>
      <c r="C475" s="103" t="s">
        <v>465</v>
      </c>
      <c r="D475" s="103" t="s">
        <v>466</v>
      </c>
      <c r="E475" s="103" t="s">
        <v>420</v>
      </c>
      <c r="F475" s="103" t="s">
        <v>436</v>
      </c>
      <c r="G475" s="103" t="s">
        <v>474</v>
      </c>
      <c r="H475" s="103" t="s">
        <v>1291</v>
      </c>
    </row>
    <row r="476" ht="22.5" customHeight="1">
      <c r="A476" s="102">
        <v>45945.66779947917</v>
      </c>
      <c r="B476" s="103" t="s">
        <v>235</v>
      </c>
      <c r="C476" s="103" t="s">
        <v>1292</v>
      </c>
      <c r="D476" s="103" t="s">
        <v>891</v>
      </c>
      <c r="E476" s="103" t="s">
        <v>420</v>
      </c>
      <c r="F476" s="103" t="s">
        <v>436</v>
      </c>
      <c r="G476" s="103" t="s">
        <v>1286</v>
      </c>
      <c r="H476" s="103" t="s">
        <v>1293</v>
      </c>
    </row>
    <row r="477" ht="22.5" customHeight="1">
      <c r="A477" s="102">
        <v>45945.66781912037</v>
      </c>
      <c r="B477" s="103" t="s">
        <v>252</v>
      </c>
      <c r="C477" s="103" t="s">
        <v>901</v>
      </c>
      <c r="D477" s="103" t="s">
        <v>614</v>
      </c>
      <c r="E477" s="103" t="s">
        <v>578</v>
      </c>
      <c r="F477" s="103" t="s">
        <v>436</v>
      </c>
      <c r="G477" s="103" t="s">
        <v>615</v>
      </c>
      <c r="H477" s="103" t="s">
        <v>1294</v>
      </c>
    </row>
    <row r="478" ht="22.5" customHeight="1">
      <c r="A478" s="102">
        <v>45945.66782243055</v>
      </c>
      <c r="B478" s="103" t="s">
        <v>691</v>
      </c>
      <c r="C478" s="103" t="s">
        <v>416</v>
      </c>
      <c r="D478" s="103" t="s">
        <v>692</v>
      </c>
      <c r="E478" s="103" t="s">
        <v>420</v>
      </c>
      <c r="F478" s="103" t="s">
        <v>436</v>
      </c>
      <c r="G478" s="103" t="s">
        <v>699</v>
      </c>
      <c r="H478" s="103" t="s">
        <v>1295</v>
      </c>
    </row>
    <row r="479" ht="22.5" customHeight="1">
      <c r="A479" s="102">
        <v>45945.66784563658</v>
      </c>
      <c r="B479" s="103" t="s">
        <v>365</v>
      </c>
      <c r="C479" s="103" t="s">
        <v>653</v>
      </c>
      <c r="D479" s="103" t="s">
        <v>654</v>
      </c>
      <c r="E479" s="103" t="s">
        <v>420</v>
      </c>
      <c r="F479" s="103" t="s">
        <v>436</v>
      </c>
      <c r="G479" s="103" t="s">
        <v>655</v>
      </c>
      <c r="H479" s="103" t="s">
        <v>1296</v>
      </c>
    </row>
    <row r="480" ht="22.5" customHeight="1">
      <c r="A480" s="102">
        <v>45945.6678559838</v>
      </c>
      <c r="B480" s="103" t="s">
        <v>326</v>
      </c>
      <c r="C480" s="103" t="s">
        <v>1148</v>
      </c>
      <c r="D480" s="103" t="s">
        <v>698</v>
      </c>
      <c r="E480" s="103" t="s">
        <v>420</v>
      </c>
      <c r="F480" s="103" t="s">
        <v>436</v>
      </c>
      <c r="G480" s="103" t="s">
        <v>805</v>
      </c>
      <c r="H480" s="103" t="s">
        <v>1297</v>
      </c>
    </row>
    <row r="481" ht="22.5" customHeight="1">
      <c r="A481" s="102">
        <v>45945.66791596064</v>
      </c>
      <c r="B481" s="103" t="s">
        <v>200</v>
      </c>
      <c r="C481" s="103" t="s">
        <v>950</v>
      </c>
      <c r="D481" s="103" t="s">
        <v>588</v>
      </c>
      <c r="E481" s="103" t="s">
        <v>578</v>
      </c>
      <c r="F481" s="103" t="s">
        <v>436</v>
      </c>
      <c r="G481" s="103" t="s">
        <v>198</v>
      </c>
      <c r="H481" s="103" t="s">
        <v>1298</v>
      </c>
    </row>
    <row r="482" ht="22.5" customHeight="1">
      <c r="A482" s="102">
        <v>45945.667917175924</v>
      </c>
      <c r="B482" s="103" t="s">
        <v>197</v>
      </c>
      <c r="C482" s="103" t="s">
        <v>618</v>
      </c>
      <c r="D482" s="103" t="s">
        <v>619</v>
      </c>
      <c r="E482" s="103" t="s">
        <v>578</v>
      </c>
      <c r="F482" s="103" t="s">
        <v>436</v>
      </c>
      <c r="G482" s="103" t="s">
        <v>620</v>
      </c>
      <c r="H482" s="103" t="s">
        <v>1299</v>
      </c>
    </row>
    <row r="483" ht="22.5" customHeight="1">
      <c r="A483" s="102">
        <v>45945.6679215162</v>
      </c>
      <c r="B483" s="103" t="s">
        <v>398</v>
      </c>
      <c r="C483" s="103" t="s">
        <v>751</v>
      </c>
      <c r="D483" s="103" t="s">
        <v>752</v>
      </c>
      <c r="E483" s="103" t="s">
        <v>420</v>
      </c>
      <c r="F483" s="103" t="s">
        <v>436</v>
      </c>
      <c r="G483" s="103" t="s">
        <v>585</v>
      </c>
      <c r="H483" s="103" t="s">
        <v>1300</v>
      </c>
    </row>
    <row r="484" ht="22.5" customHeight="1">
      <c r="A484" s="102">
        <v>45945.66792403936</v>
      </c>
      <c r="B484" s="103" t="s">
        <v>285</v>
      </c>
      <c r="C484" s="103" t="s">
        <v>790</v>
      </c>
      <c r="D484" s="103" t="s">
        <v>791</v>
      </c>
      <c r="E484" s="103" t="s">
        <v>420</v>
      </c>
      <c r="F484" s="103" t="s">
        <v>436</v>
      </c>
      <c r="G484" s="103" t="s">
        <v>478</v>
      </c>
      <c r="H484" s="103" t="s">
        <v>1301</v>
      </c>
    </row>
    <row r="485" ht="22.5" customHeight="1">
      <c r="A485" s="102">
        <v>45945.66792849537</v>
      </c>
      <c r="B485" s="103" t="s">
        <v>400</v>
      </c>
      <c r="C485" s="103" t="s">
        <v>445</v>
      </c>
      <c r="D485" s="103" t="s">
        <v>1302</v>
      </c>
      <c r="E485" s="103" t="s">
        <v>420</v>
      </c>
      <c r="F485" s="103" t="s">
        <v>436</v>
      </c>
      <c r="G485" s="103" t="s">
        <v>585</v>
      </c>
      <c r="H485" s="103" t="s">
        <v>1300</v>
      </c>
    </row>
    <row r="486" ht="22.5" customHeight="1">
      <c r="A486" s="102">
        <v>45945.66794155093</v>
      </c>
      <c r="B486" s="103" t="s">
        <v>404</v>
      </c>
      <c r="C486" s="103" t="s">
        <v>583</v>
      </c>
      <c r="D486" s="103" t="s">
        <v>584</v>
      </c>
      <c r="E486" s="103" t="s">
        <v>420</v>
      </c>
      <c r="F486" s="103" t="s">
        <v>441</v>
      </c>
      <c r="G486" s="103" t="s">
        <v>568</v>
      </c>
      <c r="H486" s="103" t="s">
        <v>1303</v>
      </c>
    </row>
    <row r="487" ht="22.5" customHeight="1">
      <c r="A487" s="102">
        <v>45945.66797201389</v>
      </c>
      <c r="B487" s="103" t="s">
        <v>100</v>
      </c>
      <c r="C487" s="103" t="s">
        <v>1203</v>
      </c>
      <c r="D487" s="103" t="s">
        <v>597</v>
      </c>
      <c r="E487" s="103" t="s">
        <v>420</v>
      </c>
      <c r="F487" s="103" t="s">
        <v>441</v>
      </c>
      <c r="G487" s="103" t="s">
        <v>527</v>
      </c>
      <c r="H487" s="103" t="s">
        <v>1304</v>
      </c>
    </row>
    <row r="488" ht="22.5" customHeight="1">
      <c r="A488" s="102">
        <v>45945.667987037035</v>
      </c>
      <c r="B488" s="103" t="s">
        <v>242</v>
      </c>
      <c r="C488" s="103" t="s">
        <v>679</v>
      </c>
      <c r="D488" s="103" t="s">
        <v>680</v>
      </c>
      <c r="E488" s="103" t="s">
        <v>578</v>
      </c>
      <c r="F488" s="103" t="s">
        <v>436</v>
      </c>
      <c r="G488" s="103" t="s">
        <v>615</v>
      </c>
      <c r="H488" s="103" t="s">
        <v>1305</v>
      </c>
    </row>
    <row r="489" ht="22.5" customHeight="1">
      <c r="A489" s="102">
        <v>45945.66799527778</v>
      </c>
      <c r="B489" s="103" t="s">
        <v>31</v>
      </c>
      <c r="C489" s="103" t="s">
        <v>569</v>
      </c>
      <c r="D489" s="103" t="s">
        <v>694</v>
      </c>
      <c r="E489" s="103" t="s">
        <v>420</v>
      </c>
      <c r="F489" s="103" t="s">
        <v>436</v>
      </c>
      <c r="G489" s="103" t="s">
        <v>1306</v>
      </c>
      <c r="H489" s="103" t="s">
        <v>1307</v>
      </c>
    </row>
    <row r="490" ht="22.5" customHeight="1">
      <c r="A490" s="102">
        <v>45945.667997847224</v>
      </c>
      <c r="B490" s="103" t="s">
        <v>18</v>
      </c>
      <c r="C490" s="103" t="s">
        <v>811</v>
      </c>
      <c r="D490" s="103" t="s">
        <v>812</v>
      </c>
      <c r="E490" s="103" t="s">
        <v>420</v>
      </c>
      <c r="F490" s="103" t="s">
        <v>436</v>
      </c>
      <c r="G490" s="103" t="s">
        <v>957</v>
      </c>
      <c r="H490" s="103" t="s">
        <v>1308</v>
      </c>
    </row>
    <row r="491" ht="22.5" customHeight="1">
      <c r="A491" s="102">
        <v>45945.66800387732</v>
      </c>
      <c r="B491" s="103" t="s">
        <v>246</v>
      </c>
      <c r="C491" s="103" t="s">
        <v>703</v>
      </c>
      <c r="D491" s="103" t="s">
        <v>704</v>
      </c>
      <c r="E491" s="103" t="s">
        <v>578</v>
      </c>
      <c r="F491" s="103" t="s">
        <v>441</v>
      </c>
      <c r="G491" s="103" t="s">
        <v>705</v>
      </c>
      <c r="H491" s="103" t="s">
        <v>1309</v>
      </c>
    </row>
    <row r="492" ht="22.5" customHeight="1">
      <c r="A492" s="102">
        <v>45945.6680045949</v>
      </c>
      <c r="B492" s="103" t="s">
        <v>298</v>
      </c>
      <c r="C492" s="103" t="s">
        <v>460</v>
      </c>
      <c r="D492" s="103" t="s">
        <v>461</v>
      </c>
      <c r="E492" s="103" t="s">
        <v>420</v>
      </c>
      <c r="F492" s="103" t="s">
        <v>436</v>
      </c>
      <c r="G492" s="103" t="s">
        <v>462</v>
      </c>
      <c r="H492" s="103" t="s">
        <v>1310</v>
      </c>
    </row>
    <row r="493" ht="22.5" customHeight="1">
      <c r="A493" s="102">
        <v>45945.668049768516</v>
      </c>
      <c r="B493" s="103" t="s">
        <v>217</v>
      </c>
      <c r="C493" s="103" t="s">
        <v>1311</v>
      </c>
      <c r="D493" s="103" t="s">
        <v>647</v>
      </c>
      <c r="E493" s="103" t="s">
        <v>450</v>
      </c>
      <c r="F493" s="103" t="s">
        <v>436</v>
      </c>
      <c r="G493" s="103" t="s">
        <v>820</v>
      </c>
      <c r="H493" s="103" t="s">
        <v>1252</v>
      </c>
    </row>
    <row r="494" ht="22.5" customHeight="1">
      <c r="A494" s="102">
        <v>45945.6680528125</v>
      </c>
      <c r="B494" s="103" t="s">
        <v>141</v>
      </c>
      <c r="C494" s="103" t="s">
        <v>803</v>
      </c>
      <c r="D494" s="103" t="s">
        <v>804</v>
      </c>
      <c r="E494" s="103" t="s">
        <v>420</v>
      </c>
      <c r="F494" s="103" t="s">
        <v>436</v>
      </c>
      <c r="G494" s="103" t="s">
        <v>1176</v>
      </c>
      <c r="H494" s="103" t="s">
        <v>1296</v>
      </c>
    </row>
    <row r="495" ht="22.5" customHeight="1">
      <c r="A495" s="102">
        <v>45945.66808909722</v>
      </c>
      <c r="B495" s="103" t="s">
        <v>322</v>
      </c>
      <c r="C495" s="103" t="s">
        <v>631</v>
      </c>
      <c r="D495" s="103" t="s">
        <v>632</v>
      </c>
      <c r="E495" s="103" t="s">
        <v>578</v>
      </c>
      <c r="F495" s="103" t="s">
        <v>436</v>
      </c>
      <c r="G495" s="103" t="s">
        <v>699</v>
      </c>
      <c r="H495" s="103" t="s">
        <v>1312</v>
      </c>
    </row>
    <row r="496" ht="22.5" customHeight="1">
      <c r="A496" s="102">
        <v>45945.66810282407</v>
      </c>
      <c r="B496" s="103" t="s">
        <v>306</v>
      </c>
      <c r="C496" s="103" t="s">
        <v>748</v>
      </c>
      <c r="D496" s="103" t="s">
        <v>994</v>
      </c>
      <c r="E496" s="103" t="s">
        <v>420</v>
      </c>
      <c r="F496" s="103" t="s">
        <v>436</v>
      </c>
      <c r="G496" s="103" t="s">
        <v>462</v>
      </c>
      <c r="H496" s="103">
        <v>41.0</v>
      </c>
    </row>
    <row r="497" ht="22.5" customHeight="1">
      <c r="A497" s="102">
        <v>45945.668123842595</v>
      </c>
      <c r="B497" s="103" t="s">
        <v>97</v>
      </c>
      <c r="C497" s="103" t="s">
        <v>580</v>
      </c>
      <c r="D497" s="103" t="s">
        <v>581</v>
      </c>
      <c r="E497" s="103" t="s">
        <v>420</v>
      </c>
      <c r="F497" s="103" t="s">
        <v>441</v>
      </c>
      <c r="G497" s="103" t="s">
        <v>98</v>
      </c>
      <c r="H497" s="103" t="s">
        <v>1313</v>
      </c>
    </row>
    <row r="498" ht="22.5" customHeight="1">
      <c r="A498" s="102">
        <v>45945.66812782407</v>
      </c>
      <c r="B498" s="103" t="s">
        <v>208</v>
      </c>
      <c r="C498" s="103" t="s">
        <v>701</v>
      </c>
      <c r="D498" s="103" t="s">
        <v>1022</v>
      </c>
      <c r="E498" s="103" t="s">
        <v>420</v>
      </c>
      <c r="F498" s="103" t="s">
        <v>436</v>
      </c>
      <c r="G498" s="103" t="s">
        <v>198</v>
      </c>
      <c r="H498" s="103" t="s">
        <v>1314</v>
      </c>
    </row>
    <row r="499" ht="22.5" customHeight="1">
      <c r="A499" s="102">
        <v>45945.668134224536</v>
      </c>
      <c r="B499" s="103" t="s">
        <v>33</v>
      </c>
      <c r="C499" s="103" t="s">
        <v>743</v>
      </c>
      <c r="D499" s="103" t="s">
        <v>458</v>
      </c>
      <c r="E499" s="103" t="s">
        <v>420</v>
      </c>
      <c r="F499" s="103" t="s">
        <v>436</v>
      </c>
      <c r="G499" s="103" t="s">
        <v>23</v>
      </c>
      <c r="H499" s="103" t="s">
        <v>1315</v>
      </c>
    </row>
    <row r="500" ht="22.5" customHeight="1">
      <c r="A500" s="102">
        <v>45945.66815677083</v>
      </c>
      <c r="B500" s="103" t="s">
        <v>330</v>
      </c>
      <c r="C500" s="103" t="s">
        <v>662</v>
      </c>
      <c r="D500" s="103" t="s">
        <v>1316</v>
      </c>
      <c r="E500" s="103" t="s">
        <v>420</v>
      </c>
      <c r="F500" s="103" t="s">
        <v>436</v>
      </c>
      <c r="G500" s="103" t="s">
        <v>699</v>
      </c>
      <c r="H500" s="103" t="s">
        <v>1317</v>
      </c>
    </row>
    <row r="501" ht="22.5" customHeight="1">
      <c r="A501" s="102">
        <v>45945.66816763888</v>
      </c>
      <c r="B501" s="103" t="s">
        <v>230</v>
      </c>
      <c r="C501" s="103" t="s">
        <v>911</v>
      </c>
      <c r="D501" s="103" t="s">
        <v>573</v>
      </c>
      <c r="E501" s="103" t="s">
        <v>420</v>
      </c>
      <c r="F501" s="103" t="s">
        <v>436</v>
      </c>
      <c r="G501" s="103" t="s">
        <v>224</v>
      </c>
      <c r="H501" s="103" t="s">
        <v>1318</v>
      </c>
    </row>
    <row r="502" ht="22.5" customHeight="1">
      <c r="A502" s="102">
        <v>45945.668204664355</v>
      </c>
      <c r="B502" s="103" t="s">
        <v>20</v>
      </c>
      <c r="C502" s="103" t="s">
        <v>754</v>
      </c>
      <c r="D502" s="103" t="s">
        <v>923</v>
      </c>
      <c r="E502" s="103" t="s">
        <v>420</v>
      </c>
      <c r="F502" s="103" t="s">
        <v>436</v>
      </c>
      <c r="G502" s="103" t="s">
        <v>957</v>
      </c>
      <c r="H502" s="103" t="s">
        <v>1319</v>
      </c>
    </row>
    <row r="503" ht="22.5" customHeight="1">
      <c r="A503" s="102">
        <v>45945.66824414352</v>
      </c>
      <c r="B503" s="103" t="s">
        <v>324</v>
      </c>
      <c r="C503" s="103" t="s">
        <v>1320</v>
      </c>
      <c r="D503" s="103" t="s">
        <v>591</v>
      </c>
      <c r="E503" s="103" t="s">
        <v>578</v>
      </c>
      <c r="F503" s="103" t="s">
        <v>436</v>
      </c>
      <c r="G503" s="103" t="s">
        <v>699</v>
      </c>
      <c r="H503" s="103" t="s">
        <v>1321</v>
      </c>
    </row>
    <row r="504" ht="22.5" customHeight="1">
      <c r="A504" s="102">
        <v>45945.66825707176</v>
      </c>
      <c r="B504" s="103" t="s">
        <v>184</v>
      </c>
      <c r="C504" s="103" t="s">
        <v>1322</v>
      </c>
      <c r="D504" s="103" t="s">
        <v>866</v>
      </c>
      <c r="E504" s="103" t="s">
        <v>420</v>
      </c>
      <c r="F504" s="103" t="s">
        <v>436</v>
      </c>
      <c r="G504" s="103" t="s">
        <v>10</v>
      </c>
      <c r="H504" s="103" t="s">
        <v>1323</v>
      </c>
    </row>
    <row r="505" ht="22.5" customHeight="1">
      <c r="A505" s="102">
        <v>45945.668277951394</v>
      </c>
      <c r="B505" s="103" t="s">
        <v>187</v>
      </c>
      <c r="C505" s="103" t="s">
        <v>751</v>
      </c>
      <c r="D505" s="103" t="s">
        <v>647</v>
      </c>
      <c r="E505" s="103" t="s">
        <v>420</v>
      </c>
      <c r="F505" s="103" t="s">
        <v>436</v>
      </c>
      <c r="G505" s="103" t="s">
        <v>1324</v>
      </c>
      <c r="H505" s="103" t="s">
        <v>1325</v>
      </c>
    </row>
    <row r="506" ht="22.5" customHeight="1">
      <c r="A506" s="102">
        <v>45945.66827841435</v>
      </c>
      <c r="B506" s="103" t="s">
        <v>367</v>
      </c>
      <c r="C506" s="103" t="s">
        <v>757</v>
      </c>
      <c r="D506" s="103" t="s">
        <v>758</v>
      </c>
      <c r="E506" s="103" t="s">
        <v>420</v>
      </c>
      <c r="F506" s="103" t="s">
        <v>436</v>
      </c>
      <c r="G506" s="103" t="s">
        <v>759</v>
      </c>
      <c r="H506" s="103" t="s">
        <v>1326</v>
      </c>
    </row>
    <row r="507" ht="22.5" customHeight="1">
      <c r="A507" s="102">
        <v>45945.66836412037</v>
      </c>
      <c r="B507" s="103" t="s">
        <v>14</v>
      </c>
      <c r="C507" s="103" t="s">
        <v>718</v>
      </c>
      <c r="D507" s="103" t="s">
        <v>719</v>
      </c>
      <c r="E507" s="103" t="s">
        <v>578</v>
      </c>
      <c r="F507" s="103" t="s">
        <v>436</v>
      </c>
      <c r="G507" s="103" t="s">
        <v>1006</v>
      </c>
      <c r="H507" s="103" t="s">
        <v>1327</v>
      </c>
    </row>
    <row r="508" ht="22.5" customHeight="1">
      <c r="A508" s="102">
        <v>45945.66838231482</v>
      </c>
      <c r="B508" s="103" t="s">
        <v>202</v>
      </c>
      <c r="C508" s="103" t="s">
        <v>634</v>
      </c>
      <c r="D508" s="103" t="s">
        <v>635</v>
      </c>
      <c r="E508" s="103" t="s">
        <v>420</v>
      </c>
      <c r="F508" s="103" t="s">
        <v>436</v>
      </c>
      <c r="G508" s="103" t="s">
        <v>198</v>
      </c>
      <c r="H508" s="103" t="s">
        <v>1282</v>
      </c>
    </row>
    <row r="509" ht="22.5" customHeight="1">
      <c r="A509" s="102">
        <v>45945.66839140047</v>
      </c>
      <c r="B509" s="103" t="s">
        <v>291</v>
      </c>
      <c r="C509" s="103" t="s">
        <v>682</v>
      </c>
      <c r="D509" s="103" t="s">
        <v>683</v>
      </c>
      <c r="E509" s="103" t="s">
        <v>639</v>
      </c>
      <c r="F509" s="103" t="s">
        <v>436</v>
      </c>
      <c r="G509" s="103" t="s">
        <v>478</v>
      </c>
      <c r="H509" s="103" t="s">
        <v>1248</v>
      </c>
    </row>
    <row r="510" ht="22.5" customHeight="1">
      <c r="A510" s="102">
        <v>45945.66852009259</v>
      </c>
      <c r="B510" s="103" t="s">
        <v>223</v>
      </c>
      <c r="C510" s="103" t="s">
        <v>741</v>
      </c>
      <c r="D510" s="103" t="s">
        <v>506</v>
      </c>
      <c r="E510" s="103" t="s">
        <v>578</v>
      </c>
      <c r="F510" s="103" t="s">
        <v>436</v>
      </c>
      <c r="G510" s="103" t="s">
        <v>669</v>
      </c>
      <c r="H510" s="103" t="s">
        <v>1328</v>
      </c>
    </row>
    <row r="511" ht="22.5" customHeight="1">
      <c r="A511" s="102">
        <v>45945.668561909726</v>
      </c>
      <c r="B511" s="103" t="s">
        <v>171</v>
      </c>
      <c r="C511" s="103" t="s">
        <v>609</v>
      </c>
      <c r="D511" s="103" t="s">
        <v>610</v>
      </c>
      <c r="E511" s="103" t="s">
        <v>578</v>
      </c>
      <c r="F511" s="103" t="s">
        <v>436</v>
      </c>
      <c r="G511" s="103" t="s">
        <v>172</v>
      </c>
      <c r="H511" s="103" t="s">
        <v>1329</v>
      </c>
    </row>
    <row r="512" ht="22.5" customHeight="1">
      <c r="A512" s="102">
        <v>45945.668589560184</v>
      </c>
      <c r="B512" s="103" t="s">
        <v>226</v>
      </c>
      <c r="C512" s="103" t="s">
        <v>668</v>
      </c>
      <c r="D512" s="103" t="s">
        <v>581</v>
      </c>
      <c r="E512" s="103" t="s">
        <v>578</v>
      </c>
      <c r="F512" s="103" t="s">
        <v>436</v>
      </c>
      <c r="G512" s="103" t="s">
        <v>669</v>
      </c>
      <c r="H512" s="103" t="s">
        <v>1328</v>
      </c>
    </row>
    <row r="513" ht="22.5" customHeight="1">
      <c r="A513" s="102">
        <v>45945.66919166667</v>
      </c>
      <c r="B513" s="103" t="s">
        <v>182</v>
      </c>
      <c r="C513" s="103" t="s">
        <v>1203</v>
      </c>
      <c r="D513" s="103" t="s">
        <v>1330</v>
      </c>
      <c r="E513" s="103" t="s">
        <v>420</v>
      </c>
      <c r="F513" s="103" t="s">
        <v>441</v>
      </c>
      <c r="G513" s="103" t="s">
        <v>1217</v>
      </c>
      <c r="H513" s="103" t="s">
        <v>1331</v>
      </c>
    </row>
    <row r="514" ht="22.5" customHeight="1">
      <c r="A514" s="102">
        <v>45945.66920400463</v>
      </c>
      <c r="B514" s="103" t="s">
        <v>145</v>
      </c>
      <c r="C514" s="103" t="s">
        <v>783</v>
      </c>
      <c r="D514" s="103" t="s">
        <v>545</v>
      </c>
      <c r="E514" s="103" t="s">
        <v>494</v>
      </c>
      <c r="F514" s="103" t="s">
        <v>436</v>
      </c>
      <c r="G514" s="103" t="s">
        <v>137</v>
      </c>
      <c r="H514" s="103" t="s">
        <v>1332</v>
      </c>
    </row>
    <row r="515" ht="22.5" customHeight="1">
      <c r="A515" s="102">
        <v>45945.66923907408</v>
      </c>
      <c r="B515" s="103" t="s">
        <v>328</v>
      </c>
      <c r="C515" s="103" t="s">
        <v>826</v>
      </c>
      <c r="D515" s="103" t="s">
        <v>827</v>
      </c>
      <c r="E515" s="103" t="s">
        <v>578</v>
      </c>
      <c r="F515" s="103" t="s">
        <v>436</v>
      </c>
      <c r="G515" s="103" t="s">
        <v>320</v>
      </c>
      <c r="H515" s="103" t="s">
        <v>1333</v>
      </c>
    </row>
    <row r="516" ht="22.5" customHeight="1">
      <c r="A516" s="102">
        <v>45945.67269864584</v>
      </c>
      <c r="B516" s="103" t="s">
        <v>156</v>
      </c>
      <c r="C516" s="103" t="s">
        <v>528</v>
      </c>
      <c r="D516" s="103" t="s">
        <v>529</v>
      </c>
      <c r="E516" s="103" t="s">
        <v>494</v>
      </c>
      <c r="F516" s="103" t="s">
        <v>436</v>
      </c>
      <c r="G516" s="103" t="s">
        <v>148</v>
      </c>
      <c r="H516" s="103" t="s">
        <v>1334</v>
      </c>
    </row>
    <row r="517" ht="22.5" customHeight="1">
      <c r="A517" s="102">
        <v>45945.672739201385</v>
      </c>
      <c r="B517" s="103" t="s">
        <v>345</v>
      </c>
      <c r="C517" s="103" t="s">
        <v>492</v>
      </c>
      <c r="D517" s="103" t="s">
        <v>493</v>
      </c>
      <c r="E517" s="103" t="s">
        <v>494</v>
      </c>
      <c r="F517" s="103" t="s">
        <v>441</v>
      </c>
      <c r="G517" s="103" t="s">
        <v>495</v>
      </c>
      <c r="H517" s="103" t="s">
        <v>1335</v>
      </c>
    </row>
    <row r="518" ht="22.5" customHeight="1">
      <c r="A518" s="102">
        <v>45945.672988101855</v>
      </c>
      <c r="B518" s="103" t="s">
        <v>158</v>
      </c>
      <c r="C518" s="103" t="s">
        <v>540</v>
      </c>
      <c r="D518" s="103" t="s">
        <v>541</v>
      </c>
      <c r="E518" s="103" t="s">
        <v>494</v>
      </c>
      <c r="F518" s="103" t="s">
        <v>436</v>
      </c>
      <c r="G518" s="103" t="s">
        <v>148</v>
      </c>
      <c r="H518" s="103" t="s">
        <v>1336</v>
      </c>
    </row>
    <row r="519" ht="22.5" customHeight="1">
      <c r="A519" s="102">
        <v>45945.67300392361</v>
      </c>
      <c r="B519" s="103" t="s">
        <v>195</v>
      </c>
      <c r="C519" s="103" t="s">
        <v>501</v>
      </c>
      <c r="D519" s="103" t="s">
        <v>1025</v>
      </c>
      <c r="E519" s="103" t="s">
        <v>494</v>
      </c>
      <c r="F519" s="103" t="s">
        <v>436</v>
      </c>
      <c r="G519" s="103" t="s">
        <v>503</v>
      </c>
      <c r="H519" s="103" t="s">
        <v>1337</v>
      </c>
    </row>
    <row r="520" ht="22.5" customHeight="1">
      <c r="A520" s="102">
        <v>45945.67303197917</v>
      </c>
      <c r="B520" s="103" t="s">
        <v>154</v>
      </c>
      <c r="C520" s="103" t="s">
        <v>546</v>
      </c>
      <c r="D520" s="103" t="s">
        <v>435</v>
      </c>
      <c r="E520" s="103" t="s">
        <v>494</v>
      </c>
      <c r="F520" s="103" t="s">
        <v>436</v>
      </c>
      <c r="G520" s="103" t="s">
        <v>148</v>
      </c>
      <c r="H520" s="103" t="s">
        <v>1338</v>
      </c>
    </row>
    <row r="521" ht="22.5" customHeight="1">
      <c r="A521" s="102">
        <v>45945.67306758102</v>
      </c>
      <c r="B521" s="103" t="s">
        <v>193</v>
      </c>
      <c r="C521" s="103" t="s">
        <v>549</v>
      </c>
      <c r="D521" s="103" t="s">
        <v>550</v>
      </c>
      <c r="E521" s="103" t="s">
        <v>494</v>
      </c>
      <c r="F521" s="103" t="s">
        <v>436</v>
      </c>
      <c r="G521" s="103" t="s">
        <v>551</v>
      </c>
      <c r="H521" s="103" t="s">
        <v>1339</v>
      </c>
    </row>
    <row r="522" ht="22.5" customHeight="1">
      <c r="A522" s="102">
        <v>45945.6730956713</v>
      </c>
      <c r="B522" s="103" t="s">
        <v>59</v>
      </c>
      <c r="C522" s="103" t="s">
        <v>919</v>
      </c>
      <c r="D522" s="103" t="s">
        <v>548</v>
      </c>
      <c r="E522" s="103" t="s">
        <v>494</v>
      </c>
      <c r="F522" s="103" t="s">
        <v>436</v>
      </c>
      <c r="G522" s="103" t="s">
        <v>49</v>
      </c>
      <c r="H522" s="103" t="s">
        <v>1340</v>
      </c>
    </row>
    <row r="523" ht="22.5" customHeight="1">
      <c r="A523" s="102">
        <v>45945.673103622685</v>
      </c>
      <c r="B523" s="103" t="s">
        <v>104</v>
      </c>
      <c r="C523" s="103" t="s">
        <v>522</v>
      </c>
      <c r="D523" s="103" t="s">
        <v>523</v>
      </c>
      <c r="E523" s="103" t="s">
        <v>494</v>
      </c>
      <c r="F523" s="103" t="s">
        <v>436</v>
      </c>
      <c r="G523" s="103" t="s">
        <v>98</v>
      </c>
      <c r="H523" s="103" t="s">
        <v>1341</v>
      </c>
    </row>
    <row r="524" ht="22.5" customHeight="1">
      <c r="A524" s="102">
        <v>45945.67322251157</v>
      </c>
      <c r="B524" s="103" t="s">
        <v>53</v>
      </c>
      <c r="C524" s="103" t="s">
        <v>535</v>
      </c>
      <c r="D524" s="103" t="s">
        <v>1105</v>
      </c>
      <c r="E524" s="103" t="s">
        <v>494</v>
      </c>
      <c r="F524" s="103" t="s">
        <v>436</v>
      </c>
      <c r="G524" s="103" t="s">
        <v>49</v>
      </c>
      <c r="H524" s="103" t="s">
        <v>1342</v>
      </c>
    </row>
    <row r="525" ht="22.5" customHeight="1">
      <c r="A525" s="102">
        <v>45945.67338871528</v>
      </c>
      <c r="B525" s="103" t="s">
        <v>254</v>
      </c>
      <c r="C525" s="103" t="s">
        <v>1343</v>
      </c>
      <c r="D525" s="103" t="s">
        <v>566</v>
      </c>
      <c r="E525" s="103" t="s">
        <v>494</v>
      </c>
      <c r="F525" s="103" t="s">
        <v>436</v>
      </c>
      <c r="G525" s="103" t="s">
        <v>1344</v>
      </c>
      <c r="H525" s="103" t="s">
        <v>1345</v>
      </c>
    </row>
    <row r="526" ht="22.5" customHeight="1">
      <c r="A526" s="102">
        <v>45945.673595092594</v>
      </c>
      <c r="B526" s="103" t="s">
        <v>343</v>
      </c>
      <c r="C526" s="103" t="s">
        <v>1346</v>
      </c>
      <c r="D526" s="103" t="s">
        <v>632</v>
      </c>
      <c r="E526" s="103" t="s">
        <v>494</v>
      </c>
      <c r="F526" s="103" t="s">
        <v>436</v>
      </c>
      <c r="G526" s="103" t="s">
        <v>335</v>
      </c>
      <c r="H526" s="103" t="s">
        <v>1347</v>
      </c>
    </row>
    <row r="527" ht="22.5" customHeight="1">
      <c r="A527" s="102">
        <v>45945.67363464121</v>
      </c>
      <c r="B527" s="103" t="s">
        <v>341</v>
      </c>
      <c r="C527" s="103" t="s">
        <v>1047</v>
      </c>
      <c r="D527" s="103" t="s">
        <v>1048</v>
      </c>
      <c r="E527" s="103" t="s">
        <v>494</v>
      </c>
      <c r="F527" s="103" t="s">
        <v>436</v>
      </c>
      <c r="G527" s="103" t="s">
        <v>695</v>
      </c>
      <c r="H527" s="103" t="s">
        <v>1348</v>
      </c>
    </row>
    <row r="528" ht="22.5" customHeight="1">
      <c r="A528" s="102">
        <v>45945.673709027775</v>
      </c>
      <c r="B528" s="103" t="s">
        <v>191</v>
      </c>
      <c r="C528" s="103" t="s">
        <v>512</v>
      </c>
      <c r="D528" s="103" t="s">
        <v>513</v>
      </c>
      <c r="E528" s="103" t="s">
        <v>494</v>
      </c>
      <c r="F528" s="103" t="s">
        <v>436</v>
      </c>
      <c r="G528" s="103" t="s">
        <v>185</v>
      </c>
      <c r="H528" s="103" t="s">
        <v>1349</v>
      </c>
    </row>
    <row r="529" ht="22.5" customHeight="1">
      <c r="A529" s="102">
        <v>45945.67460384259</v>
      </c>
      <c r="B529" s="103" t="s">
        <v>106</v>
      </c>
      <c r="C529" s="103" t="s">
        <v>497</v>
      </c>
      <c r="D529" s="103" t="s">
        <v>498</v>
      </c>
      <c r="E529" s="103" t="s">
        <v>494</v>
      </c>
      <c r="F529" s="103" t="s">
        <v>441</v>
      </c>
      <c r="G529" s="103" t="s">
        <v>527</v>
      </c>
      <c r="H529" s="103" t="s">
        <v>1350</v>
      </c>
    </row>
    <row r="530" ht="22.5" customHeight="1">
      <c r="A530" s="102">
        <v>45945.67474545139</v>
      </c>
      <c r="B530" s="103" t="s">
        <v>189</v>
      </c>
      <c r="C530" s="103" t="s">
        <v>1351</v>
      </c>
      <c r="D530" s="103" t="s">
        <v>431</v>
      </c>
      <c r="E530" s="103" t="s">
        <v>494</v>
      </c>
      <c r="F530" s="103" t="s">
        <v>441</v>
      </c>
      <c r="G530" s="103" t="s">
        <v>1352</v>
      </c>
      <c r="H530" s="103" t="s">
        <v>1353</v>
      </c>
    </row>
    <row r="531" ht="22.5" customHeight="1">
      <c r="A531" s="102">
        <v>45945.67532377315</v>
      </c>
      <c r="B531" s="103" t="s">
        <v>263</v>
      </c>
      <c r="C531" s="103" t="s">
        <v>505</v>
      </c>
      <c r="D531" s="103" t="s">
        <v>506</v>
      </c>
      <c r="E531" s="103" t="s">
        <v>494</v>
      </c>
      <c r="F531" s="103" t="s">
        <v>436</v>
      </c>
      <c r="G531" s="103" t="s">
        <v>809</v>
      </c>
      <c r="H531" s="103" t="s">
        <v>1354</v>
      </c>
    </row>
    <row r="532" ht="22.5" customHeight="1">
      <c r="A532" s="102">
        <v>45945.74253878472</v>
      </c>
      <c r="B532" s="103" t="s">
        <v>341</v>
      </c>
      <c r="C532" s="103" t="s">
        <v>1047</v>
      </c>
      <c r="D532" s="103" t="s">
        <v>1048</v>
      </c>
      <c r="E532" s="103" t="s">
        <v>494</v>
      </c>
      <c r="F532" s="103" t="s">
        <v>436</v>
      </c>
      <c r="G532" s="103" t="s">
        <v>335</v>
      </c>
      <c r="H532" s="103" t="s">
        <v>1348</v>
      </c>
    </row>
    <row r="533" ht="22.5" customHeight="1">
      <c r="A533" s="102">
        <v>45945.79088583333</v>
      </c>
      <c r="B533" s="103" t="s">
        <v>55</v>
      </c>
      <c r="C533" s="103" t="s">
        <v>1107</v>
      </c>
      <c r="D533" s="103" t="s">
        <v>1108</v>
      </c>
      <c r="E533" s="103" t="s">
        <v>494</v>
      </c>
      <c r="F533" s="103" t="s">
        <v>436</v>
      </c>
      <c r="G533" s="103" t="s">
        <v>574</v>
      </c>
      <c r="H533" s="103" t="s">
        <v>1355</v>
      </c>
    </row>
    <row r="534" ht="22.5" customHeight="1">
      <c r="A534" s="102">
        <v>45945.86342971065</v>
      </c>
      <c r="B534" s="103" t="s">
        <v>35</v>
      </c>
      <c r="C534" s="103" t="s">
        <v>1356</v>
      </c>
      <c r="D534" s="103" t="s">
        <v>1067</v>
      </c>
      <c r="E534" s="103" t="s">
        <v>420</v>
      </c>
      <c r="F534" s="103" t="s">
        <v>436</v>
      </c>
      <c r="G534" s="103" t="s">
        <v>912</v>
      </c>
      <c r="H534" s="103" t="s">
        <v>1310</v>
      </c>
    </row>
    <row r="535" ht="22.5" customHeight="1">
      <c r="A535" s="102">
        <v>45945.90489273148</v>
      </c>
      <c r="B535" s="103" t="s">
        <v>206</v>
      </c>
      <c r="C535" s="103" t="s">
        <v>445</v>
      </c>
      <c r="D535" s="103" t="s">
        <v>1018</v>
      </c>
      <c r="E535" s="103" t="s">
        <v>420</v>
      </c>
      <c r="G535" s="103" t="s">
        <v>1019</v>
      </c>
      <c r="H535" s="103" t="s">
        <v>1357</v>
      </c>
    </row>
    <row r="536" ht="22.5" customHeight="1">
      <c r="A536" s="102">
        <v>45952.63576996527</v>
      </c>
      <c r="B536" s="103" t="s">
        <v>304</v>
      </c>
      <c r="C536" s="103" t="s">
        <v>887</v>
      </c>
      <c r="D536" s="103" t="s">
        <v>888</v>
      </c>
      <c r="E536" s="103" t="s">
        <v>427</v>
      </c>
      <c r="G536" s="103" t="s">
        <v>1275</v>
      </c>
      <c r="H536" s="103">
        <v>67.0</v>
      </c>
    </row>
    <row r="537" ht="22.5" customHeight="1">
      <c r="A537" s="102">
        <v>45952.636047673615</v>
      </c>
      <c r="B537" s="103" t="s">
        <v>343</v>
      </c>
      <c r="C537" s="103" t="s">
        <v>1346</v>
      </c>
      <c r="D537" s="103" t="s">
        <v>632</v>
      </c>
      <c r="E537" s="103" t="s">
        <v>427</v>
      </c>
      <c r="G537" s="103" t="s">
        <v>335</v>
      </c>
      <c r="H537" s="103" t="s">
        <v>1358</v>
      </c>
    </row>
    <row r="538" ht="22.5" customHeight="1">
      <c r="A538" s="102">
        <v>45952.63622556713</v>
      </c>
      <c r="B538" s="103" t="s">
        <v>244</v>
      </c>
      <c r="C538" s="103" t="s">
        <v>1160</v>
      </c>
      <c r="D538" s="103" t="s">
        <v>1161</v>
      </c>
      <c r="E538" s="103" t="s">
        <v>427</v>
      </c>
      <c r="G538" s="103" t="s">
        <v>615</v>
      </c>
      <c r="H538" s="103" t="s">
        <v>1359</v>
      </c>
    </row>
    <row r="539" ht="22.5" customHeight="1">
      <c r="A539" s="102">
        <v>45952.636577812504</v>
      </c>
      <c r="B539" s="103" t="s">
        <v>334</v>
      </c>
      <c r="C539" s="103" t="s">
        <v>1145</v>
      </c>
      <c r="D539" s="103" t="s">
        <v>1146</v>
      </c>
      <c r="E539" s="103" t="s">
        <v>427</v>
      </c>
      <c r="G539" s="103" t="s">
        <v>335</v>
      </c>
      <c r="H539" s="103" t="s">
        <v>1360</v>
      </c>
    </row>
    <row r="540" ht="22.5" customHeight="1">
      <c r="A540" s="102">
        <v>45952.63769071759</v>
      </c>
      <c r="B540" s="103" t="s">
        <v>27</v>
      </c>
      <c r="C540" s="103" t="s">
        <v>1098</v>
      </c>
      <c r="D540" s="103" t="s">
        <v>947</v>
      </c>
      <c r="E540" s="103" t="s">
        <v>427</v>
      </c>
      <c r="G540" s="103" t="s">
        <v>912</v>
      </c>
      <c r="H540" s="103" t="s">
        <v>1361</v>
      </c>
    </row>
    <row r="541" ht="22.5" customHeight="1">
      <c r="A541" s="102">
        <v>45952.63901841435</v>
      </c>
      <c r="B541" s="103" t="s">
        <v>75</v>
      </c>
      <c r="C541" s="103" t="s">
        <v>1362</v>
      </c>
      <c r="D541" s="103" t="s">
        <v>689</v>
      </c>
      <c r="E541" s="103" t="s">
        <v>427</v>
      </c>
      <c r="G541" s="103" t="s">
        <v>71</v>
      </c>
      <c r="H541" s="103" t="s">
        <v>1363</v>
      </c>
    </row>
    <row r="542" ht="22.5" customHeight="1">
      <c r="A542" s="102">
        <v>45952.63926837963</v>
      </c>
      <c r="B542" s="103" t="s">
        <v>115</v>
      </c>
      <c r="C542" s="103" t="s">
        <v>489</v>
      </c>
      <c r="D542" s="103" t="s">
        <v>490</v>
      </c>
      <c r="E542" s="103" t="s">
        <v>427</v>
      </c>
      <c r="G542" s="103" t="s">
        <v>1364</v>
      </c>
      <c r="H542" s="103" t="s">
        <v>1365</v>
      </c>
    </row>
    <row r="543" ht="22.5" customHeight="1">
      <c r="A543" s="102">
        <v>45952.63941878472</v>
      </c>
      <c r="B543" s="103" t="s">
        <v>174</v>
      </c>
      <c r="C543" s="103" t="s">
        <v>637</v>
      </c>
      <c r="D543" s="103" t="s">
        <v>638</v>
      </c>
      <c r="E543" s="103" t="s">
        <v>427</v>
      </c>
      <c r="G543" s="103" t="s">
        <v>172</v>
      </c>
      <c r="H543" s="103" t="s">
        <v>1366</v>
      </c>
    </row>
    <row r="544" ht="22.5" customHeight="1">
      <c r="A544" s="102">
        <v>45952.63975509259</v>
      </c>
      <c r="B544" s="103" t="s">
        <v>22</v>
      </c>
      <c r="C544" s="103" t="s">
        <v>596</v>
      </c>
      <c r="D544" s="103" t="s">
        <v>597</v>
      </c>
      <c r="E544" s="103" t="s">
        <v>427</v>
      </c>
      <c r="G544" s="103" t="s">
        <v>23</v>
      </c>
      <c r="H544" s="103" t="s">
        <v>1367</v>
      </c>
    </row>
    <row r="545" ht="22.5" customHeight="1">
      <c r="A545" s="102">
        <v>45952.639799675926</v>
      </c>
      <c r="B545" s="103" t="s">
        <v>372</v>
      </c>
      <c r="C545" s="103" t="s">
        <v>486</v>
      </c>
      <c r="D545" s="103" t="s">
        <v>487</v>
      </c>
      <c r="E545" s="103" t="s">
        <v>427</v>
      </c>
      <c r="G545" s="103" t="s">
        <v>370</v>
      </c>
      <c r="H545" s="103" t="s">
        <v>1368</v>
      </c>
    </row>
    <row r="546" ht="22.5" customHeight="1">
      <c r="A546" s="102">
        <v>45952.640655208335</v>
      </c>
      <c r="B546" s="103" t="s">
        <v>27</v>
      </c>
      <c r="C546" s="103" t="s">
        <v>1098</v>
      </c>
      <c r="D546" s="103" t="s">
        <v>947</v>
      </c>
      <c r="E546" s="103" t="s">
        <v>427</v>
      </c>
      <c r="G546" s="103" t="s">
        <v>912</v>
      </c>
      <c r="H546" s="103" t="s">
        <v>1369</v>
      </c>
    </row>
    <row r="547" ht="22.5" customHeight="1">
      <c r="A547" s="102">
        <v>45952.64131864584</v>
      </c>
      <c r="B547" s="103" t="s">
        <v>51</v>
      </c>
      <c r="C547" s="103" t="s">
        <v>1370</v>
      </c>
      <c r="D547" s="103" t="s">
        <v>573</v>
      </c>
      <c r="E547" s="103" t="s">
        <v>427</v>
      </c>
      <c r="G547" s="103" t="s">
        <v>49</v>
      </c>
      <c r="H547" s="103" t="s">
        <v>1371</v>
      </c>
    </row>
    <row r="548" ht="22.5" customHeight="1">
      <c r="A548" s="102">
        <v>45952.64220372685</v>
      </c>
      <c r="B548" s="103" t="s">
        <v>298</v>
      </c>
      <c r="C548" s="103" t="s">
        <v>460</v>
      </c>
      <c r="D548" s="103" t="s">
        <v>461</v>
      </c>
      <c r="E548" s="103" t="s">
        <v>427</v>
      </c>
      <c r="G548" s="103" t="s">
        <v>462</v>
      </c>
      <c r="H548" s="103" t="s">
        <v>1372</v>
      </c>
    </row>
    <row r="549" ht="22.5" customHeight="1">
      <c r="A549" s="102">
        <v>45952.6424183912</v>
      </c>
      <c r="B549" s="103" t="s">
        <v>263</v>
      </c>
      <c r="C549" s="103" t="s">
        <v>505</v>
      </c>
      <c r="D549" s="103" t="s">
        <v>506</v>
      </c>
      <c r="E549" s="103" t="s">
        <v>639</v>
      </c>
      <c r="G549" s="103" t="s">
        <v>809</v>
      </c>
      <c r="H549" s="103" t="s">
        <v>1373</v>
      </c>
    </row>
    <row r="550" ht="22.5" customHeight="1">
      <c r="A550" s="102">
        <v>45952.642963101855</v>
      </c>
      <c r="B550" s="103" t="s">
        <v>121</v>
      </c>
      <c r="C550" s="103" t="s">
        <v>940</v>
      </c>
      <c r="D550" s="103" t="s">
        <v>458</v>
      </c>
      <c r="E550" s="103" t="s">
        <v>427</v>
      </c>
      <c r="G550" s="103" t="s">
        <v>113</v>
      </c>
      <c r="H550" s="103" t="s">
        <v>1374</v>
      </c>
    </row>
    <row r="551" ht="22.5" customHeight="1">
      <c r="A551" s="102">
        <v>45952.64306173611</v>
      </c>
      <c r="B551" s="103" t="s">
        <v>117</v>
      </c>
      <c r="C551" s="103" t="s">
        <v>778</v>
      </c>
      <c r="D551" s="103" t="s">
        <v>779</v>
      </c>
      <c r="E551" s="103" t="s">
        <v>427</v>
      </c>
      <c r="G551" s="103" t="s">
        <v>113</v>
      </c>
      <c r="H551" s="103" t="s">
        <v>1375</v>
      </c>
    </row>
    <row r="552" ht="22.5" customHeight="1">
      <c r="A552" s="102">
        <v>45952.64313118056</v>
      </c>
      <c r="B552" s="103" t="s">
        <v>119</v>
      </c>
      <c r="C552" s="103" t="s">
        <v>814</v>
      </c>
      <c r="D552" s="103" t="s">
        <v>493</v>
      </c>
      <c r="E552" s="103" t="s">
        <v>427</v>
      </c>
      <c r="G552" s="103" t="s">
        <v>113</v>
      </c>
      <c r="H552" s="103" t="s">
        <v>1376</v>
      </c>
    </row>
    <row r="553" ht="22.5" customHeight="1">
      <c r="A553" s="102">
        <v>45952.64323728009</v>
      </c>
      <c r="B553" s="103" t="s">
        <v>306</v>
      </c>
      <c r="C553" s="103" t="s">
        <v>994</v>
      </c>
      <c r="D553" s="103" t="s">
        <v>748</v>
      </c>
      <c r="E553" s="103" t="s">
        <v>578</v>
      </c>
      <c r="G553" s="103" t="s">
        <v>462</v>
      </c>
      <c r="H553" s="103">
        <v>67.0</v>
      </c>
    </row>
    <row r="554" ht="22.5" customHeight="1">
      <c r="A554" s="102">
        <v>45952.65860916667</v>
      </c>
      <c r="B554" s="103" t="s">
        <v>354</v>
      </c>
      <c r="C554" s="103" t="s">
        <v>518</v>
      </c>
      <c r="D554" s="103" t="s">
        <v>519</v>
      </c>
      <c r="E554" s="103" t="s">
        <v>494</v>
      </c>
      <c r="G554" s="103" t="s">
        <v>1377</v>
      </c>
      <c r="H554" s="103" t="s">
        <v>1378</v>
      </c>
    </row>
    <row r="555" ht="22.5" customHeight="1">
      <c r="A555" s="102">
        <v>45952.65921329861</v>
      </c>
      <c r="B555" s="103" t="s">
        <v>20</v>
      </c>
      <c r="C555" s="103" t="s">
        <v>754</v>
      </c>
      <c r="D555" s="103" t="s">
        <v>755</v>
      </c>
      <c r="E555" s="103" t="s">
        <v>494</v>
      </c>
      <c r="G555" s="103" t="s">
        <v>957</v>
      </c>
      <c r="H555" s="103" t="s">
        <v>1379</v>
      </c>
    </row>
    <row r="556" ht="22.5" customHeight="1">
      <c r="A556" s="102">
        <v>45952.6653541088</v>
      </c>
      <c r="B556" s="103" t="s">
        <v>361</v>
      </c>
      <c r="C556" s="103" t="s">
        <v>625</v>
      </c>
      <c r="D556" s="103" t="s">
        <v>626</v>
      </c>
      <c r="E556" s="103" t="s">
        <v>494</v>
      </c>
      <c r="G556" s="103" t="s">
        <v>359</v>
      </c>
      <c r="H556" s="103" t="s">
        <v>1380</v>
      </c>
    </row>
    <row r="557" ht="22.5" customHeight="1">
      <c r="A557" s="102">
        <v>45952.66638253472</v>
      </c>
      <c r="B557" s="103" t="s">
        <v>300</v>
      </c>
      <c r="C557" s="103" t="s">
        <v>480</v>
      </c>
      <c r="D557" s="103" t="s">
        <v>1381</v>
      </c>
      <c r="E557" s="103" t="s">
        <v>450</v>
      </c>
      <c r="G557" s="103" t="s">
        <v>875</v>
      </c>
      <c r="H557" s="103" t="s">
        <v>1382</v>
      </c>
    </row>
    <row r="558" ht="22.5" customHeight="1">
      <c r="A558" s="102">
        <v>45952.666673796295</v>
      </c>
      <c r="B558" s="103" t="s">
        <v>402</v>
      </c>
      <c r="C558" s="103" t="s">
        <v>834</v>
      </c>
      <c r="D558" s="103" t="s">
        <v>835</v>
      </c>
      <c r="E558" s="103" t="s">
        <v>420</v>
      </c>
      <c r="G558" s="103" t="s">
        <v>585</v>
      </c>
      <c r="H558" s="103" t="s">
        <v>1383</v>
      </c>
    </row>
    <row r="559" ht="22.5" customHeight="1">
      <c r="A559" s="102">
        <v>45952.66668664352</v>
      </c>
      <c r="B559" s="103" t="s">
        <v>104</v>
      </c>
      <c r="C559" s="103" t="s">
        <v>522</v>
      </c>
      <c r="D559" s="103" t="s">
        <v>523</v>
      </c>
      <c r="E559" s="103" t="s">
        <v>494</v>
      </c>
      <c r="G559" s="103" t="s">
        <v>98</v>
      </c>
      <c r="H559" s="103" t="s">
        <v>1384</v>
      </c>
    </row>
    <row r="560" ht="22.5" customHeight="1">
      <c r="A560" s="102">
        <v>45952.66669248843</v>
      </c>
      <c r="B560" s="103" t="s">
        <v>300</v>
      </c>
      <c r="C560" s="103" t="s">
        <v>480</v>
      </c>
      <c r="D560" s="103" t="s">
        <v>1381</v>
      </c>
      <c r="E560" s="103" t="s">
        <v>494</v>
      </c>
      <c r="G560" s="103" t="s">
        <v>462</v>
      </c>
      <c r="H560" s="103" t="s">
        <v>1385</v>
      </c>
    </row>
    <row r="561" ht="22.5" customHeight="1">
      <c r="A561" s="102">
        <v>45952.66670971065</v>
      </c>
      <c r="B561" s="103" t="s">
        <v>42</v>
      </c>
      <c r="C561" s="103" t="s">
        <v>1186</v>
      </c>
      <c r="D561" s="103" t="s">
        <v>1187</v>
      </c>
      <c r="E561" s="103" t="s">
        <v>494</v>
      </c>
      <c r="G561" s="103" t="s">
        <v>1386</v>
      </c>
      <c r="H561" s="103" t="s">
        <v>1387</v>
      </c>
    </row>
    <row r="562" ht="22.5" customHeight="1">
      <c r="A562" s="102">
        <v>45952.6667259838</v>
      </c>
      <c r="B562" s="103" t="s">
        <v>254</v>
      </c>
      <c r="C562" s="103" t="s">
        <v>565</v>
      </c>
      <c r="D562" s="103" t="s">
        <v>566</v>
      </c>
      <c r="E562" s="103" t="s">
        <v>494</v>
      </c>
      <c r="G562" s="103" t="s">
        <v>1344</v>
      </c>
      <c r="H562" s="103" t="s">
        <v>1388</v>
      </c>
    </row>
    <row r="563" ht="22.5" customHeight="1">
      <c r="A563" s="102">
        <v>45952.666807546295</v>
      </c>
      <c r="B563" s="103" t="s">
        <v>215</v>
      </c>
      <c r="C563" s="103" t="s">
        <v>1389</v>
      </c>
      <c r="D563" s="103" t="s">
        <v>1390</v>
      </c>
      <c r="E563" s="103" t="s">
        <v>494</v>
      </c>
      <c r="G563" s="103" t="s">
        <v>1391</v>
      </c>
      <c r="H563" s="103" t="s">
        <v>1392</v>
      </c>
    </row>
    <row r="564" ht="22.5" customHeight="1">
      <c r="A564" s="102">
        <v>45952.66680871528</v>
      </c>
      <c r="B564" s="103" t="s">
        <v>268</v>
      </c>
      <c r="C564" s="103" t="s">
        <v>722</v>
      </c>
      <c r="D564" s="103" t="s">
        <v>723</v>
      </c>
      <c r="E564" s="103" t="s">
        <v>494</v>
      </c>
      <c r="G564" s="103" t="s">
        <v>604</v>
      </c>
      <c r="H564" s="103" t="s">
        <v>1393</v>
      </c>
    </row>
    <row r="565" ht="22.5" customHeight="1">
      <c r="A565" s="102">
        <v>45952.66685627315</v>
      </c>
      <c r="B565" s="103" t="s">
        <v>102</v>
      </c>
      <c r="C565" s="103" t="s">
        <v>508</v>
      </c>
      <c r="D565" s="103" t="s">
        <v>509</v>
      </c>
      <c r="E565" s="103" t="s">
        <v>494</v>
      </c>
      <c r="G565" s="103" t="s">
        <v>527</v>
      </c>
      <c r="H565" s="103" t="s">
        <v>1394</v>
      </c>
    </row>
    <row r="566" ht="22.5" customHeight="1">
      <c r="A566" s="102">
        <v>45952.66689267362</v>
      </c>
      <c r="B566" s="103" t="s">
        <v>270</v>
      </c>
      <c r="C566" s="103" t="s">
        <v>1080</v>
      </c>
      <c r="D566" s="103" t="s">
        <v>647</v>
      </c>
      <c r="E566" s="103" t="s">
        <v>494</v>
      </c>
      <c r="G566" s="103" t="s">
        <v>648</v>
      </c>
      <c r="H566" s="103" t="s">
        <v>1395</v>
      </c>
    </row>
    <row r="567" ht="22.5" customHeight="1">
      <c r="A567" s="102">
        <v>45952.666931921296</v>
      </c>
      <c r="B567" s="103" t="s">
        <v>100</v>
      </c>
      <c r="C567" s="103" t="s">
        <v>1203</v>
      </c>
      <c r="D567" s="103" t="s">
        <v>597</v>
      </c>
      <c r="E567" s="103" t="s">
        <v>578</v>
      </c>
      <c r="G567" s="103" t="s">
        <v>98</v>
      </c>
      <c r="H567" s="103" t="s">
        <v>1396</v>
      </c>
    </row>
    <row r="568" ht="22.5" customHeight="1">
      <c r="A568" s="102">
        <v>45952.66701229167</v>
      </c>
      <c r="B568" s="103" t="s">
        <v>352</v>
      </c>
      <c r="C568" s="103" t="s">
        <v>555</v>
      </c>
      <c r="D568" s="103" t="s">
        <v>556</v>
      </c>
      <c r="E568" s="103" t="s">
        <v>494</v>
      </c>
      <c r="G568" s="103" t="s">
        <v>495</v>
      </c>
      <c r="H568" s="103" t="s">
        <v>1397</v>
      </c>
    </row>
    <row r="569" ht="22.5" customHeight="1">
      <c r="A569" s="102">
        <v>45952.667116122684</v>
      </c>
      <c r="B569" s="103" t="s">
        <v>97</v>
      </c>
      <c r="C569" s="103" t="s">
        <v>580</v>
      </c>
      <c r="D569" s="103" t="s">
        <v>581</v>
      </c>
      <c r="E569" s="103" t="s">
        <v>420</v>
      </c>
      <c r="G569" s="103" t="s">
        <v>98</v>
      </c>
      <c r="H569" s="103" t="s">
        <v>1396</v>
      </c>
    </row>
    <row r="570" ht="22.5" customHeight="1">
      <c r="A570" s="102">
        <v>45952.66711877315</v>
      </c>
      <c r="B570" s="103" t="s">
        <v>382</v>
      </c>
      <c r="C570" s="103" t="s">
        <v>468</v>
      </c>
      <c r="D570" s="103" t="s">
        <v>469</v>
      </c>
      <c r="E570" s="103" t="s">
        <v>420</v>
      </c>
      <c r="G570" s="103" t="s">
        <v>1398</v>
      </c>
      <c r="H570" s="103" t="s">
        <v>1383</v>
      </c>
    </row>
    <row r="571" ht="22.5" customHeight="1">
      <c r="A571" s="102">
        <v>45952.66713107639</v>
      </c>
      <c r="B571" s="103" t="s">
        <v>163</v>
      </c>
      <c r="C571" s="103" t="s">
        <v>425</v>
      </c>
      <c r="D571" s="103" t="s">
        <v>895</v>
      </c>
      <c r="E571" s="103" t="s">
        <v>494</v>
      </c>
      <c r="G571" s="103" t="s">
        <v>1399</v>
      </c>
      <c r="H571" s="103" t="s">
        <v>1400</v>
      </c>
    </row>
    <row r="572" ht="22.5" customHeight="1">
      <c r="A572" s="102">
        <v>45952.66715238426</v>
      </c>
      <c r="B572" s="103" t="s">
        <v>64</v>
      </c>
      <c r="C572" s="103" t="s">
        <v>1089</v>
      </c>
      <c r="D572" s="103" t="s">
        <v>1090</v>
      </c>
      <c r="E572" s="103" t="s">
        <v>420</v>
      </c>
      <c r="G572" s="103" t="s">
        <v>62</v>
      </c>
      <c r="H572" s="103" t="s">
        <v>1401</v>
      </c>
    </row>
    <row r="573" ht="22.5" customHeight="1">
      <c r="A573" s="102">
        <v>45952.66723259259</v>
      </c>
      <c r="B573" s="103" t="s">
        <v>385</v>
      </c>
      <c r="C573" s="103" t="s">
        <v>1402</v>
      </c>
      <c r="D573" s="103" t="s">
        <v>466</v>
      </c>
      <c r="E573" s="103" t="s">
        <v>420</v>
      </c>
      <c r="G573" s="103" t="s">
        <v>474</v>
      </c>
      <c r="H573" s="103" t="s">
        <v>1403</v>
      </c>
    </row>
    <row r="574" ht="22.5" customHeight="1">
      <c r="A574" s="102">
        <v>45952.667241400464</v>
      </c>
      <c r="B574" s="103" t="s">
        <v>296</v>
      </c>
      <c r="C574" s="103" t="s">
        <v>1058</v>
      </c>
      <c r="D574" s="103" t="s">
        <v>854</v>
      </c>
      <c r="E574" s="103" t="s">
        <v>494</v>
      </c>
      <c r="G574" s="103" t="s">
        <v>875</v>
      </c>
      <c r="H574" s="103" t="s">
        <v>1404</v>
      </c>
    </row>
    <row r="575" ht="22.5" customHeight="1">
      <c r="A575" s="102">
        <v>45952.66735239583</v>
      </c>
      <c r="B575" s="103" t="s">
        <v>81</v>
      </c>
      <c r="C575" s="103" t="s">
        <v>569</v>
      </c>
      <c r="D575" s="103" t="s">
        <v>461</v>
      </c>
      <c r="E575" s="103" t="s">
        <v>494</v>
      </c>
      <c r="G575" s="103" t="s">
        <v>71</v>
      </c>
      <c r="H575" s="103" t="s">
        <v>1405</v>
      </c>
    </row>
    <row r="576" ht="22.5" customHeight="1">
      <c r="A576" s="102">
        <v>45952.66737835648</v>
      </c>
      <c r="B576" s="103" t="s">
        <v>158</v>
      </c>
      <c r="C576" s="103" t="s">
        <v>1406</v>
      </c>
      <c r="D576" s="103" t="s">
        <v>1407</v>
      </c>
      <c r="E576" s="103" t="s">
        <v>494</v>
      </c>
      <c r="G576" s="103" t="s">
        <v>148</v>
      </c>
      <c r="H576" s="103" t="s">
        <v>1408</v>
      </c>
    </row>
    <row r="577" ht="22.5" customHeight="1">
      <c r="A577" s="102">
        <v>45952.667383865744</v>
      </c>
      <c r="B577" s="103" t="s">
        <v>265</v>
      </c>
      <c r="C577" s="103" t="s">
        <v>733</v>
      </c>
      <c r="D577" s="103" t="s">
        <v>734</v>
      </c>
      <c r="E577" s="103" t="s">
        <v>494</v>
      </c>
      <c r="G577" s="103" t="s">
        <v>604</v>
      </c>
      <c r="H577" s="103" t="s">
        <v>1409</v>
      </c>
    </row>
    <row r="578" ht="22.5" customHeight="1">
      <c r="A578" s="102">
        <v>45952.667464108796</v>
      </c>
      <c r="B578" s="103" t="s">
        <v>167</v>
      </c>
      <c r="C578" s="103" t="s">
        <v>599</v>
      </c>
      <c r="D578" s="103" t="s">
        <v>600</v>
      </c>
      <c r="E578" s="103" t="s">
        <v>420</v>
      </c>
      <c r="G578" s="103" t="s">
        <v>161</v>
      </c>
      <c r="H578" s="103" t="s">
        <v>1410</v>
      </c>
    </row>
    <row r="579" ht="22.5" customHeight="1">
      <c r="A579" s="102">
        <v>45952.66750523148</v>
      </c>
      <c r="B579" s="103" t="s">
        <v>232</v>
      </c>
      <c r="C579" s="103" t="s">
        <v>1178</v>
      </c>
      <c r="D579" s="103" t="s">
        <v>1179</v>
      </c>
      <c r="E579" s="103" t="s">
        <v>494</v>
      </c>
      <c r="G579" s="103" t="s">
        <v>1180</v>
      </c>
      <c r="H579" s="103" t="s">
        <v>1411</v>
      </c>
    </row>
    <row r="580" ht="22.5" customHeight="1">
      <c r="A580" s="102">
        <v>45952.667631689816</v>
      </c>
      <c r="B580" s="103" t="s">
        <v>202</v>
      </c>
      <c r="C580" s="103" t="s">
        <v>634</v>
      </c>
      <c r="D580" s="103" t="s">
        <v>635</v>
      </c>
      <c r="E580" s="103" t="s">
        <v>494</v>
      </c>
      <c r="G580" s="103" t="s">
        <v>1412</v>
      </c>
      <c r="H580" s="103" t="s">
        <v>1413</v>
      </c>
    </row>
    <row r="581" ht="22.5" customHeight="1">
      <c r="A581" s="102">
        <v>45952.667661203704</v>
      </c>
      <c r="B581" s="103" t="s">
        <v>365</v>
      </c>
      <c r="C581" s="103" t="s">
        <v>653</v>
      </c>
      <c r="D581" s="103" t="s">
        <v>654</v>
      </c>
      <c r="E581" s="103" t="s">
        <v>420</v>
      </c>
      <c r="G581" s="103" t="s">
        <v>955</v>
      </c>
      <c r="H581" s="103" t="s">
        <v>1414</v>
      </c>
    </row>
    <row r="582" ht="22.5" customHeight="1">
      <c r="A582" s="102">
        <v>45952.66770612268</v>
      </c>
      <c r="B582" s="103" t="s">
        <v>40</v>
      </c>
      <c r="C582" s="103" t="s">
        <v>747</v>
      </c>
      <c r="D582" s="103" t="s">
        <v>748</v>
      </c>
      <c r="E582" s="103" t="s">
        <v>420</v>
      </c>
      <c r="G582" s="103" t="s">
        <v>38</v>
      </c>
      <c r="H582" s="103" t="s">
        <v>1414</v>
      </c>
    </row>
    <row r="583" ht="22.5" customHeight="1">
      <c r="A583" s="102">
        <v>45952.66772006944</v>
      </c>
      <c r="B583" s="103" t="s">
        <v>18</v>
      </c>
      <c r="C583" s="103" t="s">
        <v>811</v>
      </c>
      <c r="D583" s="103" t="s">
        <v>812</v>
      </c>
      <c r="E583" s="103" t="s">
        <v>494</v>
      </c>
      <c r="G583" s="103" t="s">
        <v>10</v>
      </c>
      <c r="H583" s="103" t="s">
        <v>1415</v>
      </c>
    </row>
    <row r="584" ht="22.5" customHeight="1">
      <c r="A584" s="102">
        <v>45952.667752511574</v>
      </c>
      <c r="B584" s="103" t="s">
        <v>37</v>
      </c>
      <c r="C584" s="103" t="s">
        <v>764</v>
      </c>
      <c r="D584" s="103" t="s">
        <v>765</v>
      </c>
      <c r="E584" s="103" t="s">
        <v>420</v>
      </c>
      <c r="G584" s="103" t="s">
        <v>38</v>
      </c>
      <c r="H584" s="103" t="s">
        <v>1414</v>
      </c>
    </row>
    <row r="585" ht="22.5" customHeight="1">
      <c r="A585" s="102">
        <v>45952.6678103125</v>
      </c>
      <c r="B585" s="103" t="s">
        <v>406</v>
      </c>
      <c r="C585" s="103" t="s">
        <v>650</v>
      </c>
      <c r="D585" s="103" t="s">
        <v>651</v>
      </c>
      <c r="E585" s="103" t="s">
        <v>420</v>
      </c>
      <c r="G585" s="103" t="s">
        <v>1416</v>
      </c>
      <c r="H585" s="103" t="s">
        <v>1414</v>
      </c>
    </row>
    <row r="586" ht="22.5" customHeight="1">
      <c r="A586" s="102">
        <v>45952.66781263889</v>
      </c>
      <c r="B586" s="103" t="s">
        <v>339</v>
      </c>
      <c r="C586" s="103" t="s">
        <v>858</v>
      </c>
      <c r="D586" s="103" t="s">
        <v>726</v>
      </c>
      <c r="E586" s="103" t="s">
        <v>420</v>
      </c>
      <c r="G586" s="103" t="s">
        <v>486</v>
      </c>
      <c r="H586" s="103" t="s">
        <v>1414</v>
      </c>
    </row>
    <row r="587" ht="22.5" customHeight="1">
      <c r="A587" s="102">
        <v>45952.66787497685</v>
      </c>
      <c r="B587" s="103" t="s">
        <v>184</v>
      </c>
      <c r="C587" s="103" t="s">
        <v>865</v>
      </c>
      <c r="D587" s="103" t="s">
        <v>866</v>
      </c>
      <c r="E587" s="103" t="s">
        <v>420</v>
      </c>
      <c r="G587" s="103" t="s">
        <v>10</v>
      </c>
      <c r="H587" s="103" t="s">
        <v>1417</v>
      </c>
    </row>
    <row r="588" ht="22.5" customHeight="1">
      <c r="A588" s="102">
        <v>45952.66811241898</v>
      </c>
      <c r="B588" s="103" t="s">
        <v>46</v>
      </c>
      <c r="C588" s="103" t="s">
        <v>797</v>
      </c>
      <c r="D588" s="103" t="s">
        <v>798</v>
      </c>
      <c r="E588" s="103" t="s">
        <v>494</v>
      </c>
      <c r="G588" s="103" t="s">
        <v>1029</v>
      </c>
      <c r="H588" s="103" t="s">
        <v>1418</v>
      </c>
    </row>
    <row r="589" ht="22.5" customHeight="1">
      <c r="A589" s="102">
        <v>45952.668202141205</v>
      </c>
      <c r="B589" s="103" t="s">
        <v>380</v>
      </c>
      <c r="C589" s="103" t="s">
        <v>439</v>
      </c>
      <c r="D589" s="103" t="s">
        <v>440</v>
      </c>
      <c r="E589" s="103" t="s">
        <v>420</v>
      </c>
      <c r="G589" s="103" t="s">
        <v>442</v>
      </c>
      <c r="H589" s="103" t="s">
        <v>1419</v>
      </c>
    </row>
    <row r="590" ht="22.5" customHeight="1">
      <c r="A590" s="102">
        <v>45952.66824449074</v>
      </c>
      <c r="B590" s="103" t="s">
        <v>130</v>
      </c>
      <c r="C590" s="103" t="s">
        <v>557</v>
      </c>
      <c r="D590" s="103" t="s">
        <v>558</v>
      </c>
      <c r="E590" s="103" t="s">
        <v>420</v>
      </c>
      <c r="G590" s="103" t="s">
        <v>124</v>
      </c>
      <c r="H590" s="103" t="s">
        <v>1420</v>
      </c>
    </row>
    <row r="591" ht="22.5" customHeight="1">
      <c r="A591" s="102">
        <v>45952.66837046296</v>
      </c>
      <c r="B591" s="103" t="s">
        <v>197</v>
      </c>
      <c r="C591" s="103" t="s">
        <v>618</v>
      </c>
      <c r="D591" s="103" t="s">
        <v>619</v>
      </c>
      <c r="E591" s="103" t="s">
        <v>578</v>
      </c>
      <c r="G591" s="103" t="s">
        <v>620</v>
      </c>
      <c r="H591" s="103" t="s">
        <v>1421</v>
      </c>
    </row>
    <row r="592" ht="22.5" customHeight="1">
      <c r="A592" s="102">
        <v>45952.6684718287</v>
      </c>
      <c r="B592" s="103" t="s">
        <v>68</v>
      </c>
      <c r="C592" s="103" t="s">
        <v>825</v>
      </c>
      <c r="D592" s="103" t="s">
        <v>515</v>
      </c>
      <c r="E592" s="103" t="s">
        <v>420</v>
      </c>
      <c r="G592" s="103" t="s">
        <v>62</v>
      </c>
      <c r="H592" s="103" t="s">
        <v>1403</v>
      </c>
    </row>
    <row r="593" ht="22.5" customHeight="1">
      <c r="A593" s="102">
        <v>45952.6685662963</v>
      </c>
      <c r="B593" s="103" t="s">
        <v>171</v>
      </c>
      <c r="C593" s="103" t="s">
        <v>609</v>
      </c>
      <c r="D593" s="103" t="s">
        <v>610</v>
      </c>
      <c r="E593" s="103" t="s">
        <v>420</v>
      </c>
      <c r="G593" s="103" t="s">
        <v>172</v>
      </c>
      <c r="H593" s="103" t="s">
        <v>1422</v>
      </c>
    </row>
    <row r="594" ht="22.5" customHeight="1">
      <c r="A594" s="102">
        <v>45952.66864297454</v>
      </c>
      <c r="B594" s="103" t="s">
        <v>200</v>
      </c>
      <c r="C594" s="103" t="s">
        <v>950</v>
      </c>
      <c r="D594" s="103" t="s">
        <v>588</v>
      </c>
      <c r="E594" s="103" t="s">
        <v>578</v>
      </c>
      <c r="G594" s="103" t="s">
        <v>198</v>
      </c>
      <c r="H594" s="103" t="s">
        <v>1423</v>
      </c>
    </row>
    <row r="595" ht="22.5" customHeight="1">
      <c r="A595" s="102">
        <v>45952.66866111111</v>
      </c>
      <c r="B595" s="103" t="s">
        <v>204</v>
      </c>
      <c r="C595" s="103" t="s">
        <v>745</v>
      </c>
      <c r="D595" s="103" t="s">
        <v>689</v>
      </c>
      <c r="E595" s="103" t="s">
        <v>578</v>
      </c>
      <c r="G595" s="103" t="s">
        <v>198</v>
      </c>
      <c r="H595" s="103" t="s">
        <v>1424</v>
      </c>
    </row>
    <row r="596" ht="22.5" customHeight="1">
      <c r="A596" s="102">
        <v>45952.66870336806</v>
      </c>
      <c r="B596" s="103" t="s">
        <v>145</v>
      </c>
      <c r="C596" s="103" t="s">
        <v>1425</v>
      </c>
      <c r="D596" s="103" t="s">
        <v>545</v>
      </c>
      <c r="E596" s="103" t="s">
        <v>578</v>
      </c>
      <c r="G596" s="103" t="s">
        <v>784</v>
      </c>
      <c r="H596" s="103" t="s">
        <v>1426</v>
      </c>
    </row>
    <row r="597" ht="22.5" customHeight="1">
      <c r="A597" s="102">
        <v>45952.66912302084</v>
      </c>
      <c r="B597" s="103" t="s">
        <v>187</v>
      </c>
      <c r="C597" s="103" t="s">
        <v>751</v>
      </c>
      <c r="D597" s="103" t="s">
        <v>647</v>
      </c>
      <c r="E597" s="103" t="s">
        <v>420</v>
      </c>
      <c r="G597" s="103" t="s">
        <v>503</v>
      </c>
      <c r="H597" s="103" t="s">
        <v>1427</v>
      </c>
    </row>
    <row r="598" ht="22.5" customHeight="1">
      <c r="A598" s="102">
        <v>45952.66930900463</v>
      </c>
      <c r="B598" s="103" t="s">
        <v>139</v>
      </c>
      <c r="C598" s="103" t="s">
        <v>1428</v>
      </c>
      <c r="D598" s="103" t="s">
        <v>1429</v>
      </c>
      <c r="E598" s="103" t="s">
        <v>420</v>
      </c>
      <c r="G598" s="103" t="s">
        <v>137</v>
      </c>
      <c r="H598" s="103" t="s">
        <v>1426</v>
      </c>
    </row>
    <row r="599" ht="22.5" customHeight="1">
      <c r="A599" s="102">
        <v>45952.66936688658</v>
      </c>
      <c r="B599" s="103" t="s">
        <v>191</v>
      </c>
      <c r="C599" s="103" t="s">
        <v>512</v>
      </c>
      <c r="D599" s="103" t="s">
        <v>513</v>
      </c>
      <c r="E599" s="103" t="s">
        <v>420</v>
      </c>
      <c r="G599" s="103" t="s">
        <v>503</v>
      </c>
      <c r="H599" s="103" t="s">
        <v>1430</v>
      </c>
    </row>
    <row r="600" ht="22.5" customHeight="1">
      <c r="A600" s="102">
        <v>45952.67122831018</v>
      </c>
      <c r="B600" s="103" t="s">
        <v>391</v>
      </c>
      <c r="C600" s="103" t="s">
        <v>472</v>
      </c>
      <c r="D600" s="103" t="s">
        <v>473</v>
      </c>
      <c r="E600" s="103" t="s">
        <v>420</v>
      </c>
      <c r="G600" s="103" t="s">
        <v>474</v>
      </c>
      <c r="H600" s="103" t="s">
        <v>1403</v>
      </c>
    </row>
    <row r="601" ht="22.5" customHeight="1">
      <c r="A601" s="102">
        <v>45952.67308335648</v>
      </c>
      <c r="B601" s="103" t="s">
        <v>176</v>
      </c>
      <c r="C601" s="103" t="s">
        <v>1431</v>
      </c>
      <c r="D601" s="103" t="s">
        <v>658</v>
      </c>
      <c r="E601" s="103" t="s">
        <v>427</v>
      </c>
      <c r="G601" s="103" t="s">
        <v>172</v>
      </c>
      <c r="H601" s="103" t="s">
        <v>1432</v>
      </c>
    </row>
    <row r="602" ht="22.5" customHeight="1">
      <c r="A602" s="102">
        <v>45954.12778065972</v>
      </c>
      <c r="B602" s="103" t="s">
        <v>176</v>
      </c>
      <c r="C602" s="103" t="s">
        <v>1431</v>
      </c>
      <c r="D602" s="103" t="s">
        <v>658</v>
      </c>
      <c r="E602" s="103" t="s">
        <v>427</v>
      </c>
      <c r="G602" s="103" t="s">
        <v>1217</v>
      </c>
      <c r="H602" s="103" t="s">
        <v>1433</v>
      </c>
    </row>
    <row r="603" ht="22.5" customHeight="1">
      <c r="A603" s="102">
        <v>45959.65632520833</v>
      </c>
      <c r="B603" s="103" t="s">
        <v>1434</v>
      </c>
      <c r="C603" s="103" t="s">
        <v>537</v>
      </c>
      <c r="D603" s="103" t="s">
        <v>458</v>
      </c>
      <c r="E603" s="103" t="s">
        <v>427</v>
      </c>
      <c r="G603" s="103" t="s">
        <v>49</v>
      </c>
      <c r="H603" s="103" t="s">
        <v>1363</v>
      </c>
    </row>
    <row r="604" ht="22.5" customHeight="1">
      <c r="A604" s="102">
        <v>45959.65666096065</v>
      </c>
      <c r="B604" s="103" t="s">
        <v>165</v>
      </c>
      <c r="C604" s="103" t="s">
        <v>847</v>
      </c>
      <c r="D604" s="103" t="s">
        <v>848</v>
      </c>
      <c r="E604" s="103" t="s">
        <v>427</v>
      </c>
      <c r="G604" s="103" t="s">
        <v>445</v>
      </c>
      <c r="H604" s="103" t="s">
        <v>1435</v>
      </c>
    </row>
    <row r="605" ht="22.5" customHeight="1">
      <c r="A605" s="102">
        <v>45959.6566771875</v>
      </c>
      <c r="B605" s="103" t="s">
        <v>143</v>
      </c>
      <c r="C605" s="103" t="s">
        <v>1436</v>
      </c>
      <c r="D605" s="103" t="s">
        <v>1437</v>
      </c>
      <c r="E605" s="103" t="s">
        <v>427</v>
      </c>
      <c r="G605" s="103" t="s">
        <v>1438</v>
      </c>
      <c r="H605" s="103" t="s">
        <v>1439</v>
      </c>
    </row>
    <row r="606" ht="22.5" customHeight="1">
      <c r="A606" s="102">
        <v>45959.656781412035</v>
      </c>
      <c r="B606" s="103" t="s">
        <v>174</v>
      </c>
      <c r="C606" s="103" t="s">
        <v>637</v>
      </c>
      <c r="D606" s="103" t="s">
        <v>638</v>
      </c>
      <c r="E606" s="103" t="s">
        <v>427</v>
      </c>
      <c r="G606" s="103" t="s">
        <v>172</v>
      </c>
      <c r="H606" s="103" t="s">
        <v>1440</v>
      </c>
    </row>
    <row r="607" ht="22.5" customHeight="1">
      <c r="A607" s="102">
        <v>45959.65679208333</v>
      </c>
      <c r="B607" s="103" t="s">
        <v>306</v>
      </c>
      <c r="C607" s="103" t="s">
        <v>994</v>
      </c>
      <c r="D607" s="103" t="s">
        <v>748</v>
      </c>
      <c r="E607" s="103" t="s">
        <v>420</v>
      </c>
      <c r="G607" s="103" t="s">
        <v>462</v>
      </c>
      <c r="H607" s="103">
        <v>67.0</v>
      </c>
    </row>
    <row r="608" ht="22.5" customHeight="1">
      <c r="A608" s="102">
        <v>45959.6568156713</v>
      </c>
      <c r="B608" s="103" t="s">
        <v>378</v>
      </c>
      <c r="C608" s="103" t="s">
        <v>882</v>
      </c>
      <c r="D608" s="103" t="s">
        <v>883</v>
      </c>
      <c r="E608" s="103" t="s">
        <v>427</v>
      </c>
      <c r="G608" s="103" t="s">
        <v>442</v>
      </c>
      <c r="H608" s="103" t="s">
        <v>1441</v>
      </c>
    </row>
    <row r="609" ht="22.5" customHeight="1">
      <c r="A609" s="102">
        <v>45959.65682296296</v>
      </c>
      <c r="B609" s="103" t="s">
        <v>283</v>
      </c>
      <c r="C609" s="103" t="s">
        <v>425</v>
      </c>
      <c r="D609" s="103" t="s">
        <v>426</v>
      </c>
      <c r="E609" s="103" t="s">
        <v>427</v>
      </c>
      <c r="G609" s="103" t="s">
        <v>478</v>
      </c>
      <c r="H609" s="103" t="s">
        <v>1442</v>
      </c>
    </row>
    <row r="610" ht="22.5" customHeight="1">
      <c r="A610" s="102">
        <v>45959.65687032408</v>
      </c>
      <c r="B610" s="103" t="s">
        <v>280</v>
      </c>
      <c r="C610" s="103" t="s">
        <v>476</v>
      </c>
      <c r="D610" s="103" t="s">
        <v>477</v>
      </c>
      <c r="E610" s="103" t="s">
        <v>427</v>
      </c>
      <c r="G610" s="103" t="s">
        <v>281</v>
      </c>
      <c r="H610" s="103" t="s">
        <v>1443</v>
      </c>
    </row>
    <row r="611" ht="22.5" customHeight="1">
      <c r="A611" s="102">
        <v>45959.65689493055</v>
      </c>
      <c r="B611" s="103" t="s">
        <v>90</v>
      </c>
      <c r="C611" s="103" t="s">
        <v>418</v>
      </c>
      <c r="D611" s="103" t="s">
        <v>1444</v>
      </c>
      <c r="E611" s="103" t="s">
        <v>427</v>
      </c>
      <c r="G611" s="103" t="s">
        <v>84</v>
      </c>
      <c r="H611" s="103" t="s">
        <v>1445</v>
      </c>
    </row>
    <row r="612" ht="22.5" customHeight="1">
      <c r="A612" s="102">
        <v>45959.65694891204</v>
      </c>
      <c r="B612" s="103" t="s">
        <v>51</v>
      </c>
      <c r="C612" s="103" t="s">
        <v>1370</v>
      </c>
      <c r="D612" s="103" t="s">
        <v>1446</v>
      </c>
      <c r="E612" s="103" t="s">
        <v>427</v>
      </c>
      <c r="G612" s="103" t="s">
        <v>574</v>
      </c>
      <c r="H612" s="103" t="s">
        <v>1447</v>
      </c>
    </row>
    <row r="613" ht="22.5" customHeight="1">
      <c r="A613" s="102">
        <v>45959.656958356485</v>
      </c>
      <c r="B613" s="103" t="s">
        <v>18</v>
      </c>
      <c r="C613" s="103" t="s">
        <v>811</v>
      </c>
      <c r="D613" s="103" t="s">
        <v>812</v>
      </c>
      <c r="E613" s="103" t="s">
        <v>494</v>
      </c>
      <c r="G613" s="103" t="s">
        <v>10</v>
      </c>
      <c r="H613" s="103" t="s">
        <v>1448</v>
      </c>
    </row>
    <row r="614" ht="22.5" customHeight="1">
      <c r="A614" s="102">
        <v>45959.65696732639</v>
      </c>
      <c r="B614" s="103" t="s">
        <v>117</v>
      </c>
      <c r="C614" s="103" t="s">
        <v>1086</v>
      </c>
      <c r="D614" s="103" t="s">
        <v>779</v>
      </c>
      <c r="E614" s="103" t="s">
        <v>427</v>
      </c>
      <c r="G614" s="103" t="s">
        <v>1071</v>
      </c>
      <c r="H614" s="103" t="s">
        <v>1449</v>
      </c>
    </row>
    <row r="615" ht="22.5" customHeight="1">
      <c r="A615" s="102">
        <v>45959.65697340277</v>
      </c>
      <c r="B615" s="103" t="s">
        <v>121</v>
      </c>
      <c r="C615" s="103" t="s">
        <v>940</v>
      </c>
      <c r="D615" s="103" t="s">
        <v>458</v>
      </c>
      <c r="E615" s="103" t="s">
        <v>427</v>
      </c>
      <c r="G615" s="103" t="s">
        <v>113</v>
      </c>
      <c r="H615" s="103" t="s">
        <v>1450</v>
      </c>
    </row>
    <row r="616" ht="22.5" customHeight="1">
      <c r="A616" s="102">
        <v>45959.65704825232</v>
      </c>
      <c r="B616" s="103" t="s">
        <v>326</v>
      </c>
      <c r="C616" s="103" t="s">
        <v>697</v>
      </c>
      <c r="D616" s="103" t="s">
        <v>698</v>
      </c>
      <c r="E616" s="103" t="s">
        <v>420</v>
      </c>
      <c r="G616" s="103" t="s">
        <v>699</v>
      </c>
      <c r="H616" s="103" t="s">
        <v>1451</v>
      </c>
    </row>
    <row r="617" ht="22.5" customHeight="1">
      <c r="A617" s="102">
        <v>45959.657066631946</v>
      </c>
      <c r="B617" s="103" t="s">
        <v>319</v>
      </c>
      <c r="C617" s="103" t="s">
        <v>1452</v>
      </c>
      <c r="D617" s="103" t="s">
        <v>692</v>
      </c>
      <c r="E617" s="103" t="s">
        <v>420</v>
      </c>
      <c r="G617" s="103" t="s">
        <v>699</v>
      </c>
      <c r="H617" s="103" t="s">
        <v>1448</v>
      </c>
    </row>
    <row r="618" ht="22.5" customHeight="1">
      <c r="A618" s="102">
        <v>45959.657073634255</v>
      </c>
      <c r="B618" s="103" t="s">
        <v>228</v>
      </c>
      <c r="C618" s="103" t="s">
        <v>905</v>
      </c>
      <c r="D618" s="103" t="s">
        <v>573</v>
      </c>
      <c r="E618" s="103" t="s">
        <v>420</v>
      </c>
      <c r="G618" s="103" t="s">
        <v>224</v>
      </c>
      <c r="H618" s="103" t="s">
        <v>1453</v>
      </c>
    </row>
    <row r="619" ht="22.5" customHeight="1">
      <c r="A619" s="102">
        <v>45959.65713184028</v>
      </c>
      <c r="B619" s="103" t="s">
        <v>1192</v>
      </c>
      <c r="C619" s="103" t="s">
        <v>1454</v>
      </c>
      <c r="D619" s="103" t="s">
        <v>709</v>
      </c>
      <c r="E619" s="103" t="s">
        <v>420</v>
      </c>
      <c r="G619" s="103" t="s">
        <v>38</v>
      </c>
      <c r="H619" s="103" t="s">
        <v>1455</v>
      </c>
    </row>
    <row r="620" ht="22.5" customHeight="1">
      <c r="A620" s="102">
        <v>45959.65714887732</v>
      </c>
      <c r="B620" s="103" t="s">
        <v>230</v>
      </c>
      <c r="C620" s="103" t="s">
        <v>911</v>
      </c>
      <c r="D620" s="103" t="s">
        <v>573</v>
      </c>
      <c r="E620" s="103" t="s">
        <v>420</v>
      </c>
      <c r="G620" s="103" t="s">
        <v>1456</v>
      </c>
      <c r="H620" s="103" t="s">
        <v>1457</v>
      </c>
    </row>
    <row r="621" ht="22.5" customHeight="1">
      <c r="A621" s="102">
        <v>45959.6571565162</v>
      </c>
      <c r="B621" s="103" t="s">
        <v>367</v>
      </c>
      <c r="C621" s="103" t="s">
        <v>757</v>
      </c>
      <c r="D621" s="103" t="s">
        <v>758</v>
      </c>
      <c r="E621" s="103" t="s">
        <v>420</v>
      </c>
      <c r="G621" s="103" t="s">
        <v>759</v>
      </c>
      <c r="H621" s="103" t="s">
        <v>1458</v>
      </c>
    </row>
    <row r="622" ht="22.5" customHeight="1">
      <c r="A622" s="102">
        <v>45959.65723607639</v>
      </c>
      <c r="B622" s="103" t="s">
        <v>115</v>
      </c>
      <c r="C622" s="103" t="s">
        <v>489</v>
      </c>
      <c r="D622" s="103" t="s">
        <v>490</v>
      </c>
      <c r="E622" s="103" t="s">
        <v>427</v>
      </c>
      <c r="G622" s="103" t="s">
        <v>1364</v>
      </c>
      <c r="H622" s="103" t="s">
        <v>1459</v>
      </c>
    </row>
    <row r="623" ht="22.5" customHeight="1">
      <c r="A623" s="102">
        <v>45959.65725192129</v>
      </c>
      <c r="B623" s="103" t="s">
        <v>9</v>
      </c>
      <c r="C623" s="103" t="s">
        <v>576</v>
      </c>
      <c r="D623" s="103" t="s">
        <v>577</v>
      </c>
      <c r="E623" s="103" t="s">
        <v>420</v>
      </c>
      <c r="G623" s="103" t="s">
        <v>10</v>
      </c>
      <c r="H623" s="103" t="s">
        <v>1460</v>
      </c>
    </row>
    <row r="624" ht="22.5" customHeight="1">
      <c r="A624" s="102">
        <v>45959.65735145833</v>
      </c>
      <c r="B624" s="103" t="s">
        <v>324</v>
      </c>
      <c r="C624" s="103" t="s">
        <v>1320</v>
      </c>
      <c r="D624" s="103" t="s">
        <v>591</v>
      </c>
      <c r="E624" s="103" t="s">
        <v>578</v>
      </c>
      <c r="G624" s="103" t="s">
        <v>699</v>
      </c>
      <c r="H624" s="103" t="s">
        <v>1461</v>
      </c>
    </row>
    <row r="625" ht="22.5" customHeight="1">
      <c r="A625" s="102">
        <v>45959.65740398148</v>
      </c>
      <c r="B625" s="103" t="s">
        <v>322</v>
      </c>
      <c r="C625" s="103" t="s">
        <v>631</v>
      </c>
      <c r="D625" s="103" t="s">
        <v>632</v>
      </c>
      <c r="E625" s="103" t="s">
        <v>578</v>
      </c>
      <c r="G625" s="103" t="s">
        <v>699</v>
      </c>
      <c r="H625" s="103" t="s">
        <v>1462</v>
      </c>
    </row>
    <row r="626" ht="22.5" customHeight="1">
      <c r="A626" s="102">
        <v>45959.65740488426</v>
      </c>
      <c r="B626" s="103" t="s">
        <v>298</v>
      </c>
      <c r="C626" s="103" t="s">
        <v>460</v>
      </c>
      <c r="D626" s="103" t="s">
        <v>461</v>
      </c>
      <c r="E626" s="103" t="s">
        <v>427</v>
      </c>
      <c r="G626" s="103" t="s">
        <v>462</v>
      </c>
      <c r="H626" s="103" t="s">
        <v>1463</v>
      </c>
    </row>
    <row r="627" ht="22.5" customHeight="1">
      <c r="A627" s="102">
        <v>45959.65741211806</v>
      </c>
      <c r="B627" s="103" t="s">
        <v>328</v>
      </c>
      <c r="C627" s="103" t="s">
        <v>826</v>
      </c>
      <c r="D627" s="103" t="s">
        <v>827</v>
      </c>
      <c r="E627" s="103" t="s">
        <v>578</v>
      </c>
      <c r="G627" s="103" t="s">
        <v>699</v>
      </c>
      <c r="H627" s="103" t="s">
        <v>1464</v>
      </c>
    </row>
    <row r="628" ht="22.5" customHeight="1">
      <c r="A628" s="102">
        <v>45959.65745760417</v>
      </c>
      <c r="B628" s="103" t="s">
        <v>223</v>
      </c>
      <c r="C628" s="103" t="s">
        <v>741</v>
      </c>
      <c r="D628" s="103" t="s">
        <v>506</v>
      </c>
      <c r="E628" s="103" t="s">
        <v>578</v>
      </c>
      <c r="G628" s="103" t="s">
        <v>669</v>
      </c>
      <c r="H628" s="103" t="s">
        <v>1465</v>
      </c>
    </row>
    <row r="629" ht="22.5" customHeight="1">
      <c r="A629" s="102">
        <v>45959.65745798611</v>
      </c>
      <c r="B629" s="103" t="s">
        <v>167</v>
      </c>
      <c r="C629" s="103" t="s">
        <v>599</v>
      </c>
      <c r="D629" s="103" t="s">
        <v>600</v>
      </c>
      <c r="E629" s="103" t="s">
        <v>420</v>
      </c>
      <c r="G629" s="103" t="s">
        <v>161</v>
      </c>
      <c r="H629" s="103" t="s">
        <v>1466</v>
      </c>
    </row>
    <row r="630" ht="22.5" customHeight="1">
      <c r="A630" s="102">
        <v>45959.65747831018</v>
      </c>
      <c r="B630" s="103" t="s">
        <v>200</v>
      </c>
      <c r="C630" s="103" t="s">
        <v>1171</v>
      </c>
      <c r="D630" s="103" t="s">
        <v>588</v>
      </c>
      <c r="E630" s="103" t="s">
        <v>578</v>
      </c>
      <c r="G630" s="103" t="s">
        <v>198</v>
      </c>
      <c r="H630" s="103" t="s">
        <v>1467</v>
      </c>
    </row>
    <row r="631" ht="22.5" customHeight="1">
      <c r="A631" s="102">
        <v>45959.65750555556</v>
      </c>
      <c r="B631" s="103" t="s">
        <v>330</v>
      </c>
      <c r="C631" s="103" t="s">
        <v>662</v>
      </c>
      <c r="D631" s="103" t="s">
        <v>663</v>
      </c>
      <c r="E631" s="103" t="s">
        <v>420</v>
      </c>
      <c r="G631" s="103" t="s">
        <v>699</v>
      </c>
      <c r="H631" s="103" t="s">
        <v>1448</v>
      </c>
    </row>
    <row r="632" ht="22.5" customHeight="1">
      <c r="A632" s="102">
        <v>45959.65764774306</v>
      </c>
      <c r="B632" s="103" t="s">
        <v>304</v>
      </c>
      <c r="C632" s="103" t="s">
        <v>814</v>
      </c>
      <c r="D632" s="103" t="s">
        <v>1468</v>
      </c>
      <c r="E632" s="103" t="s">
        <v>427</v>
      </c>
      <c r="G632" s="103" t="s">
        <v>462</v>
      </c>
      <c r="H632" s="103" t="s">
        <v>1469</v>
      </c>
    </row>
    <row r="633" ht="22.5" customHeight="1">
      <c r="A633" s="102">
        <v>45959.657669016204</v>
      </c>
      <c r="B633" s="103" t="s">
        <v>20</v>
      </c>
      <c r="C633" s="103" t="s">
        <v>754</v>
      </c>
      <c r="D633" s="103" t="s">
        <v>923</v>
      </c>
      <c r="E633" s="103" t="s">
        <v>420</v>
      </c>
      <c r="G633" s="103" t="s">
        <v>957</v>
      </c>
      <c r="H633" s="103" t="s">
        <v>1448</v>
      </c>
    </row>
    <row r="634" ht="22.5" customHeight="1">
      <c r="A634" s="102">
        <v>45959.657761423616</v>
      </c>
      <c r="B634" s="103" t="s">
        <v>40</v>
      </c>
      <c r="C634" s="103" t="s">
        <v>1470</v>
      </c>
      <c r="D634" s="103" t="s">
        <v>748</v>
      </c>
      <c r="E634" s="103" t="s">
        <v>420</v>
      </c>
      <c r="G634" s="103" t="s">
        <v>38</v>
      </c>
      <c r="H634" s="103" t="s">
        <v>1471</v>
      </c>
    </row>
    <row r="635" ht="22.5" customHeight="1">
      <c r="A635" s="102">
        <v>45959.65780752315</v>
      </c>
      <c r="B635" s="103" t="s">
        <v>119</v>
      </c>
      <c r="C635" s="103" t="s">
        <v>814</v>
      </c>
      <c r="D635" s="103" t="s">
        <v>493</v>
      </c>
      <c r="E635" s="103" t="s">
        <v>427</v>
      </c>
      <c r="G635" s="103" t="s">
        <v>113</v>
      </c>
      <c r="H635" s="103" t="s">
        <v>1472</v>
      </c>
    </row>
    <row r="636" ht="22.5" customHeight="1">
      <c r="A636" s="102">
        <v>45959.65782530092</v>
      </c>
      <c r="B636" s="103" t="s">
        <v>339</v>
      </c>
      <c r="C636" s="103" t="s">
        <v>858</v>
      </c>
      <c r="D636" s="103" t="s">
        <v>726</v>
      </c>
      <c r="E636" s="103" t="s">
        <v>420</v>
      </c>
      <c r="G636" s="103" t="s">
        <v>486</v>
      </c>
      <c r="H636" s="103" t="s">
        <v>1473</v>
      </c>
    </row>
    <row r="637" ht="22.5" customHeight="1">
      <c r="A637" s="102">
        <v>45959.657849386575</v>
      </c>
      <c r="B637" s="103" t="s">
        <v>293</v>
      </c>
      <c r="C637" s="103" t="s">
        <v>448</v>
      </c>
      <c r="D637" s="103" t="s">
        <v>449</v>
      </c>
      <c r="E637" s="103" t="s">
        <v>427</v>
      </c>
      <c r="G637" s="103" t="s">
        <v>1474</v>
      </c>
      <c r="H637" s="103" t="s">
        <v>1475</v>
      </c>
    </row>
    <row r="638" ht="22.5" customHeight="1">
      <c r="A638" s="102">
        <v>45959.65790777778</v>
      </c>
      <c r="B638" s="103" t="s">
        <v>33</v>
      </c>
      <c r="C638" s="103" t="s">
        <v>743</v>
      </c>
      <c r="D638" s="103" t="s">
        <v>458</v>
      </c>
      <c r="E638" s="103" t="s">
        <v>420</v>
      </c>
      <c r="G638" s="103" t="s">
        <v>23</v>
      </c>
      <c r="H638" s="103" t="s">
        <v>1476</v>
      </c>
    </row>
    <row r="639" ht="22.5" customHeight="1">
      <c r="A639" s="102">
        <v>45959.65797581019</v>
      </c>
      <c r="B639" s="103" t="s">
        <v>141</v>
      </c>
      <c r="C639" s="103" t="s">
        <v>803</v>
      </c>
      <c r="D639" s="103" t="s">
        <v>804</v>
      </c>
      <c r="E639" s="103" t="s">
        <v>420</v>
      </c>
      <c r="G639" s="103" t="s">
        <v>1477</v>
      </c>
      <c r="H639" s="103" t="s">
        <v>1478</v>
      </c>
    </row>
    <row r="640" ht="22.5" customHeight="1">
      <c r="A640" s="102">
        <v>45959.65797847223</v>
      </c>
      <c r="B640" s="103" t="s">
        <v>31</v>
      </c>
      <c r="C640" s="103" t="s">
        <v>569</v>
      </c>
      <c r="D640" s="103" t="s">
        <v>694</v>
      </c>
      <c r="E640" s="103" t="s">
        <v>494</v>
      </c>
      <c r="G640" s="103" t="s">
        <v>1479</v>
      </c>
      <c r="H640" s="103" t="s">
        <v>1480</v>
      </c>
    </row>
    <row r="641" ht="22.5" customHeight="1">
      <c r="A641" s="102">
        <v>45959.65800408565</v>
      </c>
      <c r="B641" s="103" t="s">
        <v>1192</v>
      </c>
      <c r="C641" s="103" t="s">
        <v>1454</v>
      </c>
      <c r="D641" s="103" t="s">
        <v>709</v>
      </c>
      <c r="E641" s="103" t="s">
        <v>420</v>
      </c>
      <c r="G641" s="103" t="s">
        <v>1386</v>
      </c>
      <c r="H641" s="103" t="s">
        <v>1481</v>
      </c>
    </row>
    <row r="642" ht="22.5" customHeight="1">
      <c r="A642" s="102">
        <v>45959.65803288194</v>
      </c>
      <c r="B642" s="103" t="s">
        <v>246</v>
      </c>
      <c r="C642" s="103" t="s">
        <v>1482</v>
      </c>
      <c r="D642" s="103" t="s">
        <v>704</v>
      </c>
      <c r="E642" s="103" t="s">
        <v>578</v>
      </c>
      <c r="G642" s="103" t="s">
        <v>1483</v>
      </c>
      <c r="H642" s="103" t="s">
        <v>1484</v>
      </c>
    </row>
    <row r="643" ht="22.5" customHeight="1">
      <c r="A643" s="102">
        <v>45959.65804197917</v>
      </c>
      <c r="B643" s="103" t="s">
        <v>391</v>
      </c>
      <c r="C643" s="103" t="s">
        <v>472</v>
      </c>
      <c r="D643" s="103" t="s">
        <v>473</v>
      </c>
      <c r="E643" s="103" t="s">
        <v>427</v>
      </c>
      <c r="G643" s="103" t="s">
        <v>474</v>
      </c>
      <c r="H643" s="103" t="s">
        <v>1485</v>
      </c>
    </row>
    <row r="644" ht="22.5" customHeight="1">
      <c r="A644" s="102">
        <v>45959.65806054398</v>
      </c>
      <c r="B644" s="103" t="s">
        <v>171</v>
      </c>
      <c r="C644" s="103" t="s">
        <v>1486</v>
      </c>
      <c r="D644" s="103" t="s">
        <v>610</v>
      </c>
      <c r="E644" s="103" t="s">
        <v>420</v>
      </c>
      <c r="G644" s="103" t="s">
        <v>172</v>
      </c>
      <c r="H644" s="103" t="s">
        <v>1487</v>
      </c>
    </row>
    <row r="645" ht="22.5" customHeight="1">
      <c r="A645" s="102">
        <v>45959.65822857639</v>
      </c>
      <c r="B645" s="103" t="s">
        <v>14</v>
      </c>
      <c r="C645" s="103" t="s">
        <v>1004</v>
      </c>
      <c r="D645" s="103" t="s">
        <v>719</v>
      </c>
      <c r="E645" s="103" t="s">
        <v>578</v>
      </c>
      <c r="G645" s="103" t="s">
        <v>1006</v>
      </c>
      <c r="H645" s="103" t="s">
        <v>1488</v>
      </c>
    </row>
    <row r="646" ht="22.5" customHeight="1">
      <c r="A646" s="102">
        <v>45959.65833283565</v>
      </c>
      <c r="B646" s="103" t="s">
        <v>35</v>
      </c>
      <c r="C646" s="103" t="s">
        <v>1356</v>
      </c>
      <c r="D646" s="103" t="s">
        <v>1067</v>
      </c>
      <c r="E646" s="103" t="s">
        <v>450</v>
      </c>
      <c r="G646" s="103" t="s">
        <v>23</v>
      </c>
      <c r="H646" s="103" t="s">
        <v>1489</v>
      </c>
    </row>
    <row r="647" ht="22.5" customHeight="1">
      <c r="A647" s="102">
        <v>45959.658344131945</v>
      </c>
      <c r="B647" s="103" t="s">
        <v>367</v>
      </c>
      <c r="C647" s="103" t="s">
        <v>757</v>
      </c>
      <c r="D647" s="103" t="s">
        <v>758</v>
      </c>
      <c r="E647" s="103" t="s">
        <v>494</v>
      </c>
      <c r="G647" s="103" t="s">
        <v>359</v>
      </c>
      <c r="H647" s="103" t="s">
        <v>1490</v>
      </c>
    </row>
    <row r="648" ht="22.5" customHeight="1">
      <c r="A648" s="102">
        <v>45959.658547534724</v>
      </c>
      <c r="B648" s="103" t="s">
        <v>252</v>
      </c>
      <c r="C648" s="103" t="s">
        <v>901</v>
      </c>
      <c r="D648" s="103" t="s">
        <v>614</v>
      </c>
      <c r="E648" s="103" t="s">
        <v>420</v>
      </c>
      <c r="G648" s="103" t="s">
        <v>615</v>
      </c>
      <c r="H648" s="103" t="s">
        <v>1491</v>
      </c>
    </row>
    <row r="649" ht="22.5" customHeight="1">
      <c r="A649" s="102">
        <v>45959.65890123842</v>
      </c>
      <c r="B649" s="103" t="s">
        <v>206</v>
      </c>
      <c r="C649" s="103" t="s">
        <v>445</v>
      </c>
      <c r="D649" s="103" t="s">
        <v>1018</v>
      </c>
      <c r="E649" s="103" t="s">
        <v>420</v>
      </c>
      <c r="G649" s="103" t="s">
        <v>1019</v>
      </c>
      <c r="H649" s="103" t="s">
        <v>1492</v>
      </c>
    </row>
    <row r="650" ht="22.5" customHeight="1">
      <c r="A650" s="102">
        <v>45959.65890563658</v>
      </c>
      <c r="B650" s="103" t="s">
        <v>287</v>
      </c>
      <c r="C650" s="103" t="s">
        <v>989</v>
      </c>
      <c r="D650" s="103" t="s">
        <v>466</v>
      </c>
      <c r="E650" s="103" t="s">
        <v>427</v>
      </c>
      <c r="G650" s="103" t="s">
        <v>478</v>
      </c>
      <c r="H650" s="103" t="s">
        <v>1493</v>
      </c>
    </row>
    <row r="651" ht="22.5" customHeight="1">
      <c r="A651" s="102">
        <v>45959.65900667824</v>
      </c>
      <c r="B651" s="103" t="s">
        <v>204</v>
      </c>
      <c r="C651" s="103" t="s">
        <v>745</v>
      </c>
      <c r="D651" s="103" t="s">
        <v>689</v>
      </c>
      <c r="E651" s="103" t="s">
        <v>578</v>
      </c>
      <c r="G651" s="103" t="s">
        <v>198</v>
      </c>
      <c r="H651" s="103" t="s">
        <v>1494</v>
      </c>
    </row>
    <row r="652" ht="22.5" customHeight="1">
      <c r="A652" s="102">
        <v>45959.6594574537</v>
      </c>
      <c r="B652" s="103" t="s">
        <v>191</v>
      </c>
      <c r="C652" s="103" t="s">
        <v>512</v>
      </c>
      <c r="D652" s="103" t="s">
        <v>513</v>
      </c>
      <c r="E652" s="103" t="s">
        <v>420</v>
      </c>
      <c r="G652" s="103" t="s">
        <v>1352</v>
      </c>
      <c r="H652" s="103" t="s">
        <v>1495</v>
      </c>
    </row>
    <row r="653" ht="22.5" customHeight="1">
      <c r="A653" s="102">
        <v>45959.6595047338</v>
      </c>
      <c r="B653" s="103" t="s">
        <v>317</v>
      </c>
      <c r="C653" s="103" t="s">
        <v>1496</v>
      </c>
      <c r="D653" s="103" t="s">
        <v>1497</v>
      </c>
      <c r="E653" s="103" t="s">
        <v>427</v>
      </c>
      <c r="G653" s="103" t="s">
        <v>1498</v>
      </c>
      <c r="H653" s="103" t="s">
        <v>1499</v>
      </c>
    </row>
    <row r="654" ht="22.5" customHeight="1">
      <c r="A654" s="102">
        <v>45959.659735</v>
      </c>
      <c r="B654" s="103" t="s">
        <v>396</v>
      </c>
      <c r="C654" s="103" t="s">
        <v>593</v>
      </c>
      <c r="D654" s="103" t="s">
        <v>594</v>
      </c>
      <c r="E654" s="103" t="s">
        <v>420</v>
      </c>
      <c r="G654" s="103" t="s">
        <v>568</v>
      </c>
      <c r="H654" s="103" t="s">
        <v>1500</v>
      </c>
    </row>
    <row r="655" ht="22.5" customHeight="1">
      <c r="A655" s="102">
        <v>45959.65974966435</v>
      </c>
      <c r="B655" s="103" t="s">
        <v>393</v>
      </c>
      <c r="C655" s="103" t="s">
        <v>657</v>
      </c>
      <c r="D655" s="103" t="s">
        <v>658</v>
      </c>
      <c r="E655" s="103" t="s">
        <v>420</v>
      </c>
      <c r="G655" s="103" t="s">
        <v>568</v>
      </c>
      <c r="H655" s="103" t="s">
        <v>1501</v>
      </c>
    </row>
    <row r="656" ht="22.5" customHeight="1">
      <c r="A656" s="102">
        <v>45959.65991623842</v>
      </c>
      <c r="B656" s="103" t="s">
        <v>202</v>
      </c>
      <c r="C656" s="103" t="s">
        <v>634</v>
      </c>
      <c r="D656" s="103" t="s">
        <v>635</v>
      </c>
      <c r="E656" s="103" t="s">
        <v>420</v>
      </c>
      <c r="G656" s="103" t="s">
        <v>1019</v>
      </c>
      <c r="H656" s="103" t="s">
        <v>1502</v>
      </c>
    </row>
    <row r="657" ht="22.5" customHeight="1">
      <c r="A657" s="102">
        <v>45959.66021383102</v>
      </c>
      <c r="B657" s="103" t="s">
        <v>187</v>
      </c>
      <c r="C657" s="103" t="s">
        <v>751</v>
      </c>
      <c r="D657" s="103" t="s">
        <v>647</v>
      </c>
      <c r="E657" s="103" t="s">
        <v>420</v>
      </c>
      <c r="G657" s="103" t="s">
        <v>185</v>
      </c>
      <c r="H657" s="103" t="s">
        <v>1503</v>
      </c>
    </row>
    <row r="658" ht="22.5" customHeight="1">
      <c r="A658" s="102">
        <v>45959.66030120371</v>
      </c>
      <c r="B658" s="103" t="s">
        <v>365</v>
      </c>
      <c r="C658" s="103" t="s">
        <v>653</v>
      </c>
      <c r="D658" s="103" t="s">
        <v>654</v>
      </c>
      <c r="E658" s="103" t="s">
        <v>420</v>
      </c>
      <c r="G658" s="103" t="s">
        <v>359</v>
      </c>
      <c r="H658" s="103" t="s">
        <v>1504</v>
      </c>
    </row>
    <row r="659" ht="22.5" customHeight="1">
      <c r="A659" s="102">
        <v>45959.6605091088</v>
      </c>
      <c r="B659" s="103" t="s">
        <v>348</v>
      </c>
      <c r="C659" s="103" t="s">
        <v>1505</v>
      </c>
      <c r="D659" s="103" t="s">
        <v>487</v>
      </c>
      <c r="E659" s="103" t="s">
        <v>494</v>
      </c>
      <c r="G659" s="103" t="s">
        <v>495</v>
      </c>
      <c r="H659" s="103" t="s">
        <v>1506</v>
      </c>
    </row>
    <row r="660" ht="22.5" customHeight="1">
      <c r="A660" s="102">
        <v>45959.66116550926</v>
      </c>
      <c r="B660" s="103" t="s">
        <v>48</v>
      </c>
      <c r="C660" s="103" t="s">
        <v>832</v>
      </c>
      <c r="D660" s="103" t="s">
        <v>833</v>
      </c>
      <c r="E660" s="103" t="s">
        <v>639</v>
      </c>
      <c r="G660" s="103" t="s">
        <v>49</v>
      </c>
      <c r="H660" s="103" t="s">
        <v>1507</v>
      </c>
    </row>
    <row r="661" ht="22.5" customHeight="1">
      <c r="A661" s="102">
        <v>45959.66125016204</v>
      </c>
      <c r="B661" s="103" t="s">
        <v>226</v>
      </c>
      <c r="C661" s="103" t="s">
        <v>668</v>
      </c>
      <c r="D661" s="103" t="s">
        <v>581</v>
      </c>
      <c r="E661" s="103" t="s">
        <v>578</v>
      </c>
      <c r="G661" s="103" t="s">
        <v>669</v>
      </c>
      <c r="H661" s="103" t="s">
        <v>1508</v>
      </c>
    </row>
    <row r="662" ht="22.5" customHeight="1">
      <c r="A662" s="102">
        <v>45959.66206475694</v>
      </c>
      <c r="B662" s="103" t="s">
        <v>156</v>
      </c>
      <c r="C662" s="103" t="s">
        <v>528</v>
      </c>
      <c r="D662" s="103" t="s">
        <v>529</v>
      </c>
      <c r="E662" s="103" t="s">
        <v>494</v>
      </c>
      <c r="G662" s="103" t="s">
        <v>148</v>
      </c>
      <c r="H662" s="103" t="s">
        <v>1509</v>
      </c>
    </row>
    <row r="663" ht="22.5" customHeight="1">
      <c r="A663" s="102">
        <v>45959.66208821759</v>
      </c>
      <c r="B663" s="103" t="s">
        <v>110</v>
      </c>
      <c r="C663" s="103" t="s">
        <v>514</v>
      </c>
      <c r="D663" s="103" t="s">
        <v>515</v>
      </c>
      <c r="E663" s="103" t="s">
        <v>494</v>
      </c>
      <c r="G663" s="103" t="s">
        <v>944</v>
      </c>
      <c r="H663" s="103" t="s">
        <v>1510</v>
      </c>
    </row>
    <row r="664" ht="22.5" customHeight="1">
      <c r="A664" s="102">
        <v>45959.66209010417</v>
      </c>
      <c r="B664" s="103" t="s">
        <v>354</v>
      </c>
      <c r="C664" s="103" t="s">
        <v>518</v>
      </c>
      <c r="D664" s="103" t="s">
        <v>519</v>
      </c>
      <c r="E664" s="103" t="s">
        <v>494</v>
      </c>
      <c r="G664" s="103" t="s">
        <v>1511</v>
      </c>
      <c r="H664" s="103" t="s">
        <v>1512</v>
      </c>
    </row>
    <row r="665" ht="22.5" customHeight="1">
      <c r="A665" s="102">
        <v>45959.66215440972</v>
      </c>
      <c r="B665" s="103" t="s">
        <v>356</v>
      </c>
      <c r="C665" s="103" t="s">
        <v>544</v>
      </c>
      <c r="D665" s="103" t="s">
        <v>545</v>
      </c>
      <c r="E665" s="103" t="s">
        <v>494</v>
      </c>
      <c r="G665" s="103" t="s">
        <v>495</v>
      </c>
      <c r="H665" s="103" t="s">
        <v>1513</v>
      </c>
    </row>
    <row r="666" ht="22.5" customHeight="1">
      <c r="A666" s="102">
        <v>45959.66215712963</v>
      </c>
      <c r="B666" s="103" t="s">
        <v>158</v>
      </c>
      <c r="C666" s="103" t="s">
        <v>540</v>
      </c>
      <c r="D666" s="103" t="s">
        <v>541</v>
      </c>
      <c r="E666" s="103" t="s">
        <v>494</v>
      </c>
      <c r="G666" s="103" t="s">
        <v>148</v>
      </c>
      <c r="H666" s="103" t="s">
        <v>1514</v>
      </c>
    </row>
    <row r="667" ht="22.5" customHeight="1">
      <c r="A667" s="102">
        <v>45959.662245196756</v>
      </c>
      <c r="B667" s="103" t="s">
        <v>352</v>
      </c>
      <c r="C667" s="103" t="s">
        <v>555</v>
      </c>
      <c r="D667" s="103" t="s">
        <v>556</v>
      </c>
      <c r="E667" s="103" t="s">
        <v>494</v>
      </c>
      <c r="G667" s="103" t="s">
        <v>495</v>
      </c>
      <c r="H667" s="103" t="s">
        <v>1515</v>
      </c>
    </row>
    <row r="668" ht="22.5" customHeight="1">
      <c r="A668" s="102">
        <v>45959.66236636574</v>
      </c>
      <c r="B668" s="103" t="s">
        <v>341</v>
      </c>
      <c r="C668" s="103" t="s">
        <v>1047</v>
      </c>
      <c r="D668" s="103" t="s">
        <v>1048</v>
      </c>
      <c r="E668" s="103" t="s">
        <v>494</v>
      </c>
      <c r="G668" s="103" t="s">
        <v>335</v>
      </c>
      <c r="H668" s="103" t="s">
        <v>1516</v>
      </c>
    </row>
    <row r="669" ht="22.5" customHeight="1">
      <c r="A669" s="102">
        <v>45959.66237016204</v>
      </c>
      <c r="B669" s="103" t="s">
        <v>189</v>
      </c>
      <c r="C669" s="103" t="s">
        <v>561</v>
      </c>
      <c r="D669" s="103" t="s">
        <v>431</v>
      </c>
      <c r="E669" s="103" t="s">
        <v>578</v>
      </c>
      <c r="G669" s="103" t="s">
        <v>1517</v>
      </c>
      <c r="H669" s="103" t="s">
        <v>1518</v>
      </c>
    </row>
    <row r="670" ht="22.5" customHeight="1">
      <c r="A670" s="102">
        <v>45959.662373796295</v>
      </c>
      <c r="B670" s="103" t="s">
        <v>53</v>
      </c>
      <c r="C670" s="103" t="s">
        <v>1519</v>
      </c>
      <c r="D670" s="103" t="s">
        <v>536</v>
      </c>
      <c r="E670" s="103" t="s">
        <v>494</v>
      </c>
      <c r="G670" s="103" t="s">
        <v>1520</v>
      </c>
      <c r="H670" s="103" t="s">
        <v>1521</v>
      </c>
    </row>
    <row r="671" ht="22.5" customHeight="1">
      <c r="A671" s="102">
        <v>45959.66241701389</v>
      </c>
      <c r="B671" s="103" t="s">
        <v>81</v>
      </c>
      <c r="C671" s="103" t="s">
        <v>569</v>
      </c>
      <c r="D671" s="103" t="s">
        <v>461</v>
      </c>
      <c r="E671" s="103" t="s">
        <v>450</v>
      </c>
      <c r="G671" s="103" t="s">
        <v>1522</v>
      </c>
      <c r="H671" s="103" t="s">
        <v>1523</v>
      </c>
    </row>
    <row r="672" ht="22.5" customHeight="1">
      <c r="A672" s="102">
        <v>45959.6625412963</v>
      </c>
      <c r="B672" s="103" t="s">
        <v>108</v>
      </c>
      <c r="C672" s="103" t="s">
        <v>525</v>
      </c>
      <c r="D672" s="103" t="s">
        <v>526</v>
      </c>
      <c r="E672" s="103" t="s">
        <v>427</v>
      </c>
      <c r="G672" s="103" t="s">
        <v>527</v>
      </c>
      <c r="H672" s="103" t="s">
        <v>1524</v>
      </c>
    </row>
    <row r="673" ht="22.5" customHeight="1">
      <c r="A673" s="102">
        <v>45959.66254792824</v>
      </c>
      <c r="B673" s="103" t="s">
        <v>88</v>
      </c>
      <c r="C673" s="103" t="s">
        <v>843</v>
      </c>
      <c r="D673" s="103" t="s">
        <v>844</v>
      </c>
      <c r="E673" s="103" t="s">
        <v>494</v>
      </c>
      <c r="G673" s="103" t="s">
        <v>532</v>
      </c>
      <c r="H673" s="103" t="s">
        <v>1525</v>
      </c>
    </row>
    <row r="674" ht="22.5" customHeight="1">
      <c r="A674" s="102">
        <v>45959.662704525465</v>
      </c>
      <c r="B674" s="103" t="s">
        <v>104</v>
      </c>
      <c r="C674" s="103" t="s">
        <v>522</v>
      </c>
      <c r="D674" s="103" t="s">
        <v>523</v>
      </c>
      <c r="E674" s="103" t="s">
        <v>494</v>
      </c>
      <c r="G674" s="103" t="s">
        <v>98</v>
      </c>
      <c r="H674" s="103" t="s">
        <v>1526</v>
      </c>
    </row>
    <row r="675" ht="22.5" customHeight="1">
      <c r="A675" s="102">
        <v>45959.66278841435</v>
      </c>
      <c r="B675" s="103" t="s">
        <v>106</v>
      </c>
      <c r="C675" s="103" t="s">
        <v>1527</v>
      </c>
      <c r="D675" s="103" t="s">
        <v>498</v>
      </c>
      <c r="E675" s="103" t="s">
        <v>494</v>
      </c>
      <c r="G675" s="103" t="s">
        <v>527</v>
      </c>
      <c r="H675" s="103" t="s">
        <v>1528</v>
      </c>
    </row>
    <row r="676" ht="22.5" customHeight="1">
      <c r="A676" s="102">
        <v>45959.66279990741</v>
      </c>
      <c r="B676" s="103" t="s">
        <v>57</v>
      </c>
      <c r="C676" s="103" t="s">
        <v>553</v>
      </c>
      <c r="D676" s="103" t="s">
        <v>554</v>
      </c>
      <c r="E676" s="103" t="s">
        <v>494</v>
      </c>
      <c r="G676" s="103" t="s">
        <v>537</v>
      </c>
      <c r="H676" s="103" t="s">
        <v>1529</v>
      </c>
    </row>
    <row r="677" ht="22.5" customHeight="1">
      <c r="A677" s="102">
        <v>45959.66296386574</v>
      </c>
      <c r="B677" s="103" t="s">
        <v>193</v>
      </c>
      <c r="C677" s="103" t="s">
        <v>1530</v>
      </c>
      <c r="D677" s="103" t="s">
        <v>550</v>
      </c>
      <c r="E677" s="103" t="s">
        <v>494</v>
      </c>
      <c r="G677" s="103" t="s">
        <v>551</v>
      </c>
      <c r="H677" s="103" t="s">
        <v>1531</v>
      </c>
    </row>
    <row r="678" ht="22.5" customHeight="1">
      <c r="A678" s="102">
        <v>45959.663089548616</v>
      </c>
      <c r="B678" s="103" t="s">
        <v>55</v>
      </c>
      <c r="C678" s="103" t="s">
        <v>1532</v>
      </c>
      <c r="D678" s="103" t="s">
        <v>983</v>
      </c>
      <c r="E678" s="103" t="s">
        <v>494</v>
      </c>
      <c r="G678" s="103" t="s">
        <v>1520</v>
      </c>
      <c r="H678" s="103" t="s">
        <v>1533</v>
      </c>
    </row>
    <row r="679" ht="22.5" customHeight="1">
      <c r="A679" s="102">
        <v>45959.66471246528</v>
      </c>
      <c r="B679" s="103" t="s">
        <v>59</v>
      </c>
      <c r="C679" s="103" t="s">
        <v>919</v>
      </c>
      <c r="D679" s="103" t="s">
        <v>548</v>
      </c>
      <c r="E679" s="103" t="s">
        <v>494</v>
      </c>
      <c r="G679" s="103" t="s">
        <v>49</v>
      </c>
      <c r="H679" s="103" t="s">
        <v>1534</v>
      </c>
    </row>
    <row r="680" ht="22.5" customHeight="1">
      <c r="A680" s="102">
        <v>45959.66485990741</v>
      </c>
      <c r="B680" s="103" t="s">
        <v>272</v>
      </c>
      <c r="C680" s="103" t="s">
        <v>671</v>
      </c>
      <c r="D680" s="103" t="s">
        <v>509</v>
      </c>
      <c r="E680" s="103" t="s">
        <v>450</v>
      </c>
      <c r="G680" s="103" t="s">
        <v>604</v>
      </c>
      <c r="H680" s="103" t="s">
        <v>1535</v>
      </c>
    </row>
    <row r="681" ht="22.5" customHeight="1">
      <c r="A681" s="102">
        <v>45959.66485127315</v>
      </c>
      <c r="B681" s="103" t="s">
        <v>210</v>
      </c>
      <c r="C681" s="103" t="s">
        <v>1536</v>
      </c>
      <c r="D681" s="103" t="s">
        <v>712</v>
      </c>
      <c r="E681" s="103" t="s">
        <v>639</v>
      </c>
      <c r="G681" s="103" t="s">
        <v>211</v>
      </c>
      <c r="H681" s="103" t="s">
        <v>1537</v>
      </c>
    </row>
    <row r="682" ht="22.5" customHeight="1">
      <c r="A682" s="102">
        <v>45959.664864039354</v>
      </c>
      <c r="B682" s="103" t="s">
        <v>213</v>
      </c>
      <c r="C682" s="103" t="s">
        <v>728</v>
      </c>
      <c r="D682" s="103" t="s">
        <v>729</v>
      </c>
      <c r="E682" s="103" t="s">
        <v>639</v>
      </c>
      <c r="G682" s="103" t="s">
        <v>211</v>
      </c>
      <c r="H682" s="103" t="s">
        <v>1538</v>
      </c>
    </row>
    <row r="683" ht="22.5" customHeight="1">
      <c r="A683" s="102">
        <v>45959.66489730324</v>
      </c>
      <c r="B683" s="103" t="s">
        <v>102</v>
      </c>
      <c r="C683" s="103" t="s">
        <v>508</v>
      </c>
      <c r="D683" s="103" t="s">
        <v>509</v>
      </c>
      <c r="E683" s="103" t="s">
        <v>450</v>
      </c>
      <c r="G683" s="103" t="s">
        <v>527</v>
      </c>
      <c r="H683" s="103" t="s">
        <v>1539</v>
      </c>
    </row>
    <row r="684" ht="22.5" customHeight="1">
      <c r="A684" s="102">
        <v>45959.66493006944</v>
      </c>
      <c r="B684" s="103" t="s">
        <v>66</v>
      </c>
      <c r="C684" s="103" t="s">
        <v>668</v>
      </c>
      <c r="D684" s="103" t="s">
        <v>689</v>
      </c>
      <c r="E684" s="103" t="s">
        <v>450</v>
      </c>
      <c r="G684" s="103" t="s">
        <v>62</v>
      </c>
      <c r="H684" s="103" t="s">
        <v>1540</v>
      </c>
    </row>
    <row r="685" ht="22.5" customHeight="1">
      <c r="A685" s="102">
        <v>45959.66498277777</v>
      </c>
      <c r="B685" s="103" t="s">
        <v>285</v>
      </c>
      <c r="C685" s="103" t="s">
        <v>790</v>
      </c>
      <c r="D685" s="103" t="s">
        <v>791</v>
      </c>
      <c r="E685" s="103" t="s">
        <v>427</v>
      </c>
      <c r="G685" s="103" t="s">
        <v>478</v>
      </c>
      <c r="H685" s="103" t="s">
        <v>1541</v>
      </c>
    </row>
    <row r="686" ht="22.5" customHeight="1">
      <c r="A686" s="102">
        <v>45959.66499709491</v>
      </c>
      <c r="B686" s="103" t="s">
        <v>268</v>
      </c>
      <c r="C686" s="103" t="s">
        <v>722</v>
      </c>
      <c r="D686" s="103" t="s">
        <v>723</v>
      </c>
      <c r="E686" s="103" t="s">
        <v>450</v>
      </c>
      <c r="G686" s="103" t="s">
        <v>604</v>
      </c>
      <c r="H686" s="103" t="s">
        <v>1542</v>
      </c>
    </row>
    <row r="687" ht="22.5" customHeight="1">
      <c r="A687" s="102">
        <v>45959.66500008102</v>
      </c>
      <c r="B687" s="103" t="s">
        <v>217</v>
      </c>
      <c r="C687" s="103" t="s">
        <v>816</v>
      </c>
      <c r="D687" s="103" t="s">
        <v>647</v>
      </c>
      <c r="E687" s="103" t="s">
        <v>639</v>
      </c>
      <c r="G687" s="103" t="s">
        <v>820</v>
      </c>
      <c r="H687" s="103" t="s">
        <v>1543</v>
      </c>
    </row>
    <row r="688" ht="22.5" customHeight="1">
      <c r="A688" s="102">
        <v>45959.66503047454</v>
      </c>
      <c r="B688" s="103" t="s">
        <v>169</v>
      </c>
      <c r="C688" s="103" t="s">
        <v>676</v>
      </c>
      <c r="D688" s="103" t="s">
        <v>677</v>
      </c>
      <c r="E688" s="103" t="s">
        <v>450</v>
      </c>
      <c r="G688" s="103" t="s">
        <v>445</v>
      </c>
      <c r="H688" s="103" t="s">
        <v>1544</v>
      </c>
    </row>
    <row r="689" ht="22.5" customHeight="1">
      <c r="A689" s="102">
        <v>45959.66505472222</v>
      </c>
      <c r="B689" s="103" t="s">
        <v>147</v>
      </c>
      <c r="C689" s="103" t="s">
        <v>780</v>
      </c>
      <c r="D689" s="103" t="s">
        <v>781</v>
      </c>
      <c r="E689" s="103" t="s">
        <v>450</v>
      </c>
      <c r="G689" s="103" t="s">
        <v>148</v>
      </c>
      <c r="H689" s="103" t="s">
        <v>1545</v>
      </c>
    </row>
    <row r="690" ht="22.5" customHeight="1">
      <c r="A690" s="102">
        <v>45959.66506804398</v>
      </c>
      <c r="B690" s="103" t="s">
        <v>274</v>
      </c>
      <c r="C690" s="103" t="s">
        <v>1546</v>
      </c>
      <c r="D690" s="103" t="s">
        <v>1547</v>
      </c>
      <c r="E690" s="103" t="s">
        <v>450</v>
      </c>
      <c r="G690" s="103" t="s">
        <v>1548</v>
      </c>
      <c r="H690" s="103" t="s">
        <v>1549</v>
      </c>
    </row>
    <row r="691" ht="22.5" customHeight="1">
      <c r="A691" s="102">
        <v>45959.66508803241</v>
      </c>
      <c r="B691" s="103" t="s">
        <v>361</v>
      </c>
      <c r="C691" s="103" t="s">
        <v>625</v>
      </c>
      <c r="D691" s="103" t="s">
        <v>626</v>
      </c>
      <c r="E691" s="103" t="s">
        <v>639</v>
      </c>
      <c r="G691" s="103" t="s">
        <v>359</v>
      </c>
      <c r="H691" s="103" t="s">
        <v>1550</v>
      </c>
    </row>
    <row r="692" ht="22.5" customHeight="1">
      <c r="A692" s="102">
        <v>45959.665133055554</v>
      </c>
      <c r="B692" s="103" t="s">
        <v>27</v>
      </c>
      <c r="C692" s="103" t="s">
        <v>1098</v>
      </c>
      <c r="D692" s="103" t="s">
        <v>947</v>
      </c>
      <c r="E692" s="103" t="s">
        <v>450</v>
      </c>
      <c r="G692" s="103" t="s">
        <v>912</v>
      </c>
      <c r="H692" s="103" t="s">
        <v>1551</v>
      </c>
    </row>
    <row r="693" ht="22.5" customHeight="1">
      <c r="A693" s="102">
        <v>45959.665139502315</v>
      </c>
      <c r="B693" s="103" t="s">
        <v>311</v>
      </c>
      <c r="C693" s="103" t="s">
        <v>851</v>
      </c>
      <c r="D693" s="103" t="s">
        <v>852</v>
      </c>
      <c r="E693" s="103" t="s">
        <v>450</v>
      </c>
      <c r="G693" s="103" t="s">
        <v>309</v>
      </c>
      <c r="H693" s="103" t="s">
        <v>1552</v>
      </c>
    </row>
    <row r="694" ht="22.5" customHeight="1">
      <c r="A694" s="102">
        <v>45959.66517118056</v>
      </c>
      <c r="B694" s="103" t="s">
        <v>278</v>
      </c>
      <c r="C694" s="103" t="s">
        <v>622</v>
      </c>
      <c r="D694" s="103" t="s">
        <v>623</v>
      </c>
      <c r="E694" s="103" t="s">
        <v>639</v>
      </c>
      <c r="G694" s="103" t="s">
        <v>604</v>
      </c>
      <c r="H694" s="103" t="s">
        <v>1553</v>
      </c>
    </row>
    <row r="695" ht="22.5" customHeight="1">
      <c r="A695" s="102">
        <v>45959.665173182875</v>
      </c>
      <c r="B695" s="103" t="s">
        <v>270</v>
      </c>
      <c r="C695" s="103" t="s">
        <v>1080</v>
      </c>
      <c r="D695" s="103" t="s">
        <v>647</v>
      </c>
      <c r="E695" s="103" t="s">
        <v>450</v>
      </c>
      <c r="G695" s="103" t="s">
        <v>648</v>
      </c>
      <c r="H695" s="103" t="s">
        <v>1554</v>
      </c>
    </row>
    <row r="696" ht="22.5" customHeight="1">
      <c r="A696" s="102">
        <v>45959.66517545139</v>
      </c>
      <c r="B696" s="103" t="s">
        <v>163</v>
      </c>
      <c r="C696" s="103" t="s">
        <v>425</v>
      </c>
      <c r="D696" s="103" t="s">
        <v>895</v>
      </c>
      <c r="E696" s="103" t="s">
        <v>639</v>
      </c>
      <c r="G696" s="103" t="s">
        <v>161</v>
      </c>
      <c r="H696" s="103" t="s">
        <v>1555</v>
      </c>
    </row>
    <row r="697" ht="22.5" customHeight="1">
      <c r="A697" s="102">
        <v>45959.66517841435</v>
      </c>
      <c r="B697" s="103" t="s">
        <v>389</v>
      </c>
      <c r="C697" s="103" t="s">
        <v>731</v>
      </c>
      <c r="D697" s="103" t="s">
        <v>666</v>
      </c>
      <c r="E697" s="103" t="s">
        <v>639</v>
      </c>
      <c r="G697" s="103" t="s">
        <v>474</v>
      </c>
      <c r="H697" s="103" t="s">
        <v>1556</v>
      </c>
    </row>
    <row r="698" ht="22.5" customHeight="1">
      <c r="A698" s="102">
        <v>45959.665190416665</v>
      </c>
      <c r="B698" s="103" t="s">
        <v>387</v>
      </c>
      <c r="C698" s="103" t="s">
        <v>665</v>
      </c>
      <c r="D698" s="103" t="s">
        <v>666</v>
      </c>
      <c r="E698" s="103" t="s">
        <v>639</v>
      </c>
      <c r="G698" s="103" t="s">
        <v>474</v>
      </c>
      <c r="H698" s="103" t="s">
        <v>1557</v>
      </c>
    </row>
    <row r="699" ht="22.5" customHeight="1">
      <c r="A699" s="102">
        <v>45959.66519475695</v>
      </c>
      <c r="B699" s="103" t="s">
        <v>130</v>
      </c>
      <c r="C699" s="103" t="s">
        <v>557</v>
      </c>
      <c r="D699" s="103" t="s">
        <v>558</v>
      </c>
      <c r="E699" s="103" t="s">
        <v>450</v>
      </c>
      <c r="G699" s="103" t="s">
        <v>124</v>
      </c>
      <c r="H699" s="103" t="s">
        <v>1558</v>
      </c>
    </row>
    <row r="700" ht="22.5" customHeight="1">
      <c r="A700" s="102">
        <v>45959.66541302083</v>
      </c>
      <c r="B700" s="103" t="s">
        <v>289</v>
      </c>
      <c r="C700" s="103" t="s">
        <v>735</v>
      </c>
      <c r="D700" s="103" t="s">
        <v>736</v>
      </c>
      <c r="E700" s="103" t="s">
        <v>639</v>
      </c>
      <c r="G700" s="103" t="s">
        <v>478</v>
      </c>
      <c r="H700" s="103" t="s">
        <v>1559</v>
      </c>
    </row>
    <row r="701" ht="22.5" customHeight="1">
      <c r="A701" s="102">
        <v>45959.66549422454</v>
      </c>
      <c r="B701" s="103" t="s">
        <v>64</v>
      </c>
      <c r="C701" s="103" t="s">
        <v>1089</v>
      </c>
      <c r="D701" s="103" t="s">
        <v>1090</v>
      </c>
      <c r="E701" s="103" t="s">
        <v>450</v>
      </c>
      <c r="G701" s="103" t="s">
        <v>62</v>
      </c>
      <c r="H701" s="103" t="s">
        <v>1560</v>
      </c>
    </row>
    <row r="702" ht="22.5" customHeight="1">
      <c r="A702" s="102">
        <v>45959.66549667824</v>
      </c>
      <c r="B702" s="103" t="s">
        <v>265</v>
      </c>
      <c r="C702" s="103" t="s">
        <v>733</v>
      </c>
      <c r="D702" s="103" t="s">
        <v>734</v>
      </c>
      <c r="E702" s="103" t="s">
        <v>639</v>
      </c>
      <c r="G702" s="103" t="s">
        <v>604</v>
      </c>
      <c r="H702" s="103" t="s">
        <v>1542</v>
      </c>
    </row>
    <row r="703" ht="22.5" customHeight="1">
      <c r="A703" s="102">
        <v>45959.66550503472</v>
      </c>
      <c r="B703" s="103" t="s">
        <v>128</v>
      </c>
      <c r="C703" s="103" t="s">
        <v>561</v>
      </c>
      <c r="D703" s="103" t="s">
        <v>830</v>
      </c>
      <c r="E703" s="103" t="s">
        <v>450</v>
      </c>
      <c r="G703" s="103" t="s">
        <v>124</v>
      </c>
      <c r="H703" s="103" t="s">
        <v>1561</v>
      </c>
    </row>
    <row r="704" ht="22.5" customHeight="1">
      <c r="A704" s="102">
        <v>45959.66554736111</v>
      </c>
      <c r="B704" s="103" t="s">
        <v>376</v>
      </c>
      <c r="C704" s="103" t="s">
        <v>877</v>
      </c>
      <c r="D704" s="103" t="s">
        <v>878</v>
      </c>
      <c r="E704" s="103" t="s">
        <v>639</v>
      </c>
      <c r="G704" s="103" t="s">
        <v>442</v>
      </c>
      <c r="H704" s="103" t="s">
        <v>1562</v>
      </c>
    </row>
    <row r="705" ht="22.5" customHeight="1">
      <c r="A705" s="102">
        <v>45959.66556208333</v>
      </c>
      <c r="B705" s="103" t="s">
        <v>152</v>
      </c>
      <c r="C705" s="103" t="s">
        <v>962</v>
      </c>
      <c r="D705" s="103" t="s">
        <v>769</v>
      </c>
      <c r="E705" s="103" t="s">
        <v>450</v>
      </c>
      <c r="G705" s="103" t="s">
        <v>770</v>
      </c>
      <c r="H705" s="103" t="s">
        <v>1563</v>
      </c>
    </row>
    <row r="706" ht="22.5" customHeight="1">
      <c r="A706" s="102">
        <v>45959.66557844907</v>
      </c>
      <c r="B706" s="103" t="s">
        <v>68</v>
      </c>
      <c r="C706" s="103" t="s">
        <v>825</v>
      </c>
      <c r="D706" s="103" t="s">
        <v>515</v>
      </c>
      <c r="E706" s="103" t="s">
        <v>450</v>
      </c>
      <c r="G706" s="103" t="s">
        <v>62</v>
      </c>
      <c r="H706" s="103" t="s">
        <v>1564</v>
      </c>
    </row>
    <row r="707" ht="22.5" customHeight="1">
      <c r="A707" s="102">
        <v>45959.66558887732</v>
      </c>
      <c r="B707" s="103" t="s">
        <v>61</v>
      </c>
      <c r="C707" s="103" t="s">
        <v>741</v>
      </c>
      <c r="D707" s="103" t="s">
        <v>761</v>
      </c>
      <c r="E707" s="103" t="s">
        <v>450</v>
      </c>
      <c r="G707" s="103" t="s">
        <v>62</v>
      </c>
      <c r="H707" s="103" t="s">
        <v>1565</v>
      </c>
    </row>
    <row r="708" ht="22.5" customHeight="1">
      <c r="A708" s="102">
        <v>45959.6656140625</v>
      </c>
      <c r="B708" s="103" t="s">
        <v>132</v>
      </c>
      <c r="C708" s="103" t="s">
        <v>657</v>
      </c>
      <c r="D708" s="103" t="s">
        <v>660</v>
      </c>
      <c r="E708" s="103" t="s">
        <v>450</v>
      </c>
      <c r="G708" s="103" t="s">
        <v>831</v>
      </c>
      <c r="H708" s="103" t="s">
        <v>1566</v>
      </c>
    </row>
    <row r="709" ht="22.5" customHeight="1">
      <c r="A709" s="102">
        <v>45959.66564017361</v>
      </c>
      <c r="B709" s="103" t="s">
        <v>134</v>
      </c>
      <c r="C709" s="103" t="s">
        <v>643</v>
      </c>
      <c r="D709" s="103" t="s">
        <v>644</v>
      </c>
      <c r="E709" s="103" t="s">
        <v>450</v>
      </c>
      <c r="G709" s="103" t="s">
        <v>124</v>
      </c>
      <c r="H709" s="103" t="s">
        <v>1567</v>
      </c>
    </row>
    <row r="710" ht="22.5" customHeight="1">
      <c r="A710" s="102">
        <v>45959.66565947917</v>
      </c>
      <c r="B710" s="103" t="s">
        <v>123</v>
      </c>
      <c r="C710" s="103" t="s">
        <v>829</v>
      </c>
      <c r="D710" s="103" t="s">
        <v>654</v>
      </c>
      <c r="E710" s="103" t="s">
        <v>639</v>
      </c>
      <c r="G710" s="103" t="s">
        <v>124</v>
      </c>
      <c r="H710" s="103" t="s">
        <v>1568</v>
      </c>
    </row>
    <row r="711" ht="22.5" customHeight="1">
      <c r="A711" s="102">
        <v>45959.66567809028</v>
      </c>
      <c r="B711" s="103" t="s">
        <v>46</v>
      </c>
      <c r="C711" s="103" t="s">
        <v>797</v>
      </c>
      <c r="D711" s="103" t="s">
        <v>798</v>
      </c>
      <c r="E711" s="103" t="s">
        <v>639</v>
      </c>
      <c r="G711" s="103" t="s">
        <v>1569</v>
      </c>
      <c r="H711" s="103" t="s">
        <v>1570</v>
      </c>
    </row>
    <row r="712" ht="22.5" customHeight="1">
      <c r="A712" s="102">
        <v>45959.66579077546</v>
      </c>
      <c r="B712" s="103" t="s">
        <v>145</v>
      </c>
      <c r="C712" s="103" t="s">
        <v>783</v>
      </c>
      <c r="D712" s="103" t="s">
        <v>545</v>
      </c>
      <c r="E712" s="103" t="s">
        <v>450</v>
      </c>
      <c r="G712" s="103" t="s">
        <v>784</v>
      </c>
      <c r="H712" s="103" t="s">
        <v>1571</v>
      </c>
    </row>
    <row r="713" ht="22.5" customHeight="1">
      <c r="A713" s="102">
        <v>45959.666032256944</v>
      </c>
      <c r="B713" s="103" t="s">
        <v>126</v>
      </c>
      <c r="C713" s="103" t="s">
        <v>1112</v>
      </c>
      <c r="D713" s="103" t="s">
        <v>1266</v>
      </c>
      <c r="E713" s="103" t="s">
        <v>450</v>
      </c>
      <c r="G713" s="103" t="s">
        <v>1225</v>
      </c>
      <c r="H713" s="103" t="s">
        <v>1572</v>
      </c>
    </row>
    <row r="714" ht="22.5" customHeight="1">
      <c r="A714" s="102">
        <v>45959.666275682874</v>
      </c>
      <c r="B714" s="103" t="s">
        <v>77</v>
      </c>
      <c r="C714" s="103" t="s">
        <v>701</v>
      </c>
      <c r="D714" s="103" t="s">
        <v>458</v>
      </c>
      <c r="E714" s="103" t="s">
        <v>578</v>
      </c>
      <c r="G714" s="103" t="s">
        <v>1573</v>
      </c>
      <c r="H714" s="103" t="s">
        <v>1560</v>
      </c>
    </row>
    <row r="715" ht="22.5" customHeight="1">
      <c r="A715" s="102">
        <v>45959.6664765625</v>
      </c>
      <c r="B715" s="103" t="s">
        <v>358</v>
      </c>
      <c r="C715" s="103" t="s">
        <v>800</v>
      </c>
      <c r="D715" s="103" t="s">
        <v>801</v>
      </c>
      <c r="E715" s="103" t="s">
        <v>639</v>
      </c>
      <c r="G715" s="103" t="s">
        <v>655</v>
      </c>
      <c r="H715" s="103" t="s">
        <v>1574</v>
      </c>
    </row>
    <row r="716" ht="22.5" customHeight="1">
      <c r="A716" s="102">
        <v>45959.66764108796</v>
      </c>
      <c r="B716" s="103" t="s">
        <v>382</v>
      </c>
      <c r="C716" s="103" t="s">
        <v>1575</v>
      </c>
      <c r="D716" s="103" t="s">
        <v>469</v>
      </c>
      <c r="E716" s="103" t="s">
        <v>450</v>
      </c>
      <c r="G716" s="103" t="s">
        <v>1398</v>
      </c>
      <c r="H716" s="103" t="s">
        <v>1564</v>
      </c>
    </row>
    <row r="717" ht="22.5" customHeight="1">
      <c r="A717" s="102">
        <v>45959.66872300926</v>
      </c>
      <c r="B717" s="103" t="s">
        <v>77</v>
      </c>
      <c r="C717" s="103" t="s">
        <v>701</v>
      </c>
      <c r="D717" s="103" t="s">
        <v>458</v>
      </c>
      <c r="E717" s="103" t="s">
        <v>450</v>
      </c>
      <c r="G717" s="103" t="s">
        <v>71</v>
      </c>
      <c r="H717" s="103" t="s">
        <v>1560</v>
      </c>
    </row>
    <row r="718" ht="22.5" customHeight="1">
      <c r="A718" s="102">
        <v>45959.66877078704</v>
      </c>
      <c r="B718" s="103" t="s">
        <v>182</v>
      </c>
      <c r="C718" s="103" t="s">
        <v>1203</v>
      </c>
      <c r="D718" s="103" t="s">
        <v>1330</v>
      </c>
      <c r="E718" s="103" t="s">
        <v>639</v>
      </c>
      <c r="G718" s="103" t="s">
        <v>172</v>
      </c>
      <c r="H718" s="103" t="s">
        <v>1576</v>
      </c>
    </row>
    <row r="719" ht="22.5" customHeight="1">
      <c r="A719" s="102">
        <v>45959.6689941088</v>
      </c>
      <c r="B719" s="103" t="s">
        <v>221</v>
      </c>
      <c r="C719" s="103" t="s">
        <v>787</v>
      </c>
      <c r="D719" s="103" t="s">
        <v>651</v>
      </c>
      <c r="E719" s="103" t="s">
        <v>450</v>
      </c>
      <c r="G719" s="103" t="s">
        <v>820</v>
      </c>
      <c r="H719" s="103" t="s">
        <v>1577</v>
      </c>
    </row>
    <row r="720" ht="22.5" customHeight="1">
      <c r="A720" s="102">
        <v>45959.670768449076</v>
      </c>
      <c r="B720" s="103" t="s">
        <v>73</v>
      </c>
      <c r="C720" s="103" t="s">
        <v>557</v>
      </c>
      <c r="D720" s="103" t="s">
        <v>709</v>
      </c>
      <c r="E720" s="103" t="s">
        <v>450</v>
      </c>
      <c r="G720" s="103" t="s">
        <v>71</v>
      </c>
      <c r="H720" s="103" t="s">
        <v>1560</v>
      </c>
    </row>
    <row r="721" ht="22.5" customHeight="1">
      <c r="A721" s="102">
        <v>45959.67397631945</v>
      </c>
      <c r="B721" s="103" t="s">
        <v>70</v>
      </c>
      <c r="C721" s="103" t="s">
        <v>1255</v>
      </c>
      <c r="D721" s="103" t="s">
        <v>726</v>
      </c>
      <c r="E721" s="103" t="s">
        <v>639</v>
      </c>
      <c r="G721" s="103" t="s">
        <v>71</v>
      </c>
      <c r="H721" s="103" t="s">
        <v>1578</v>
      </c>
    </row>
    <row r="722" ht="22.5" customHeight="1">
      <c r="A722" s="102">
        <v>45959.675707835646</v>
      </c>
      <c r="B722" s="103" t="s">
        <v>208</v>
      </c>
      <c r="C722" s="103" t="s">
        <v>701</v>
      </c>
      <c r="D722" s="103" t="s">
        <v>1022</v>
      </c>
      <c r="E722" s="103" t="s">
        <v>639</v>
      </c>
      <c r="G722" s="103" t="s">
        <v>198</v>
      </c>
      <c r="H722" s="103" t="s">
        <v>1579</v>
      </c>
    </row>
    <row r="723" ht="22.5" customHeight="1">
      <c r="A723" s="102">
        <v>45959.68817702546</v>
      </c>
      <c r="B723" s="103" t="s">
        <v>75</v>
      </c>
      <c r="C723" s="103" t="s">
        <v>707</v>
      </c>
      <c r="D723" s="103" t="s">
        <v>689</v>
      </c>
      <c r="E723" s="103" t="s">
        <v>427</v>
      </c>
      <c r="G723" s="103" t="s">
        <v>71</v>
      </c>
      <c r="H723" s="103" t="s">
        <v>1560</v>
      </c>
    </row>
    <row r="724" ht="22.5" customHeight="1">
      <c r="A724" s="102">
        <v>45959.7035340625</v>
      </c>
      <c r="B724" s="103" t="s">
        <v>265</v>
      </c>
      <c r="C724" s="103" t="s">
        <v>733</v>
      </c>
      <c r="D724" s="103" t="s">
        <v>734</v>
      </c>
      <c r="E724" s="103" t="s">
        <v>639</v>
      </c>
      <c r="G724" s="103" t="s">
        <v>604</v>
      </c>
      <c r="H724" s="103" t="s">
        <v>1580</v>
      </c>
    </row>
    <row r="725" ht="22.5" customHeight="1">
      <c r="A725" s="102">
        <v>45960.31314106482</v>
      </c>
      <c r="B725" s="103" t="s">
        <v>400</v>
      </c>
      <c r="C725" s="103" t="s">
        <v>445</v>
      </c>
      <c r="D725" s="103" t="s">
        <v>641</v>
      </c>
      <c r="E725" s="103" t="s">
        <v>420</v>
      </c>
      <c r="G725" s="103" t="s">
        <v>585</v>
      </c>
      <c r="H725" s="103" t="s">
        <v>1581</v>
      </c>
    </row>
    <row r="726" ht="22.5" customHeight="1">
      <c r="A726" s="102">
        <v>45966.63680846065</v>
      </c>
      <c r="B726" s="103" t="s">
        <v>40</v>
      </c>
      <c r="C726" s="103" t="s">
        <v>747</v>
      </c>
      <c r="D726" s="103" t="s">
        <v>748</v>
      </c>
      <c r="E726" s="103" t="s">
        <v>639</v>
      </c>
      <c r="G726" s="103" t="s">
        <v>38</v>
      </c>
      <c r="H726" s="103" t="s">
        <v>1582</v>
      </c>
    </row>
    <row r="727" ht="22.5" customHeight="1">
      <c r="A727" s="102">
        <v>45966.64688140046</v>
      </c>
      <c r="B727" s="103" t="s">
        <v>382</v>
      </c>
      <c r="C727" s="103" t="s">
        <v>1583</v>
      </c>
      <c r="D727" s="103" t="s">
        <v>458</v>
      </c>
      <c r="E727" s="103" t="s">
        <v>639</v>
      </c>
      <c r="G727" s="103" t="s">
        <v>608</v>
      </c>
      <c r="H727" s="103" t="s">
        <v>1584</v>
      </c>
    </row>
    <row r="728" ht="22.5" customHeight="1">
      <c r="A728" s="102">
        <v>45966.6482819213</v>
      </c>
      <c r="B728" s="103" t="s">
        <v>9</v>
      </c>
      <c r="C728" s="103" t="s">
        <v>576</v>
      </c>
      <c r="D728" s="103" t="s">
        <v>577</v>
      </c>
      <c r="E728" s="103" t="s">
        <v>450</v>
      </c>
      <c r="G728" s="103" t="s">
        <v>10</v>
      </c>
      <c r="H728" s="103" t="s">
        <v>1585</v>
      </c>
    </row>
    <row r="729" ht="22.5" customHeight="1">
      <c r="A729" s="102">
        <v>45966.650382210646</v>
      </c>
      <c r="B729" s="103" t="s">
        <v>112</v>
      </c>
      <c r="C729" s="103" t="s">
        <v>434</v>
      </c>
      <c r="D729" s="103" t="s">
        <v>435</v>
      </c>
      <c r="E729" s="103" t="s">
        <v>427</v>
      </c>
      <c r="G729" s="103" t="s">
        <v>113</v>
      </c>
      <c r="H729" s="103" t="s">
        <v>1586</v>
      </c>
    </row>
    <row r="730" ht="22.5" customHeight="1">
      <c r="A730" s="102">
        <v>45966.65052142361</v>
      </c>
      <c r="B730" s="103" t="s">
        <v>242</v>
      </c>
      <c r="C730" s="103" t="s">
        <v>679</v>
      </c>
      <c r="D730" s="103" t="s">
        <v>680</v>
      </c>
      <c r="E730" s="103" t="s">
        <v>427</v>
      </c>
      <c r="G730" s="103" t="s">
        <v>240</v>
      </c>
      <c r="H730" s="103" t="s">
        <v>1587</v>
      </c>
    </row>
    <row r="731" ht="22.5" customHeight="1">
      <c r="A731" s="102">
        <v>45966.65053342593</v>
      </c>
      <c r="B731" s="103" t="s">
        <v>167</v>
      </c>
      <c r="C731" s="103" t="s">
        <v>599</v>
      </c>
      <c r="D731" s="103" t="s">
        <v>600</v>
      </c>
      <c r="E731" s="103" t="s">
        <v>427</v>
      </c>
      <c r="G731" s="103" t="s">
        <v>161</v>
      </c>
      <c r="H731" s="103" t="s">
        <v>1588</v>
      </c>
    </row>
    <row r="732" ht="22.5" customHeight="1">
      <c r="A732" s="102">
        <v>45966.650629386575</v>
      </c>
      <c r="B732" s="103" t="s">
        <v>27</v>
      </c>
      <c r="C732" s="103" t="s">
        <v>1098</v>
      </c>
      <c r="D732" s="103" t="s">
        <v>947</v>
      </c>
      <c r="E732" s="103" t="s">
        <v>427</v>
      </c>
      <c r="G732" s="103" t="s">
        <v>912</v>
      </c>
      <c r="H732" s="103" t="s">
        <v>1589</v>
      </c>
    </row>
    <row r="733" ht="22.5" customHeight="1">
      <c r="A733" s="102">
        <v>45966.650687546295</v>
      </c>
      <c r="B733" s="103" t="s">
        <v>35</v>
      </c>
      <c r="C733" s="103" t="s">
        <v>1356</v>
      </c>
      <c r="D733" s="103" t="s">
        <v>1067</v>
      </c>
      <c r="E733" s="103" t="s">
        <v>427</v>
      </c>
      <c r="G733" s="103" t="s">
        <v>23</v>
      </c>
      <c r="H733" s="103" t="s">
        <v>1590</v>
      </c>
    </row>
    <row r="734" ht="22.5" customHeight="1">
      <c r="A734" s="102">
        <v>45966.65094543982</v>
      </c>
      <c r="B734" s="103" t="s">
        <v>46</v>
      </c>
      <c r="C734" s="103" t="s">
        <v>797</v>
      </c>
      <c r="D734" s="103" t="s">
        <v>798</v>
      </c>
      <c r="E734" s="103" t="s">
        <v>427</v>
      </c>
      <c r="G734" s="103" t="s">
        <v>1029</v>
      </c>
      <c r="H734" s="103" t="s">
        <v>1591</v>
      </c>
    </row>
    <row r="735" ht="22.5" customHeight="1">
      <c r="A735" s="102">
        <v>45966.65171738426</v>
      </c>
      <c r="B735" s="103" t="s">
        <v>350</v>
      </c>
      <c r="C735" s="103" t="s">
        <v>807</v>
      </c>
      <c r="D735" s="103" t="s">
        <v>808</v>
      </c>
      <c r="E735" s="103" t="s">
        <v>427</v>
      </c>
      <c r="G735" s="103" t="s">
        <v>495</v>
      </c>
      <c r="H735" s="103" t="s">
        <v>1592</v>
      </c>
    </row>
    <row r="736" ht="22.5" customHeight="1">
      <c r="A736" s="102">
        <v>45966.654756979166</v>
      </c>
      <c r="B736" s="103" t="s">
        <v>158</v>
      </c>
      <c r="C736" s="103" t="s">
        <v>540</v>
      </c>
      <c r="D736" s="103" t="s">
        <v>541</v>
      </c>
      <c r="E736" s="103" t="s">
        <v>494</v>
      </c>
      <c r="G736" s="103" t="s">
        <v>148</v>
      </c>
      <c r="H736" s="103" t="s">
        <v>1593</v>
      </c>
    </row>
    <row r="737" ht="22.5" customHeight="1">
      <c r="A737" s="102">
        <v>45966.65493592592</v>
      </c>
      <c r="B737" s="103" t="s">
        <v>215</v>
      </c>
      <c r="C737" s="103" t="s">
        <v>452</v>
      </c>
      <c r="D737" s="103" t="s">
        <v>453</v>
      </c>
      <c r="E737" s="103" t="s">
        <v>450</v>
      </c>
      <c r="G737" s="103" t="s">
        <v>820</v>
      </c>
      <c r="H737" s="103" t="s">
        <v>1594</v>
      </c>
    </row>
    <row r="738" ht="22.5" customHeight="1">
      <c r="A738" s="102">
        <v>45966.655198541666</v>
      </c>
      <c r="B738" s="103" t="s">
        <v>372</v>
      </c>
      <c r="C738" s="103" t="s">
        <v>486</v>
      </c>
      <c r="D738" s="103" t="s">
        <v>487</v>
      </c>
      <c r="E738" s="103" t="s">
        <v>427</v>
      </c>
      <c r="G738" s="103" t="s">
        <v>370</v>
      </c>
      <c r="H738" s="103" t="s">
        <v>1595</v>
      </c>
    </row>
    <row r="739" ht="22.5" customHeight="1">
      <c r="A739" s="102">
        <v>45966.65556126158</v>
      </c>
      <c r="B739" s="103" t="s">
        <v>61</v>
      </c>
      <c r="C739" s="103" t="s">
        <v>741</v>
      </c>
      <c r="D739" s="103" t="s">
        <v>761</v>
      </c>
      <c r="E739" s="103" t="s">
        <v>450</v>
      </c>
      <c r="G739" s="103" t="s">
        <v>762</v>
      </c>
      <c r="H739" s="103" t="s">
        <v>1596</v>
      </c>
    </row>
    <row r="740" ht="22.5" customHeight="1">
      <c r="A740" s="102">
        <v>45966.6557771875</v>
      </c>
      <c r="B740" s="103" t="s">
        <v>206</v>
      </c>
      <c r="C740" s="103" t="s">
        <v>445</v>
      </c>
      <c r="D740" s="103" t="s">
        <v>1288</v>
      </c>
      <c r="E740" s="103" t="s">
        <v>450</v>
      </c>
      <c r="G740" s="103" t="s">
        <v>1019</v>
      </c>
      <c r="H740" s="103" t="s">
        <v>1597</v>
      </c>
    </row>
    <row r="741" ht="22.5" customHeight="1">
      <c r="A741" s="102">
        <v>45966.65599377315</v>
      </c>
      <c r="B741" s="103" t="s">
        <v>208</v>
      </c>
      <c r="C741" s="103" t="s">
        <v>701</v>
      </c>
      <c r="D741" s="103" t="s">
        <v>1022</v>
      </c>
      <c r="E741" s="103" t="s">
        <v>450</v>
      </c>
      <c r="G741" s="103" t="s">
        <v>620</v>
      </c>
      <c r="H741" s="103" t="s">
        <v>1598</v>
      </c>
    </row>
    <row r="742" ht="22.5" customHeight="1">
      <c r="A742" s="102">
        <v>45966.65611200231</v>
      </c>
      <c r="B742" s="103" t="s">
        <v>306</v>
      </c>
      <c r="C742" s="103" t="s">
        <v>994</v>
      </c>
      <c r="D742" s="103" t="s">
        <v>995</v>
      </c>
      <c r="E742" s="103" t="s">
        <v>450</v>
      </c>
      <c r="G742" s="103" t="s">
        <v>462</v>
      </c>
      <c r="H742" s="103">
        <v>67.0</v>
      </c>
    </row>
    <row r="743" ht="22.5" customHeight="1">
      <c r="A743" s="102">
        <v>45966.656554664354</v>
      </c>
      <c r="B743" s="103" t="s">
        <v>235</v>
      </c>
      <c r="C743" s="103" t="s">
        <v>890</v>
      </c>
      <c r="D743" s="103" t="s">
        <v>891</v>
      </c>
      <c r="E743" s="103" t="s">
        <v>450</v>
      </c>
      <c r="G743" s="103" t="s">
        <v>892</v>
      </c>
      <c r="H743" s="103" t="s">
        <v>1599</v>
      </c>
    </row>
    <row r="744" ht="22.5" customHeight="1">
      <c r="A744" s="102">
        <v>45966.65657101852</v>
      </c>
      <c r="B744" s="103" t="s">
        <v>163</v>
      </c>
      <c r="C744" s="103" t="s">
        <v>425</v>
      </c>
      <c r="D744" s="103" t="s">
        <v>895</v>
      </c>
      <c r="E744" s="103" t="s">
        <v>427</v>
      </c>
      <c r="G744" s="103" t="s">
        <v>161</v>
      </c>
      <c r="H744" s="103" t="s">
        <v>1600</v>
      </c>
    </row>
    <row r="745" ht="22.5" customHeight="1">
      <c r="A745" s="102">
        <v>45966.656575891204</v>
      </c>
      <c r="B745" s="103" t="s">
        <v>237</v>
      </c>
      <c r="C745" s="103" t="s">
        <v>861</v>
      </c>
      <c r="D745" s="103" t="s">
        <v>862</v>
      </c>
      <c r="E745" s="103" t="s">
        <v>450</v>
      </c>
      <c r="G745" s="103" t="s">
        <v>892</v>
      </c>
      <c r="H745" s="103" t="s">
        <v>1601</v>
      </c>
    </row>
    <row r="746" ht="22.5" customHeight="1">
      <c r="A746" s="102">
        <v>45966.65673386574</v>
      </c>
      <c r="B746" s="103" t="s">
        <v>123</v>
      </c>
      <c r="C746" s="103" t="s">
        <v>1602</v>
      </c>
      <c r="D746" s="103" t="s">
        <v>654</v>
      </c>
      <c r="E746" s="103" t="s">
        <v>450</v>
      </c>
      <c r="G746" s="103" t="s">
        <v>124</v>
      </c>
      <c r="H746" s="103" t="s">
        <v>1603</v>
      </c>
    </row>
    <row r="747" ht="22.5" customHeight="1">
      <c r="A747" s="102">
        <v>45966.65687261574</v>
      </c>
      <c r="B747" s="103" t="s">
        <v>59</v>
      </c>
      <c r="C747" s="103" t="s">
        <v>919</v>
      </c>
      <c r="D747" s="103" t="s">
        <v>548</v>
      </c>
      <c r="E747" s="103" t="s">
        <v>450</v>
      </c>
      <c r="G747" s="103" t="s">
        <v>49</v>
      </c>
      <c r="H747" s="103">
        <v>67.0</v>
      </c>
    </row>
    <row r="748" ht="22.5" customHeight="1">
      <c r="A748" s="102">
        <v>45966.657013344906</v>
      </c>
      <c r="B748" s="103" t="s">
        <v>126</v>
      </c>
      <c r="C748" s="103" t="s">
        <v>1224</v>
      </c>
      <c r="D748" s="103" t="s">
        <v>1266</v>
      </c>
      <c r="E748" s="103" t="s">
        <v>450</v>
      </c>
      <c r="G748" s="103" t="s">
        <v>1225</v>
      </c>
      <c r="H748" s="103" t="s">
        <v>1603</v>
      </c>
    </row>
    <row r="749" ht="22.5" customHeight="1">
      <c r="A749" s="102">
        <v>45966.65711075232</v>
      </c>
      <c r="B749" s="103" t="s">
        <v>261</v>
      </c>
      <c r="C749" s="103" t="s">
        <v>1210</v>
      </c>
      <c r="D749" s="103" t="s">
        <v>1211</v>
      </c>
      <c r="E749" s="103" t="s">
        <v>639</v>
      </c>
      <c r="G749" s="103" t="s">
        <v>809</v>
      </c>
      <c r="H749" s="103" t="s">
        <v>1604</v>
      </c>
    </row>
    <row r="750" ht="22.5" customHeight="1">
      <c r="A750" s="102">
        <v>45966.65742087963</v>
      </c>
      <c r="B750" s="103" t="s">
        <v>147</v>
      </c>
      <c r="C750" s="103" t="s">
        <v>780</v>
      </c>
      <c r="D750" s="103" t="s">
        <v>781</v>
      </c>
      <c r="E750" s="103" t="s">
        <v>450</v>
      </c>
      <c r="G750" s="103" t="s">
        <v>782</v>
      </c>
      <c r="H750" s="103" t="s">
        <v>1605</v>
      </c>
    </row>
    <row r="751" ht="22.5" customHeight="1">
      <c r="A751" s="102">
        <v>45966.65764472222</v>
      </c>
      <c r="B751" s="103" t="s">
        <v>213</v>
      </c>
      <c r="C751" s="103" t="s">
        <v>728</v>
      </c>
      <c r="D751" s="103" t="s">
        <v>729</v>
      </c>
      <c r="E751" s="103" t="s">
        <v>450</v>
      </c>
      <c r="G751" s="103" t="s">
        <v>211</v>
      </c>
      <c r="H751" s="103" t="s">
        <v>1606</v>
      </c>
    </row>
    <row r="752" ht="22.5" customHeight="1">
      <c r="A752" s="102">
        <v>45966.65774429398</v>
      </c>
      <c r="B752" s="103" t="s">
        <v>210</v>
      </c>
      <c r="C752" s="103" t="s">
        <v>711</v>
      </c>
      <c r="D752" s="103" t="s">
        <v>712</v>
      </c>
      <c r="E752" s="103" t="s">
        <v>450</v>
      </c>
      <c r="G752" s="103" t="s">
        <v>211</v>
      </c>
      <c r="H752" s="103" t="s">
        <v>1607</v>
      </c>
    </row>
    <row r="753" ht="22.5" customHeight="1">
      <c r="A753" s="102">
        <v>45966.65787732639</v>
      </c>
      <c r="B753" s="103" t="s">
        <v>365</v>
      </c>
      <c r="C753" s="103" t="s">
        <v>653</v>
      </c>
      <c r="D753" s="103" t="s">
        <v>654</v>
      </c>
      <c r="E753" s="103" t="s">
        <v>450</v>
      </c>
      <c r="G753" s="103" t="s">
        <v>955</v>
      </c>
      <c r="H753" s="103" t="s">
        <v>1608</v>
      </c>
    </row>
    <row r="754" ht="22.5" customHeight="1">
      <c r="A754" s="102">
        <v>45966.65791108797</v>
      </c>
      <c r="B754" s="103" t="s">
        <v>354</v>
      </c>
      <c r="C754" s="103" t="s">
        <v>518</v>
      </c>
      <c r="D754" s="103" t="s">
        <v>519</v>
      </c>
      <c r="E754" s="103" t="s">
        <v>420</v>
      </c>
      <c r="G754" s="103" t="s">
        <v>932</v>
      </c>
      <c r="H754" s="103" t="s">
        <v>1609</v>
      </c>
    </row>
    <row r="755" ht="22.5" customHeight="1">
      <c r="A755" s="102">
        <v>45966.65836070602</v>
      </c>
      <c r="B755" s="103" t="s">
        <v>64</v>
      </c>
      <c r="C755" s="103" t="s">
        <v>1089</v>
      </c>
      <c r="D755" s="103" t="s">
        <v>1090</v>
      </c>
      <c r="E755" s="103" t="s">
        <v>639</v>
      </c>
      <c r="G755" s="103" t="s">
        <v>62</v>
      </c>
      <c r="H755" s="103" t="s">
        <v>1610</v>
      </c>
    </row>
    <row r="756" ht="22.5" customHeight="1">
      <c r="A756" s="102">
        <v>45966.65839563658</v>
      </c>
      <c r="B756" s="103" t="s">
        <v>128</v>
      </c>
      <c r="C756" s="103" t="s">
        <v>561</v>
      </c>
      <c r="D756" s="103" t="s">
        <v>830</v>
      </c>
      <c r="E756" s="103" t="s">
        <v>450</v>
      </c>
      <c r="G756" s="103" t="s">
        <v>124</v>
      </c>
      <c r="H756" s="103" t="s">
        <v>1611</v>
      </c>
    </row>
    <row r="757" ht="22.5" customHeight="1">
      <c r="A757" s="102">
        <v>45966.658660706016</v>
      </c>
      <c r="B757" s="103" t="s">
        <v>59</v>
      </c>
      <c r="C757" s="103" t="s">
        <v>919</v>
      </c>
      <c r="D757" s="103" t="s">
        <v>548</v>
      </c>
      <c r="E757" s="103" t="s">
        <v>450</v>
      </c>
      <c r="G757" s="103" t="s">
        <v>49</v>
      </c>
      <c r="H757" s="103" t="s">
        <v>1611</v>
      </c>
    </row>
    <row r="758" ht="22.5" customHeight="1">
      <c r="A758" s="102">
        <v>45966.65885070602</v>
      </c>
      <c r="B758" s="103" t="s">
        <v>70</v>
      </c>
      <c r="C758" s="103" t="s">
        <v>725</v>
      </c>
      <c r="D758" s="103" t="s">
        <v>726</v>
      </c>
      <c r="E758" s="103" t="s">
        <v>450</v>
      </c>
      <c r="G758" s="103" t="s">
        <v>71</v>
      </c>
      <c r="H758" s="103" t="s">
        <v>1612</v>
      </c>
    </row>
    <row r="759" ht="22.5" customHeight="1">
      <c r="A759" s="102">
        <v>45966.65900184028</v>
      </c>
      <c r="B759" s="103" t="s">
        <v>204</v>
      </c>
      <c r="C759" s="103" t="s">
        <v>745</v>
      </c>
      <c r="D759" s="103" t="s">
        <v>689</v>
      </c>
      <c r="E759" s="103" t="s">
        <v>450</v>
      </c>
      <c r="G759" s="103" t="s">
        <v>198</v>
      </c>
      <c r="H759" s="103" t="s">
        <v>1613</v>
      </c>
    </row>
    <row r="760" ht="22.5" customHeight="1">
      <c r="A760" s="102">
        <v>45966.65938354167</v>
      </c>
      <c r="B760" s="103" t="s">
        <v>77</v>
      </c>
      <c r="C760" s="103" t="s">
        <v>701</v>
      </c>
      <c r="D760" s="103" t="s">
        <v>458</v>
      </c>
      <c r="E760" s="103" t="s">
        <v>494</v>
      </c>
      <c r="G760" s="103" t="s">
        <v>1573</v>
      </c>
      <c r="H760" s="103" t="s">
        <v>1614</v>
      </c>
    </row>
    <row r="761" ht="22.5" customHeight="1">
      <c r="A761" s="102">
        <v>45966.65979525463</v>
      </c>
      <c r="B761" s="103" t="s">
        <v>171</v>
      </c>
      <c r="C761" s="103" t="s">
        <v>609</v>
      </c>
      <c r="D761" s="103" t="s">
        <v>610</v>
      </c>
      <c r="E761" s="103" t="s">
        <v>450</v>
      </c>
      <c r="G761" s="103" t="s">
        <v>1615</v>
      </c>
      <c r="H761" s="103" t="s">
        <v>1616</v>
      </c>
    </row>
    <row r="762" ht="22.5" customHeight="1">
      <c r="A762" s="102">
        <v>45966.65996538194</v>
      </c>
      <c r="B762" s="103" t="s">
        <v>176</v>
      </c>
      <c r="C762" s="103" t="s">
        <v>1431</v>
      </c>
      <c r="D762" s="103" t="s">
        <v>658</v>
      </c>
      <c r="E762" s="103" t="s">
        <v>450</v>
      </c>
      <c r="G762" s="103" t="s">
        <v>1217</v>
      </c>
      <c r="H762" s="103" t="s">
        <v>1617</v>
      </c>
    </row>
    <row r="763" ht="22.5" customHeight="1">
      <c r="A763" s="102">
        <v>45966.66006603009</v>
      </c>
      <c r="B763" s="103" t="s">
        <v>387</v>
      </c>
      <c r="C763" s="103" t="s">
        <v>665</v>
      </c>
      <c r="D763" s="103" t="s">
        <v>666</v>
      </c>
      <c r="E763" s="103" t="s">
        <v>450</v>
      </c>
      <c r="G763" s="103" t="s">
        <v>474</v>
      </c>
      <c r="H763" s="103" t="s">
        <v>1618</v>
      </c>
    </row>
    <row r="764" ht="22.5" customHeight="1">
      <c r="A764" s="102">
        <v>45966.66009609954</v>
      </c>
      <c r="B764" s="103" t="s">
        <v>389</v>
      </c>
      <c r="C764" s="103" t="s">
        <v>731</v>
      </c>
      <c r="D764" s="103" t="s">
        <v>666</v>
      </c>
      <c r="E764" s="103" t="s">
        <v>450</v>
      </c>
      <c r="G764" s="103" t="s">
        <v>474</v>
      </c>
      <c r="H764" s="103" t="s">
        <v>1618</v>
      </c>
    </row>
    <row r="765" ht="22.5" customHeight="1">
      <c r="A765" s="102">
        <v>45966.66015804398</v>
      </c>
      <c r="B765" s="103" t="s">
        <v>396</v>
      </c>
      <c r="C765" s="103" t="s">
        <v>593</v>
      </c>
      <c r="D765" s="103" t="s">
        <v>594</v>
      </c>
      <c r="E765" s="103" t="s">
        <v>450</v>
      </c>
      <c r="G765" s="103" t="s">
        <v>568</v>
      </c>
      <c r="H765" s="103" t="s">
        <v>1618</v>
      </c>
    </row>
    <row r="766" ht="22.5" customHeight="1">
      <c r="A766" s="102">
        <v>45966.66018525463</v>
      </c>
      <c r="B766" s="103" t="s">
        <v>217</v>
      </c>
      <c r="C766" s="103" t="s">
        <v>816</v>
      </c>
      <c r="D766" s="103" t="s">
        <v>647</v>
      </c>
      <c r="E766" s="103" t="s">
        <v>450</v>
      </c>
      <c r="G766" s="103" t="s">
        <v>211</v>
      </c>
      <c r="H766" s="103" t="s">
        <v>1619</v>
      </c>
    </row>
    <row r="767" ht="22.5" customHeight="1">
      <c r="A767" s="102">
        <v>45966.66020834491</v>
      </c>
      <c r="B767" s="103" t="s">
        <v>274</v>
      </c>
      <c r="C767" s="103" t="s">
        <v>602</v>
      </c>
      <c r="D767" s="103" t="s">
        <v>603</v>
      </c>
      <c r="E767" s="103" t="s">
        <v>450</v>
      </c>
      <c r="G767" s="103" t="s">
        <v>604</v>
      </c>
      <c r="H767" s="103" t="s">
        <v>1618</v>
      </c>
    </row>
    <row r="768" ht="22.5" customHeight="1">
      <c r="A768" s="102">
        <v>45966.66022631944</v>
      </c>
      <c r="B768" s="103" t="s">
        <v>110</v>
      </c>
      <c r="C768" s="103" t="s">
        <v>514</v>
      </c>
      <c r="D768" s="103" t="s">
        <v>515</v>
      </c>
      <c r="E768" s="103" t="s">
        <v>450</v>
      </c>
      <c r="G768" s="103" t="s">
        <v>944</v>
      </c>
      <c r="H768" s="103" t="s">
        <v>1618</v>
      </c>
    </row>
    <row r="769" ht="22.5" customHeight="1">
      <c r="A769" s="102">
        <v>45966.660285694445</v>
      </c>
      <c r="B769" s="103" t="s">
        <v>221</v>
      </c>
      <c r="C769" s="103" t="s">
        <v>787</v>
      </c>
      <c r="D769" s="103" t="s">
        <v>651</v>
      </c>
      <c r="E769" s="103" t="s">
        <v>450</v>
      </c>
      <c r="G769" s="103" t="s">
        <v>1164</v>
      </c>
      <c r="H769" s="103" t="s">
        <v>1619</v>
      </c>
    </row>
    <row r="770" ht="22.5" customHeight="1">
      <c r="A770" s="102">
        <v>45966.66144945602</v>
      </c>
      <c r="B770" s="103" t="s">
        <v>57</v>
      </c>
      <c r="C770" s="103" t="s">
        <v>553</v>
      </c>
      <c r="D770" s="103" t="s">
        <v>554</v>
      </c>
      <c r="E770" s="103" t="s">
        <v>450</v>
      </c>
      <c r="G770" s="103" t="s">
        <v>1620</v>
      </c>
      <c r="H770" s="103" t="s">
        <v>1621</v>
      </c>
    </row>
    <row r="771" ht="22.5" customHeight="1">
      <c r="A771" s="102">
        <v>45966.66209100695</v>
      </c>
      <c r="B771" s="103" t="s">
        <v>59</v>
      </c>
      <c r="C771" s="103" t="s">
        <v>1622</v>
      </c>
      <c r="D771" s="103" t="s">
        <v>548</v>
      </c>
      <c r="E771" s="103" t="s">
        <v>450</v>
      </c>
      <c r="G771" s="103" t="s">
        <v>49</v>
      </c>
      <c r="H771" s="103" t="s">
        <v>1611</v>
      </c>
    </row>
    <row r="772" ht="22.5" customHeight="1">
      <c r="A772" s="102">
        <v>45966.66253377315</v>
      </c>
      <c r="B772" s="103" t="s">
        <v>123</v>
      </c>
      <c r="C772" s="103" t="s">
        <v>1602</v>
      </c>
      <c r="D772" s="103" t="s">
        <v>654</v>
      </c>
      <c r="E772" s="103" t="s">
        <v>450</v>
      </c>
      <c r="G772" s="103" t="s">
        <v>124</v>
      </c>
      <c r="H772" s="103" t="s">
        <v>1623</v>
      </c>
    </row>
    <row r="773" ht="22.5" customHeight="1">
      <c r="A773" s="102">
        <v>45966.66282592593</v>
      </c>
      <c r="B773" s="103" t="s">
        <v>308</v>
      </c>
      <c r="C773" s="103" t="s">
        <v>685</v>
      </c>
      <c r="D773" s="103" t="s">
        <v>686</v>
      </c>
      <c r="E773" s="103" t="s">
        <v>494</v>
      </c>
      <c r="G773" s="103" t="s">
        <v>687</v>
      </c>
      <c r="H773" s="103" t="s">
        <v>1624</v>
      </c>
    </row>
    <row r="774" ht="22.5" customHeight="1">
      <c r="A774" s="102">
        <v>45966.66284959491</v>
      </c>
      <c r="B774" s="103" t="s">
        <v>126</v>
      </c>
      <c r="C774" s="103" t="s">
        <v>1224</v>
      </c>
      <c r="D774" s="103" t="s">
        <v>1266</v>
      </c>
      <c r="E774" s="103" t="s">
        <v>450</v>
      </c>
      <c r="G774" s="103" t="s">
        <v>1225</v>
      </c>
      <c r="H774" s="103" t="s">
        <v>1625</v>
      </c>
    </row>
    <row r="775" ht="22.5" customHeight="1">
      <c r="A775" s="102">
        <v>45966.662925254626</v>
      </c>
      <c r="B775" s="103" t="s">
        <v>128</v>
      </c>
      <c r="C775" s="103" t="s">
        <v>561</v>
      </c>
      <c r="D775" s="103" t="s">
        <v>830</v>
      </c>
      <c r="E775" s="103" t="s">
        <v>450</v>
      </c>
      <c r="G775" s="103" t="s">
        <v>124</v>
      </c>
      <c r="H775" s="103" t="s">
        <v>1623</v>
      </c>
    </row>
    <row r="776" ht="22.5" customHeight="1">
      <c r="A776" s="102">
        <v>45966.6629994213</v>
      </c>
      <c r="B776" s="103" t="s">
        <v>296</v>
      </c>
      <c r="C776" s="103" t="s">
        <v>853</v>
      </c>
      <c r="D776" s="103" t="s">
        <v>854</v>
      </c>
      <c r="E776" s="103" t="s">
        <v>639</v>
      </c>
      <c r="G776" s="103" t="s">
        <v>462</v>
      </c>
      <c r="H776" s="103" t="s">
        <v>1626</v>
      </c>
    </row>
    <row r="777" ht="22.5" customHeight="1">
      <c r="A777" s="102">
        <v>45966.66326270833</v>
      </c>
      <c r="B777" s="103" t="s">
        <v>278</v>
      </c>
      <c r="C777" s="103" t="s">
        <v>622</v>
      </c>
      <c r="D777" s="103" t="s">
        <v>623</v>
      </c>
      <c r="E777" s="103" t="s">
        <v>450</v>
      </c>
      <c r="G777" s="103" t="s">
        <v>604</v>
      </c>
      <c r="H777" s="103" t="s">
        <v>1627</v>
      </c>
    </row>
    <row r="778" ht="22.5" customHeight="1">
      <c r="A778" s="102">
        <v>45966.66398614583</v>
      </c>
      <c r="B778" s="103" t="s">
        <v>95</v>
      </c>
      <c r="C778" s="103" t="s">
        <v>814</v>
      </c>
      <c r="D778" s="103" t="s">
        <v>1013</v>
      </c>
      <c r="E778" s="103" t="s">
        <v>450</v>
      </c>
      <c r="G778" s="103" t="s">
        <v>540</v>
      </c>
      <c r="H778" s="103" t="s">
        <v>1628</v>
      </c>
    </row>
    <row r="779" ht="22.5" customHeight="1">
      <c r="A779" s="102">
        <v>45966.664098657406</v>
      </c>
      <c r="B779" s="103" t="s">
        <v>154</v>
      </c>
      <c r="C779" s="103" t="s">
        <v>546</v>
      </c>
      <c r="D779" s="103" t="s">
        <v>435</v>
      </c>
      <c r="E779" s="103" t="s">
        <v>450</v>
      </c>
      <c r="G779" s="103" t="s">
        <v>148</v>
      </c>
      <c r="H779" s="103" t="s">
        <v>1629</v>
      </c>
    </row>
    <row r="780" ht="22.5" customHeight="1">
      <c r="A780" s="102">
        <v>45966.6643787963</v>
      </c>
      <c r="B780" s="103" t="s">
        <v>75</v>
      </c>
      <c r="C780" s="103" t="s">
        <v>707</v>
      </c>
      <c r="D780" s="103" t="s">
        <v>689</v>
      </c>
      <c r="E780" s="103" t="s">
        <v>427</v>
      </c>
      <c r="G780" s="103" t="s">
        <v>71</v>
      </c>
      <c r="H780" s="103" t="s">
        <v>1630</v>
      </c>
    </row>
    <row r="781" ht="22.5" customHeight="1">
      <c r="A781" s="102">
        <v>45966.66458019676</v>
      </c>
      <c r="B781" s="103" t="s">
        <v>252</v>
      </c>
      <c r="C781" s="103" t="s">
        <v>901</v>
      </c>
      <c r="D781" s="103" t="s">
        <v>614</v>
      </c>
      <c r="E781" s="103" t="s">
        <v>494</v>
      </c>
      <c r="G781" s="103" t="s">
        <v>615</v>
      </c>
      <c r="H781" s="103" t="s">
        <v>1631</v>
      </c>
    </row>
    <row r="782" ht="22.5" customHeight="1">
      <c r="A782" s="102">
        <v>45966.664625694444</v>
      </c>
      <c r="B782" s="103" t="s">
        <v>145</v>
      </c>
      <c r="C782" s="103" t="s">
        <v>783</v>
      </c>
      <c r="D782" s="103" t="s">
        <v>545</v>
      </c>
      <c r="E782" s="103" t="s">
        <v>494</v>
      </c>
      <c r="G782" s="103" t="s">
        <v>784</v>
      </c>
      <c r="H782" s="103" t="s">
        <v>1284</v>
      </c>
    </row>
    <row r="783" ht="22.5" customHeight="1">
      <c r="A783" s="102">
        <v>45966.66484625</v>
      </c>
      <c r="B783" s="103" t="s">
        <v>272</v>
      </c>
      <c r="C783" s="103" t="s">
        <v>671</v>
      </c>
      <c r="D783" s="103" t="s">
        <v>509</v>
      </c>
      <c r="E783" s="103" t="s">
        <v>450</v>
      </c>
      <c r="G783" s="103" t="s">
        <v>604</v>
      </c>
      <c r="H783" s="103" t="s">
        <v>1618</v>
      </c>
    </row>
    <row r="784" ht="22.5" customHeight="1">
      <c r="A784" s="102">
        <v>45966.66501667824</v>
      </c>
      <c r="B784" s="103" t="s">
        <v>68</v>
      </c>
      <c r="C784" s="103" t="s">
        <v>825</v>
      </c>
      <c r="D784" s="103" t="s">
        <v>515</v>
      </c>
      <c r="E784" s="103" t="s">
        <v>494</v>
      </c>
      <c r="G784" s="103" t="s">
        <v>62</v>
      </c>
      <c r="H784" s="103" t="s">
        <v>1284</v>
      </c>
    </row>
    <row r="785" ht="22.5" customHeight="1">
      <c r="A785" s="102">
        <v>45966.66523103009</v>
      </c>
      <c r="B785" s="103" t="s">
        <v>141</v>
      </c>
      <c r="C785" s="103" t="s">
        <v>803</v>
      </c>
      <c r="D785" s="103" t="s">
        <v>804</v>
      </c>
      <c r="E785" s="103" t="s">
        <v>639</v>
      </c>
      <c r="G785" s="103" t="s">
        <v>1632</v>
      </c>
      <c r="H785" s="103" t="s">
        <v>1633</v>
      </c>
    </row>
    <row r="786" ht="22.5" customHeight="1">
      <c r="A786" s="102">
        <v>45966.6654790625</v>
      </c>
      <c r="B786" s="103" t="s">
        <v>324</v>
      </c>
      <c r="C786" s="103" t="s">
        <v>590</v>
      </c>
      <c r="D786" s="103" t="s">
        <v>591</v>
      </c>
      <c r="E786" s="103" t="s">
        <v>639</v>
      </c>
      <c r="G786" s="103" t="s">
        <v>699</v>
      </c>
      <c r="H786" s="103" t="s">
        <v>1634</v>
      </c>
    </row>
    <row r="787" ht="22.5" customHeight="1">
      <c r="A787" s="102">
        <v>45966.665659872684</v>
      </c>
      <c r="B787" s="103" t="s">
        <v>268</v>
      </c>
      <c r="C787" s="103" t="s">
        <v>722</v>
      </c>
      <c r="D787" s="103" t="s">
        <v>723</v>
      </c>
      <c r="E787" s="103" t="s">
        <v>450</v>
      </c>
      <c r="G787" s="103" t="s">
        <v>604</v>
      </c>
      <c r="H787" s="103" t="s">
        <v>1635</v>
      </c>
    </row>
    <row r="788" ht="22.5" customHeight="1">
      <c r="A788" s="102">
        <v>45966.66585013889</v>
      </c>
      <c r="B788" s="103" t="s">
        <v>265</v>
      </c>
      <c r="C788" s="103" t="s">
        <v>733</v>
      </c>
      <c r="D788" s="103" t="s">
        <v>734</v>
      </c>
      <c r="E788" s="103" t="s">
        <v>450</v>
      </c>
      <c r="G788" s="103" t="s">
        <v>604</v>
      </c>
      <c r="H788" s="103" t="s">
        <v>1635</v>
      </c>
    </row>
    <row r="789" ht="22.5" customHeight="1">
      <c r="A789" s="102">
        <v>45966.66629541667</v>
      </c>
      <c r="B789" s="103" t="s">
        <v>134</v>
      </c>
      <c r="C789" s="103" t="s">
        <v>643</v>
      </c>
      <c r="D789" s="103" t="s">
        <v>644</v>
      </c>
      <c r="E789" s="103" t="s">
        <v>450</v>
      </c>
      <c r="G789" s="103" t="s">
        <v>124</v>
      </c>
      <c r="H789" s="103" t="s">
        <v>1636</v>
      </c>
    </row>
    <row r="790" ht="22.5" customHeight="1">
      <c r="A790" s="102">
        <v>45966.66636984954</v>
      </c>
      <c r="B790" s="103" t="s">
        <v>348</v>
      </c>
      <c r="C790" s="103" t="s">
        <v>1505</v>
      </c>
      <c r="D790" s="103" t="s">
        <v>487</v>
      </c>
      <c r="E790" s="103" t="s">
        <v>494</v>
      </c>
      <c r="G790" s="103" t="s">
        <v>495</v>
      </c>
      <c r="H790" s="103" t="s">
        <v>1637</v>
      </c>
    </row>
    <row r="791" ht="22.5" customHeight="1">
      <c r="A791" s="102">
        <v>45966.66641777778</v>
      </c>
      <c r="B791" s="103" t="s">
        <v>132</v>
      </c>
      <c r="C791" s="103" t="s">
        <v>657</v>
      </c>
      <c r="D791" s="103" t="s">
        <v>660</v>
      </c>
      <c r="E791" s="103" t="s">
        <v>639</v>
      </c>
      <c r="G791" s="103" t="s">
        <v>124</v>
      </c>
      <c r="H791" s="103" t="s">
        <v>1638</v>
      </c>
    </row>
    <row r="792" ht="22.5" customHeight="1">
      <c r="A792" s="102">
        <v>45966.666476412036</v>
      </c>
      <c r="B792" s="103" t="s">
        <v>130</v>
      </c>
      <c r="C792" s="103" t="s">
        <v>557</v>
      </c>
      <c r="D792" s="103" t="s">
        <v>558</v>
      </c>
      <c r="E792" s="103" t="s">
        <v>450</v>
      </c>
      <c r="G792" s="103" t="s">
        <v>124</v>
      </c>
      <c r="H792" s="103" t="s">
        <v>1639</v>
      </c>
    </row>
    <row r="793" ht="22.5" customHeight="1">
      <c r="A793" s="102">
        <v>45966.66675877315</v>
      </c>
      <c r="B793" s="103" t="s">
        <v>270</v>
      </c>
      <c r="C793" s="103" t="s">
        <v>1080</v>
      </c>
      <c r="D793" s="103" t="s">
        <v>1640</v>
      </c>
      <c r="E793" s="103" t="s">
        <v>450</v>
      </c>
      <c r="G793" s="103" t="s">
        <v>648</v>
      </c>
      <c r="H793" s="103" t="s">
        <v>1641</v>
      </c>
    </row>
    <row r="794" ht="22.5" customHeight="1">
      <c r="A794" s="102">
        <v>45966.66726155093</v>
      </c>
      <c r="B794" s="103" t="s">
        <v>104</v>
      </c>
      <c r="C794" s="103" t="s">
        <v>522</v>
      </c>
      <c r="D794" s="103" t="s">
        <v>523</v>
      </c>
      <c r="E794" s="103" t="s">
        <v>639</v>
      </c>
      <c r="G794" s="103" t="s">
        <v>98</v>
      </c>
      <c r="H794" s="103" t="s">
        <v>1642</v>
      </c>
    </row>
    <row r="795" ht="22.5" customHeight="1">
      <c r="A795" s="102">
        <v>45966.66728278935</v>
      </c>
      <c r="B795" s="103" t="s">
        <v>330</v>
      </c>
      <c r="C795" s="103" t="s">
        <v>662</v>
      </c>
      <c r="D795" s="103" t="s">
        <v>663</v>
      </c>
      <c r="E795" s="103" t="s">
        <v>639</v>
      </c>
      <c r="G795" s="103" t="s">
        <v>699</v>
      </c>
      <c r="H795" s="103" t="s">
        <v>1643</v>
      </c>
    </row>
    <row r="796" ht="22.5" customHeight="1">
      <c r="A796" s="102">
        <v>45966.66788145833</v>
      </c>
      <c r="B796" s="103" t="s">
        <v>156</v>
      </c>
      <c r="C796" s="103" t="s">
        <v>528</v>
      </c>
      <c r="D796" s="103" t="s">
        <v>529</v>
      </c>
      <c r="E796" s="103" t="s">
        <v>494</v>
      </c>
      <c r="G796" s="103" t="s">
        <v>148</v>
      </c>
      <c r="H796" s="103" t="s">
        <v>1644</v>
      </c>
    </row>
    <row r="797" ht="22.5" customHeight="1">
      <c r="A797" s="102">
        <v>45966.66804552083</v>
      </c>
      <c r="B797" s="103" t="s">
        <v>200</v>
      </c>
      <c r="C797" s="103" t="s">
        <v>1645</v>
      </c>
      <c r="D797" s="103" t="s">
        <v>588</v>
      </c>
      <c r="E797" s="103" t="s">
        <v>639</v>
      </c>
      <c r="G797" s="103" t="s">
        <v>198</v>
      </c>
      <c r="H797" s="103" t="s">
        <v>1646</v>
      </c>
    </row>
    <row r="798" ht="22.5" customHeight="1">
      <c r="A798" s="102">
        <v>45966.66816320602</v>
      </c>
      <c r="B798" s="103" t="s">
        <v>197</v>
      </c>
      <c r="C798" s="103" t="s">
        <v>618</v>
      </c>
      <c r="D798" s="103" t="s">
        <v>619</v>
      </c>
      <c r="E798" s="103" t="s">
        <v>450</v>
      </c>
      <c r="G798" s="103" t="s">
        <v>1647</v>
      </c>
      <c r="H798" s="103" t="s">
        <v>1648</v>
      </c>
    </row>
    <row r="799" ht="22.5" customHeight="1">
      <c r="A799" s="102">
        <v>45966.66829591435</v>
      </c>
      <c r="B799" s="103" t="s">
        <v>398</v>
      </c>
      <c r="C799" s="103" t="s">
        <v>751</v>
      </c>
      <c r="D799" s="103" t="s">
        <v>752</v>
      </c>
      <c r="E799" s="103" t="s">
        <v>639</v>
      </c>
      <c r="G799" s="103" t="s">
        <v>568</v>
      </c>
      <c r="H799" s="103" t="s">
        <v>1649</v>
      </c>
    </row>
    <row r="800" ht="22.5" customHeight="1">
      <c r="A800" s="102">
        <v>45966.66842271991</v>
      </c>
      <c r="B800" s="103" t="s">
        <v>158</v>
      </c>
      <c r="C800" s="103" t="s">
        <v>540</v>
      </c>
      <c r="D800" s="103" t="s">
        <v>541</v>
      </c>
      <c r="E800" s="103" t="s">
        <v>639</v>
      </c>
      <c r="G800" s="103" t="s">
        <v>148</v>
      </c>
      <c r="H800" s="103" t="s">
        <v>1650</v>
      </c>
    </row>
    <row r="801" ht="22.5" customHeight="1">
      <c r="A801" s="102">
        <v>45966.66850775463</v>
      </c>
      <c r="B801" s="103" t="s">
        <v>324</v>
      </c>
      <c r="C801" s="103" t="s">
        <v>1320</v>
      </c>
      <c r="D801" s="103" t="s">
        <v>591</v>
      </c>
      <c r="E801" s="103" t="s">
        <v>639</v>
      </c>
      <c r="G801" s="103" t="s">
        <v>699</v>
      </c>
      <c r="H801" s="103" t="s">
        <v>1651</v>
      </c>
    </row>
    <row r="802" ht="22.5" customHeight="1">
      <c r="A802" s="102">
        <v>45966.66870587963</v>
      </c>
      <c r="B802" s="103" t="s">
        <v>319</v>
      </c>
      <c r="C802" s="103" t="s">
        <v>1452</v>
      </c>
      <c r="D802" s="103" t="s">
        <v>692</v>
      </c>
      <c r="E802" s="103" t="s">
        <v>639</v>
      </c>
      <c r="G802" s="103" t="s">
        <v>1652</v>
      </c>
      <c r="H802" s="103" t="s">
        <v>1653</v>
      </c>
    </row>
    <row r="803" ht="22.5" customHeight="1">
      <c r="A803" s="102">
        <v>45966.668773576384</v>
      </c>
      <c r="B803" s="103" t="s">
        <v>352</v>
      </c>
      <c r="C803" s="103" t="s">
        <v>555</v>
      </c>
      <c r="D803" s="103" t="s">
        <v>556</v>
      </c>
      <c r="E803" s="103" t="s">
        <v>450</v>
      </c>
      <c r="G803" s="103" t="s">
        <v>570</v>
      </c>
      <c r="H803" s="103" t="s">
        <v>1654</v>
      </c>
    </row>
    <row r="804" ht="22.5" customHeight="1">
      <c r="A804" s="102">
        <v>45966.668780949076</v>
      </c>
      <c r="B804" s="103" t="s">
        <v>119</v>
      </c>
      <c r="C804" s="103" t="s">
        <v>814</v>
      </c>
      <c r="D804" s="103" t="s">
        <v>493</v>
      </c>
      <c r="E804" s="103" t="s">
        <v>639</v>
      </c>
      <c r="G804" s="103" t="s">
        <v>113</v>
      </c>
      <c r="H804" s="103" t="s">
        <v>1655</v>
      </c>
    </row>
    <row r="805" ht="22.5" customHeight="1">
      <c r="A805" s="102">
        <v>45966.66886733796</v>
      </c>
      <c r="B805" s="103" t="s">
        <v>287</v>
      </c>
      <c r="C805" s="103" t="s">
        <v>989</v>
      </c>
      <c r="D805" s="103" t="s">
        <v>466</v>
      </c>
      <c r="E805" s="103" t="s">
        <v>494</v>
      </c>
      <c r="G805" s="103" t="s">
        <v>478</v>
      </c>
      <c r="H805" s="103" t="s">
        <v>1656</v>
      </c>
    </row>
    <row r="806" ht="22.5" customHeight="1">
      <c r="A806" s="102">
        <v>45966.668921226854</v>
      </c>
      <c r="B806" s="103" t="s">
        <v>361</v>
      </c>
      <c r="C806" s="103" t="s">
        <v>625</v>
      </c>
      <c r="D806" s="103" t="s">
        <v>626</v>
      </c>
      <c r="E806" s="103" t="s">
        <v>639</v>
      </c>
      <c r="G806" s="103" t="s">
        <v>359</v>
      </c>
      <c r="H806" s="103" t="s">
        <v>1657</v>
      </c>
    </row>
    <row r="807" ht="22.5" customHeight="1">
      <c r="A807" s="102">
        <v>45966.66892815972</v>
      </c>
      <c r="B807" s="103" t="s">
        <v>14</v>
      </c>
      <c r="C807" s="103" t="s">
        <v>1004</v>
      </c>
      <c r="D807" s="103" t="s">
        <v>719</v>
      </c>
      <c r="E807" s="103" t="s">
        <v>494</v>
      </c>
      <c r="G807" s="103" t="s">
        <v>1006</v>
      </c>
      <c r="H807" s="103" t="s">
        <v>1658</v>
      </c>
    </row>
    <row r="808" ht="22.5" customHeight="1">
      <c r="A808" s="102">
        <v>45966.668930671294</v>
      </c>
      <c r="B808" s="103" t="s">
        <v>326</v>
      </c>
      <c r="C808" s="103" t="s">
        <v>1148</v>
      </c>
      <c r="D808" s="103" t="s">
        <v>698</v>
      </c>
      <c r="E808" s="103" t="s">
        <v>639</v>
      </c>
      <c r="G808" s="103" t="s">
        <v>805</v>
      </c>
      <c r="H808" s="103" t="s">
        <v>1659</v>
      </c>
    </row>
    <row r="809" ht="22.5" customHeight="1">
      <c r="A809" s="102">
        <v>45966.668936331014</v>
      </c>
      <c r="B809" s="103" t="s">
        <v>285</v>
      </c>
      <c r="C809" s="103" t="s">
        <v>790</v>
      </c>
      <c r="D809" s="103" t="s">
        <v>791</v>
      </c>
      <c r="E809" s="103" t="s">
        <v>639</v>
      </c>
      <c r="G809" s="103" t="s">
        <v>478</v>
      </c>
      <c r="H809" s="103" t="s">
        <v>1660</v>
      </c>
    </row>
    <row r="810" ht="22.5" customHeight="1">
      <c r="A810" s="102">
        <v>45966.66899585648</v>
      </c>
      <c r="B810" s="103" t="s">
        <v>191</v>
      </c>
      <c r="C810" s="103" t="s">
        <v>512</v>
      </c>
      <c r="D810" s="103" t="s">
        <v>513</v>
      </c>
      <c r="E810" s="103" t="s">
        <v>450</v>
      </c>
      <c r="G810" s="103" t="s">
        <v>503</v>
      </c>
      <c r="H810" s="103" t="s">
        <v>1661</v>
      </c>
    </row>
    <row r="811" ht="22.5" customHeight="1">
      <c r="A811" s="102">
        <v>45966.66938472222</v>
      </c>
      <c r="B811" s="103" t="s">
        <v>33</v>
      </c>
      <c r="C811" s="103" t="s">
        <v>743</v>
      </c>
      <c r="D811" s="103" t="s">
        <v>458</v>
      </c>
      <c r="E811" s="103" t="s">
        <v>639</v>
      </c>
      <c r="G811" s="103" t="s">
        <v>23</v>
      </c>
      <c r="H811" s="103" t="s">
        <v>1662</v>
      </c>
    </row>
    <row r="812" ht="22.5" customHeight="1">
      <c r="A812" s="102">
        <v>45966.669388090275</v>
      </c>
      <c r="B812" s="103" t="s">
        <v>18</v>
      </c>
      <c r="C812" s="103" t="s">
        <v>811</v>
      </c>
      <c r="D812" s="103" t="s">
        <v>812</v>
      </c>
      <c r="E812" s="103" t="s">
        <v>450</v>
      </c>
      <c r="G812" s="103" t="s">
        <v>10</v>
      </c>
      <c r="H812" s="103" t="s">
        <v>1663</v>
      </c>
    </row>
    <row r="813" ht="22.5" customHeight="1">
      <c r="A813" s="102">
        <v>45966.66955947917</v>
      </c>
      <c r="B813" s="103" t="s">
        <v>115</v>
      </c>
      <c r="C813" s="103" t="s">
        <v>1664</v>
      </c>
      <c r="D813" s="103" t="s">
        <v>490</v>
      </c>
      <c r="E813" s="103" t="s">
        <v>639</v>
      </c>
      <c r="G813" s="103" t="s">
        <v>1364</v>
      </c>
      <c r="H813" s="103" t="s">
        <v>1665</v>
      </c>
    </row>
    <row r="814" ht="22.5" customHeight="1">
      <c r="A814" s="102">
        <v>45966.67030952546</v>
      </c>
      <c r="B814" s="103" t="s">
        <v>391</v>
      </c>
      <c r="C814" s="103" t="s">
        <v>472</v>
      </c>
      <c r="D814" s="103" t="s">
        <v>473</v>
      </c>
      <c r="E814" s="103" t="s">
        <v>420</v>
      </c>
      <c r="G814" s="103" t="s">
        <v>474</v>
      </c>
      <c r="H814" s="103" t="s">
        <v>1666</v>
      </c>
    </row>
    <row r="815" ht="22.5" customHeight="1">
      <c r="A815" s="102">
        <v>45966.670315462965</v>
      </c>
      <c r="B815" s="103" t="s">
        <v>400</v>
      </c>
      <c r="C815" s="103" t="s">
        <v>445</v>
      </c>
      <c r="D815" s="103" t="s">
        <v>641</v>
      </c>
      <c r="E815" s="103" t="s">
        <v>450</v>
      </c>
      <c r="G815" s="103" t="s">
        <v>585</v>
      </c>
      <c r="H815" s="103" t="s">
        <v>1667</v>
      </c>
    </row>
    <row r="816" ht="22.5" customHeight="1">
      <c r="A816" s="102">
        <v>45966.672228888885</v>
      </c>
      <c r="B816" s="103" t="s">
        <v>195</v>
      </c>
      <c r="C816" s="103" t="s">
        <v>1668</v>
      </c>
      <c r="D816" s="103" t="s">
        <v>502</v>
      </c>
      <c r="E816" s="103" t="s">
        <v>420</v>
      </c>
      <c r="G816" s="103" t="s">
        <v>503</v>
      </c>
      <c r="H816" s="103" t="s">
        <v>172</v>
      </c>
    </row>
    <row r="817" ht="22.5" customHeight="1">
      <c r="A817" s="102">
        <v>45966.67252503472</v>
      </c>
      <c r="B817" s="103" t="s">
        <v>322</v>
      </c>
      <c r="C817" s="103" t="s">
        <v>631</v>
      </c>
      <c r="D817" s="103" t="s">
        <v>632</v>
      </c>
      <c r="E817" s="103" t="s">
        <v>420</v>
      </c>
      <c r="G817" s="103" t="s">
        <v>699</v>
      </c>
      <c r="H817" s="103" t="s">
        <v>905</v>
      </c>
    </row>
    <row r="818" ht="22.5" customHeight="1">
      <c r="A818" s="102">
        <v>45966.672573275464</v>
      </c>
      <c r="B818" s="103" t="s">
        <v>187</v>
      </c>
      <c r="C818" s="103" t="s">
        <v>751</v>
      </c>
      <c r="D818" s="103" t="s">
        <v>647</v>
      </c>
      <c r="E818" s="103" t="s">
        <v>578</v>
      </c>
      <c r="G818" s="103" t="s">
        <v>503</v>
      </c>
      <c r="H818" s="103" t="s">
        <v>1669</v>
      </c>
    </row>
    <row r="819" ht="22.5" customHeight="1">
      <c r="A819" s="102">
        <v>45966.67258304398</v>
      </c>
      <c r="B819" s="103" t="s">
        <v>263</v>
      </c>
      <c r="C819" s="103" t="s">
        <v>505</v>
      </c>
      <c r="D819" s="103" t="s">
        <v>506</v>
      </c>
      <c r="E819" s="103" t="s">
        <v>639</v>
      </c>
      <c r="G819" s="103" t="s">
        <v>809</v>
      </c>
      <c r="H819" s="103" t="s">
        <v>113</v>
      </c>
    </row>
    <row r="820" ht="22.5" customHeight="1">
      <c r="A820" s="102">
        <v>45966.67281636574</v>
      </c>
      <c r="B820" s="103" t="s">
        <v>121</v>
      </c>
      <c r="C820" s="103" t="s">
        <v>940</v>
      </c>
      <c r="D820" s="103" t="s">
        <v>458</v>
      </c>
      <c r="E820" s="103" t="s">
        <v>639</v>
      </c>
      <c r="G820" s="103" t="s">
        <v>113</v>
      </c>
      <c r="H820" s="103" t="s">
        <v>1670</v>
      </c>
    </row>
    <row r="821" ht="22.5" customHeight="1">
      <c r="A821" s="102">
        <v>45966.672944328704</v>
      </c>
      <c r="B821" s="103" t="s">
        <v>136</v>
      </c>
      <c r="C821" s="103" t="s">
        <v>1671</v>
      </c>
      <c r="D821" s="103" t="s">
        <v>588</v>
      </c>
      <c r="E821" s="103" t="s">
        <v>494</v>
      </c>
      <c r="G821" s="103" t="s">
        <v>1672</v>
      </c>
      <c r="H821" s="103" t="s">
        <v>1673</v>
      </c>
    </row>
    <row r="822" ht="22.5" customHeight="1">
      <c r="A822" s="102">
        <v>45966.673662326386</v>
      </c>
      <c r="B822" s="103" t="s">
        <v>31</v>
      </c>
      <c r="C822" s="103" t="s">
        <v>569</v>
      </c>
      <c r="D822" s="103" t="s">
        <v>694</v>
      </c>
      <c r="E822" s="103" t="s">
        <v>494</v>
      </c>
      <c r="G822" s="103" t="s">
        <v>912</v>
      </c>
      <c r="H822" s="103" t="s">
        <v>1674</v>
      </c>
    </row>
    <row r="823" ht="22.5" customHeight="1">
      <c r="A823" s="102">
        <v>45966.673750752314</v>
      </c>
      <c r="B823" s="103" t="s">
        <v>226</v>
      </c>
      <c r="C823" s="103" t="s">
        <v>668</v>
      </c>
      <c r="D823" s="103" t="s">
        <v>581</v>
      </c>
      <c r="E823" s="103" t="s">
        <v>578</v>
      </c>
      <c r="G823" s="103" t="s">
        <v>669</v>
      </c>
      <c r="H823" s="103" t="s">
        <v>1675</v>
      </c>
    </row>
    <row r="824" ht="22.5" customHeight="1">
      <c r="A824" s="102">
        <v>45966.67379359953</v>
      </c>
      <c r="B824" s="103" t="s">
        <v>382</v>
      </c>
      <c r="C824" s="103" t="s">
        <v>468</v>
      </c>
      <c r="D824" s="103" t="s">
        <v>469</v>
      </c>
      <c r="E824" s="103" t="s">
        <v>420</v>
      </c>
      <c r="G824" s="103" t="s">
        <v>1676</v>
      </c>
      <c r="H824" s="103" t="s">
        <v>1676</v>
      </c>
    </row>
    <row r="825" ht="22.5" customHeight="1">
      <c r="A825" s="102">
        <v>45966.67393936343</v>
      </c>
      <c r="B825" s="103" t="s">
        <v>174</v>
      </c>
      <c r="C825" s="103" t="s">
        <v>903</v>
      </c>
      <c r="D825" s="103" t="s">
        <v>638</v>
      </c>
      <c r="E825" s="103" t="s">
        <v>450</v>
      </c>
      <c r="G825" s="103" t="s">
        <v>172</v>
      </c>
      <c r="H825" s="103" t="s">
        <v>1677</v>
      </c>
    </row>
    <row r="826" ht="22.5" customHeight="1">
      <c r="A826" s="102">
        <v>45966.67407775463</v>
      </c>
      <c r="B826" s="103" t="s">
        <v>223</v>
      </c>
      <c r="C826" s="103" t="s">
        <v>741</v>
      </c>
      <c r="D826" s="103" t="s">
        <v>1678</v>
      </c>
      <c r="E826" s="103" t="s">
        <v>578</v>
      </c>
      <c r="G826" s="103" t="s">
        <v>669</v>
      </c>
      <c r="H826" s="103" t="s">
        <v>1679</v>
      </c>
    </row>
    <row r="827" ht="22.5" customHeight="1">
      <c r="A827" s="102">
        <v>45966.67411550926</v>
      </c>
      <c r="B827" s="103" t="s">
        <v>291</v>
      </c>
      <c r="C827" s="103" t="s">
        <v>682</v>
      </c>
      <c r="D827" s="103" t="s">
        <v>683</v>
      </c>
      <c r="E827" s="103" t="s">
        <v>639</v>
      </c>
      <c r="G827" s="103" t="s">
        <v>478</v>
      </c>
      <c r="H827" s="103" t="s">
        <v>1680</v>
      </c>
    </row>
    <row r="828" ht="22.5" customHeight="1">
      <c r="A828" s="102">
        <v>45966.674138981485</v>
      </c>
      <c r="B828" s="103" t="s">
        <v>385</v>
      </c>
      <c r="C828" s="103" t="s">
        <v>465</v>
      </c>
      <c r="D828" s="103" t="s">
        <v>466</v>
      </c>
      <c r="E828" s="103" t="s">
        <v>450</v>
      </c>
      <c r="G828" s="103" t="s">
        <v>474</v>
      </c>
      <c r="H828" s="103" t="s">
        <v>1681</v>
      </c>
    </row>
    <row r="829" ht="22.5" customHeight="1">
      <c r="A829" s="102">
        <v>45966.67433743055</v>
      </c>
      <c r="B829" s="103" t="s">
        <v>289</v>
      </c>
      <c r="C829" s="103" t="s">
        <v>735</v>
      </c>
      <c r="D829" s="103" t="s">
        <v>736</v>
      </c>
      <c r="E829" s="103" t="s">
        <v>639</v>
      </c>
      <c r="G829" s="103" t="s">
        <v>428</v>
      </c>
      <c r="H829" s="103" t="s">
        <v>1682</v>
      </c>
    </row>
    <row r="830" ht="22.5" customHeight="1">
      <c r="A830" s="102">
        <v>45966.67476005787</v>
      </c>
      <c r="B830" s="103" t="s">
        <v>259</v>
      </c>
      <c r="C830" s="103" t="s">
        <v>606</v>
      </c>
      <c r="D830" s="103" t="s">
        <v>607</v>
      </c>
      <c r="E830" s="103" t="s">
        <v>494</v>
      </c>
      <c r="G830" s="103" t="s">
        <v>809</v>
      </c>
      <c r="H830" s="103" t="s">
        <v>1624</v>
      </c>
    </row>
    <row r="831" ht="22.5" customHeight="1">
      <c r="A831" s="102">
        <v>45966.675118900464</v>
      </c>
      <c r="B831" s="103" t="s">
        <v>193</v>
      </c>
      <c r="C831" s="103" t="s">
        <v>549</v>
      </c>
      <c r="D831" s="103" t="s">
        <v>1683</v>
      </c>
      <c r="E831" s="103" t="s">
        <v>420</v>
      </c>
      <c r="G831" s="103" t="s">
        <v>551</v>
      </c>
      <c r="H831" s="103" t="s">
        <v>1684</v>
      </c>
    </row>
    <row r="832" ht="22.5" customHeight="1">
      <c r="A832" s="102">
        <v>45966.67624784722</v>
      </c>
      <c r="B832" s="103" t="s">
        <v>16</v>
      </c>
      <c r="C832" s="103" t="s">
        <v>771</v>
      </c>
      <c r="D832" s="103" t="s">
        <v>772</v>
      </c>
      <c r="E832" s="103" t="s">
        <v>639</v>
      </c>
      <c r="G832" s="103" t="s">
        <v>1685</v>
      </c>
      <c r="H832" s="103" t="s">
        <v>912</v>
      </c>
    </row>
    <row r="833" ht="22.5" customHeight="1">
      <c r="A833" s="102">
        <v>45966.67690247685</v>
      </c>
      <c r="B833" s="103" t="s">
        <v>257</v>
      </c>
      <c r="C833" s="103" t="s">
        <v>856</v>
      </c>
      <c r="D833" s="103" t="s">
        <v>558</v>
      </c>
      <c r="E833" s="103" t="s">
        <v>578</v>
      </c>
      <c r="G833" s="103" t="s">
        <v>809</v>
      </c>
      <c r="H833" s="103" t="s">
        <v>1686</v>
      </c>
    </row>
    <row r="834" ht="22.5" customHeight="1">
      <c r="A834" s="102">
        <v>45966.67767326389</v>
      </c>
      <c r="B834" s="103" t="s">
        <v>20</v>
      </c>
      <c r="C834" s="103" t="s">
        <v>754</v>
      </c>
      <c r="D834" s="103" t="s">
        <v>755</v>
      </c>
      <c r="E834" s="103" t="s">
        <v>450</v>
      </c>
      <c r="G834" s="103" t="s">
        <v>957</v>
      </c>
      <c r="H834" s="103" t="s">
        <v>1687</v>
      </c>
    </row>
    <row r="835" ht="22.5" customHeight="1">
      <c r="A835" s="102">
        <v>45966.679499652775</v>
      </c>
      <c r="B835" s="103" t="s">
        <v>293</v>
      </c>
      <c r="C835" s="103" t="s">
        <v>448</v>
      </c>
      <c r="D835" s="103" t="s">
        <v>449</v>
      </c>
      <c r="E835" s="103" t="s">
        <v>420</v>
      </c>
      <c r="G835" s="103" t="s">
        <v>462</v>
      </c>
      <c r="H835" s="103" t="s">
        <v>604</v>
      </c>
    </row>
    <row r="836" ht="22.5" customHeight="1">
      <c r="A836" s="102">
        <v>45966.681040428244</v>
      </c>
      <c r="B836" s="103" t="s">
        <v>302</v>
      </c>
      <c r="C836" s="103" t="s">
        <v>1031</v>
      </c>
      <c r="D836" s="103" t="s">
        <v>838</v>
      </c>
      <c r="E836" s="103" t="s">
        <v>494</v>
      </c>
      <c r="G836" s="103" t="s">
        <v>1688</v>
      </c>
      <c r="H836" s="103" t="s">
        <v>604</v>
      </c>
    </row>
    <row r="837" ht="22.5" customHeight="1">
      <c r="A837" s="102">
        <v>45966.68769155093</v>
      </c>
      <c r="B837" s="103" t="s">
        <v>298</v>
      </c>
      <c r="C837" s="103" t="s">
        <v>1689</v>
      </c>
      <c r="D837" s="103" t="s">
        <v>461</v>
      </c>
      <c r="E837" s="103" t="s">
        <v>420</v>
      </c>
      <c r="G837" s="103" t="s">
        <v>462</v>
      </c>
      <c r="H837" s="103" t="s">
        <v>1690</v>
      </c>
    </row>
    <row r="838" ht="22.5" customHeight="1">
      <c r="A838" s="102">
        <v>45966.687830104165</v>
      </c>
      <c r="B838" s="103" t="s">
        <v>374</v>
      </c>
      <c r="C838" s="103" t="s">
        <v>1027</v>
      </c>
      <c r="D838" s="103" t="s">
        <v>458</v>
      </c>
      <c r="E838" s="103" t="s">
        <v>450</v>
      </c>
      <c r="G838" s="103" t="s">
        <v>442</v>
      </c>
      <c r="H838" s="103" t="s">
        <v>1618</v>
      </c>
    </row>
    <row r="839" ht="22.5" customHeight="1">
      <c r="A839" s="102">
        <v>45966.689340833334</v>
      </c>
      <c r="B839" s="103" t="s">
        <v>228</v>
      </c>
      <c r="C839" s="103" t="s">
        <v>1691</v>
      </c>
      <c r="D839" s="103" t="s">
        <v>1446</v>
      </c>
      <c r="E839" s="103" t="s">
        <v>494</v>
      </c>
      <c r="G839" s="103" t="s">
        <v>1163</v>
      </c>
      <c r="H839" s="103" t="s">
        <v>1692</v>
      </c>
    </row>
    <row r="840" ht="22.5" customHeight="1">
      <c r="A840" s="102">
        <v>45966.69002888889</v>
      </c>
      <c r="B840" s="103" t="s">
        <v>106</v>
      </c>
      <c r="C840" s="103" t="s">
        <v>497</v>
      </c>
      <c r="D840" s="103" t="s">
        <v>498</v>
      </c>
      <c r="E840" s="103" t="s">
        <v>639</v>
      </c>
      <c r="G840" s="103" t="s">
        <v>527</v>
      </c>
      <c r="H840" s="103" t="s">
        <v>1693</v>
      </c>
    </row>
    <row r="841" ht="22.5" customHeight="1">
      <c r="A841" s="102">
        <v>45966.691274212964</v>
      </c>
      <c r="B841" s="103" t="s">
        <v>230</v>
      </c>
      <c r="C841" s="103" t="s">
        <v>911</v>
      </c>
      <c r="D841" s="103" t="s">
        <v>573</v>
      </c>
      <c r="E841" s="103" t="s">
        <v>639</v>
      </c>
      <c r="G841" s="103" t="s">
        <v>224</v>
      </c>
      <c r="H841" s="103" t="s">
        <v>1694</v>
      </c>
    </row>
    <row r="842" ht="22.5" customHeight="1">
      <c r="A842" s="102">
        <v>45966.70628268518</v>
      </c>
      <c r="B842" s="103" t="s">
        <v>92</v>
      </c>
      <c r="C842" s="103" t="s">
        <v>1045</v>
      </c>
      <c r="D842" s="103" t="s">
        <v>1046</v>
      </c>
      <c r="E842" s="103" t="s">
        <v>578</v>
      </c>
      <c r="G842" s="103" t="s">
        <v>84</v>
      </c>
      <c r="H842" s="103" t="s">
        <v>1695</v>
      </c>
    </row>
    <row r="843" ht="22.5" customHeight="1">
      <c r="A843" s="102">
        <v>45966.70976976852</v>
      </c>
      <c r="B843" s="103" t="s">
        <v>40</v>
      </c>
      <c r="C843" s="103" t="s">
        <v>1470</v>
      </c>
      <c r="D843" s="103" t="s">
        <v>1696</v>
      </c>
      <c r="E843" s="103" t="s">
        <v>639</v>
      </c>
      <c r="G843" s="103" t="s">
        <v>38</v>
      </c>
      <c r="H843" s="103" t="s">
        <v>1697</v>
      </c>
    </row>
    <row r="844" ht="22.5" customHeight="1">
      <c r="A844" s="102">
        <v>45966.71812824074</v>
      </c>
      <c r="B844" s="103" t="s">
        <v>180</v>
      </c>
      <c r="C844" s="103" t="s">
        <v>1219</v>
      </c>
      <c r="D844" s="103" t="s">
        <v>1220</v>
      </c>
      <c r="E844" s="103" t="s">
        <v>639</v>
      </c>
      <c r="G844" s="103" t="s">
        <v>172</v>
      </c>
      <c r="H844" s="103" t="s">
        <v>1698</v>
      </c>
      <c r="U844" s="133"/>
    </row>
    <row r="845" ht="22.5" customHeight="1">
      <c r="A845" s="102">
        <v>45973.62917673611</v>
      </c>
      <c r="B845" s="103" t="s">
        <v>293</v>
      </c>
      <c r="C845" s="103" t="s">
        <v>448</v>
      </c>
      <c r="D845" s="103" t="s">
        <v>449</v>
      </c>
      <c r="E845" s="103" t="s">
        <v>427</v>
      </c>
      <c r="G845" s="103" t="s">
        <v>294</v>
      </c>
      <c r="H845" s="103" t="s">
        <v>1699</v>
      </c>
    </row>
    <row r="846" ht="22.5" customHeight="1">
      <c r="A846" s="102">
        <v>45973.629233761574</v>
      </c>
      <c r="B846" s="103" t="s">
        <v>302</v>
      </c>
      <c r="C846" s="103" t="s">
        <v>837</v>
      </c>
      <c r="D846" s="103" t="s">
        <v>838</v>
      </c>
      <c r="E846" s="103" t="s">
        <v>427</v>
      </c>
      <c r="G846" s="103" t="s">
        <v>294</v>
      </c>
      <c r="H846" s="103" t="s">
        <v>1700</v>
      </c>
    </row>
    <row r="847" ht="22.5" customHeight="1">
      <c r="A847" s="102">
        <v>45973.63169152778</v>
      </c>
      <c r="B847" s="103" t="s">
        <v>298</v>
      </c>
      <c r="C847" s="103" t="s">
        <v>460</v>
      </c>
      <c r="D847" s="103" t="s">
        <v>461</v>
      </c>
      <c r="E847" s="103" t="s">
        <v>427</v>
      </c>
      <c r="G847" s="103" t="s">
        <v>462</v>
      </c>
      <c r="H847" s="103" t="s">
        <v>1701</v>
      </c>
    </row>
    <row r="848" ht="22.5" customHeight="1">
      <c r="A848" s="102">
        <v>45973.6406830787</v>
      </c>
      <c r="B848" s="103" t="s">
        <v>102</v>
      </c>
      <c r="C848" s="103" t="s">
        <v>508</v>
      </c>
      <c r="D848" s="103" t="s">
        <v>509</v>
      </c>
      <c r="E848" s="103" t="s">
        <v>450</v>
      </c>
      <c r="G848" s="103" t="s">
        <v>527</v>
      </c>
      <c r="H848" s="103" t="s">
        <v>1702</v>
      </c>
    </row>
    <row r="849" ht="22.5" customHeight="1">
      <c r="A849" s="102">
        <v>45973.64215383102</v>
      </c>
      <c r="B849" s="103" t="s">
        <v>380</v>
      </c>
      <c r="C849" s="103" t="s">
        <v>439</v>
      </c>
      <c r="D849" s="103" t="s">
        <v>440</v>
      </c>
      <c r="E849" s="103" t="s">
        <v>427</v>
      </c>
      <c r="G849" s="103" t="s">
        <v>1207</v>
      </c>
      <c r="H849" s="103" t="s">
        <v>1703</v>
      </c>
    </row>
    <row r="850" ht="22.5" customHeight="1">
      <c r="A850" s="102">
        <v>45973.656014872686</v>
      </c>
      <c r="B850" s="103" t="s">
        <v>285</v>
      </c>
      <c r="C850" s="103" t="s">
        <v>790</v>
      </c>
      <c r="D850" s="103" t="s">
        <v>1704</v>
      </c>
      <c r="E850" s="103" t="s">
        <v>427</v>
      </c>
      <c r="G850" s="103" t="s">
        <v>478</v>
      </c>
      <c r="H850" s="103" t="s">
        <v>1705</v>
      </c>
    </row>
    <row r="851" ht="22.5" customHeight="1">
      <c r="A851" s="102">
        <v>45973.65621726852</v>
      </c>
      <c r="B851" s="103" t="s">
        <v>112</v>
      </c>
      <c r="C851" s="103" t="s">
        <v>434</v>
      </c>
      <c r="D851" s="103" t="s">
        <v>435</v>
      </c>
      <c r="E851" s="103" t="s">
        <v>427</v>
      </c>
      <c r="G851" s="103" t="s">
        <v>113</v>
      </c>
      <c r="H851" s="103" t="s">
        <v>1706</v>
      </c>
    </row>
    <row r="852" ht="22.5" customHeight="1">
      <c r="A852" s="102">
        <v>45973.65622493056</v>
      </c>
      <c r="B852" s="103" t="s">
        <v>215</v>
      </c>
      <c r="C852" s="103" t="s">
        <v>452</v>
      </c>
      <c r="D852" s="103" t="s">
        <v>453</v>
      </c>
      <c r="E852" s="103" t="s">
        <v>450</v>
      </c>
      <c r="G852" s="103" t="s">
        <v>820</v>
      </c>
      <c r="H852" s="103" t="s">
        <v>1707</v>
      </c>
    </row>
    <row r="853" ht="22.5" customHeight="1">
      <c r="A853" s="102">
        <v>45973.65641094907</v>
      </c>
      <c r="B853" s="103" t="s">
        <v>174</v>
      </c>
      <c r="C853" s="103" t="s">
        <v>903</v>
      </c>
      <c r="D853" s="103" t="s">
        <v>638</v>
      </c>
      <c r="E853" s="103" t="s">
        <v>427</v>
      </c>
      <c r="G853" s="103" t="s">
        <v>172</v>
      </c>
      <c r="H853" s="103" t="s">
        <v>1708</v>
      </c>
    </row>
    <row r="854" ht="22.5" customHeight="1">
      <c r="A854" s="102">
        <v>45973.65642528935</v>
      </c>
      <c r="B854" s="103" t="s">
        <v>372</v>
      </c>
      <c r="C854" s="103" t="s">
        <v>486</v>
      </c>
      <c r="D854" s="103" t="s">
        <v>487</v>
      </c>
      <c r="E854" s="103" t="s">
        <v>427</v>
      </c>
      <c r="G854" s="103" t="s">
        <v>442</v>
      </c>
      <c r="H854" s="103" t="s">
        <v>1709</v>
      </c>
    </row>
    <row r="855" ht="22.5" customHeight="1">
      <c r="A855" s="102">
        <v>45973.65659587963</v>
      </c>
      <c r="B855" s="103" t="s">
        <v>287</v>
      </c>
      <c r="C855" s="103" t="s">
        <v>989</v>
      </c>
      <c r="D855" s="103" t="s">
        <v>466</v>
      </c>
      <c r="E855" s="103" t="s">
        <v>427</v>
      </c>
      <c r="G855" s="103" t="s">
        <v>478</v>
      </c>
      <c r="H855" s="103" t="s">
        <v>1710</v>
      </c>
    </row>
    <row r="856" ht="22.5" customHeight="1">
      <c r="A856" s="102">
        <v>45973.65681356481</v>
      </c>
      <c r="B856" s="103" t="s">
        <v>402</v>
      </c>
      <c r="C856" s="103" t="s">
        <v>834</v>
      </c>
      <c r="D856" s="103" t="s">
        <v>835</v>
      </c>
      <c r="E856" s="103" t="s">
        <v>427</v>
      </c>
      <c r="G856" s="103" t="s">
        <v>585</v>
      </c>
      <c r="H856" s="103" t="s">
        <v>1711</v>
      </c>
    </row>
    <row r="857" ht="22.5" customHeight="1">
      <c r="A857" s="102">
        <v>45973.65699826389</v>
      </c>
      <c r="B857" s="103" t="s">
        <v>378</v>
      </c>
      <c r="C857" s="103" t="s">
        <v>1205</v>
      </c>
      <c r="D857" s="103" t="s">
        <v>883</v>
      </c>
      <c r="E857" s="103" t="s">
        <v>427</v>
      </c>
      <c r="G857" s="103" t="s">
        <v>1207</v>
      </c>
      <c r="H857" s="103" t="s">
        <v>1712</v>
      </c>
    </row>
    <row r="858" ht="22.5" customHeight="1">
      <c r="A858" s="102">
        <v>45973.65700204861</v>
      </c>
      <c r="B858" s="103" t="s">
        <v>380</v>
      </c>
      <c r="C858" s="103" t="s">
        <v>439</v>
      </c>
      <c r="D858" s="103" t="s">
        <v>440</v>
      </c>
      <c r="E858" s="103" t="s">
        <v>427</v>
      </c>
      <c r="G858" s="103" t="s">
        <v>442</v>
      </c>
      <c r="H858" s="103" t="s">
        <v>1713</v>
      </c>
    </row>
    <row r="859" ht="22.5" customHeight="1">
      <c r="A859" s="102">
        <v>45973.657147094906</v>
      </c>
      <c r="B859" s="103" t="s">
        <v>165</v>
      </c>
      <c r="C859" s="103" t="s">
        <v>847</v>
      </c>
      <c r="D859" s="103" t="s">
        <v>848</v>
      </c>
      <c r="E859" s="103" t="s">
        <v>427</v>
      </c>
      <c r="G859" s="103" t="s">
        <v>445</v>
      </c>
      <c r="H859" s="103" t="s">
        <v>1714</v>
      </c>
    </row>
    <row r="860" ht="22.5" customHeight="1">
      <c r="A860" s="102">
        <v>45973.65750001157</v>
      </c>
      <c r="B860" s="103" t="s">
        <v>210</v>
      </c>
      <c r="C860" s="103" t="s">
        <v>711</v>
      </c>
      <c r="D860" s="103" t="s">
        <v>712</v>
      </c>
      <c r="E860" s="103" t="s">
        <v>639</v>
      </c>
      <c r="G860" s="103" t="s">
        <v>1715</v>
      </c>
      <c r="H860" s="103" t="s">
        <v>1716</v>
      </c>
    </row>
    <row r="861" ht="22.5" customHeight="1">
      <c r="A861" s="102">
        <v>45973.657518900465</v>
      </c>
      <c r="B861" s="103" t="s">
        <v>337</v>
      </c>
      <c r="C861" s="103" t="s">
        <v>561</v>
      </c>
      <c r="D861" s="103" t="s">
        <v>466</v>
      </c>
      <c r="E861" s="103" t="s">
        <v>427</v>
      </c>
      <c r="G861" s="103" t="s">
        <v>1717</v>
      </c>
      <c r="H861" s="103" t="s">
        <v>1718</v>
      </c>
    </row>
    <row r="862" ht="22.5" customHeight="1">
      <c r="A862" s="102">
        <v>45973.65763125</v>
      </c>
      <c r="B862" s="103" t="s">
        <v>306</v>
      </c>
      <c r="C862" s="103" t="s">
        <v>994</v>
      </c>
      <c r="D862" s="103" t="s">
        <v>995</v>
      </c>
      <c r="E862" s="103" t="s">
        <v>427</v>
      </c>
      <c r="G862" s="103" t="s">
        <v>462</v>
      </c>
      <c r="H862" s="103">
        <v>67.0</v>
      </c>
    </row>
    <row r="863" ht="22.5" customHeight="1">
      <c r="A863" s="102">
        <v>45973.65777128472</v>
      </c>
      <c r="B863" s="103" t="s">
        <v>213</v>
      </c>
      <c r="C863" s="103" t="s">
        <v>728</v>
      </c>
      <c r="D863" s="103" t="s">
        <v>729</v>
      </c>
      <c r="E863" s="103" t="s">
        <v>639</v>
      </c>
      <c r="G863" s="103" t="s">
        <v>211</v>
      </c>
      <c r="H863" s="103" t="s">
        <v>1719</v>
      </c>
    </row>
    <row r="864" ht="22.5" customHeight="1">
      <c r="A864" s="102">
        <v>45973.65781046296</v>
      </c>
      <c r="B864" s="103" t="s">
        <v>296</v>
      </c>
      <c r="C864" s="103" t="s">
        <v>853</v>
      </c>
      <c r="D864" s="103" t="s">
        <v>854</v>
      </c>
      <c r="E864" s="103" t="s">
        <v>427</v>
      </c>
      <c r="G864" s="103" t="s">
        <v>462</v>
      </c>
      <c r="H864" s="103" t="s">
        <v>1720</v>
      </c>
    </row>
    <row r="865" ht="22.5" customHeight="1">
      <c r="A865" s="102">
        <v>45973.65846877315</v>
      </c>
      <c r="B865" s="103" t="s">
        <v>361</v>
      </c>
      <c r="C865" s="103" t="s">
        <v>625</v>
      </c>
      <c r="D865" s="103" t="s">
        <v>626</v>
      </c>
      <c r="E865" s="103" t="s">
        <v>450</v>
      </c>
      <c r="G865" s="103" t="s">
        <v>359</v>
      </c>
      <c r="H865" s="103" t="s">
        <v>1721</v>
      </c>
    </row>
    <row r="866" ht="22.5" customHeight="1">
      <c r="A866" s="102">
        <v>45973.658595891204</v>
      </c>
      <c r="B866" s="103" t="s">
        <v>169</v>
      </c>
      <c r="C866" s="103" t="s">
        <v>1722</v>
      </c>
      <c r="D866" s="103" t="s">
        <v>677</v>
      </c>
      <c r="E866" s="103" t="s">
        <v>450</v>
      </c>
      <c r="G866" s="103" t="s">
        <v>445</v>
      </c>
      <c r="H866" s="103" t="s">
        <v>1723</v>
      </c>
    </row>
    <row r="867" ht="22.5" customHeight="1">
      <c r="A867" s="102">
        <v>45973.65860002315</v>
      </c>
      <c r="B867" s="103" t="s">
        <v>283</v>
      </c>
      <c r="C867" s="103" t="s">
        <v>425</v>
      </c>
      <c r="D867" s="103" t="s">
        <v>426</v>
      </c>
      <c r="E867" s="103" t="s">
        <v>450</v>
      </c>
      <c r="G867" s="103" t="s">
        <v>428</v>
      </c>
      <c r="H867" s="103" t="s">
        <v>1724</v>
      </c>
    </row>
    <row r="868" ht="22.5" customHeight="1">
      <c r="A868" s="102">
        <v>45973.65861853009</v>
      </c>
      <c r="B868" s="103" t="s">
        <v>274</v>
      </c>
      <c r="C868" s="103" t="s">
        <v>602</v>
      </c>
      <c r="D868" s="103" t="s">
        <v>603</v>
      </c>
      <c r="E868" s="103" t="s">
        <v>639</v>
      </c>
      <c r="G868" s="103" t="s">
        <v>1548</v>
      </c>
      <c r="H868" s="103" t="s">
        <v>1725</v>
      </c>
    </row>
    <row r="869" ht="22.5" customHeight="1">
      <c r="A869" s="102">
        <v>45973.65862851852</v>
      </c>
      <c r="B869" s="103" t="s">
        <v>134</v>
      </c>
      <c r="C869" s="103" t="s">
        <v>643</v>
      </c>
      <c r="D869" s="103" t="s">
        <v>644</v>
      </c>
      <c r="E869" s="103" t="s">
        <v>450</v>
      </c>
      <c r="G869" s="103" t="s">
        <v>1726</v>
      </c>
      <c r="H869" s="103" t="s">
        <v>1727</v>
      </c>
    </row>
    <row r="870" ht="22.5" customHeight="1">
      <c r="A870" s="102">
        <v>45973.65865150463</v>
      </c>
      <c r="B870" s="103" t="s">
        <v>27</v>
      </c>
      <c r="C870" s="103" t="s">
        <v>1098</v>
      </c>
      <c r="D870" s="103" t="s">
        <v>947</v>
      </c>
      <c r="E870" s="103" t="s">
        <v>639</v>
      </c>
      <c r="G870" s="103" t="s">
        <v>912</v>
      </c>
      <c r="H870" s="103" t="s">
        <v>1728</v>
      </c>
    </row>
    <row r="871" ht="22.5" customHeight="1">
      <c r="A871" s="102">
        <v>45973.658704050926</v>
      </c>
      <c r="B871" s="103" t="s">
        <v>270</v>
      </c>
      <c r="C871" s="103" t="s">
        <v>1080</v>
      </c>
      <c r="D871" s="103" t="s">
        <v>1640</v>
      </c>
      <c r="E871" s="103" t="s">
        <v>639</v>
      </c>
      <c r="G871" s="103" t="s">
        <v>648</v>
      </c>
      <c r="H871" s="103" t="s">
        <v>1729</v>
      </c>
    </row>
    <row r="872" ht="22.5" customHeight="1">
      <c r="A872" s="102">
        <v>45973.65880070602</v>
      </c>
      <c r="B872" s="103" t="s">
        <v>64</v>
      </c>
      <c r="C872" s="103" t="s">
        <v>1089</v>
      </c>
      <c r="D872" s="103" t="s">
        <v>1090</v>
      </c>
      <c r="E872" s="103" t="s">
        <v>639</v>
      </c>
      <c r="G872" s="103" t="s">
        <v>62</v>
      </c>
      <c r="H872" s="103" t="s">
        <v>1730</v>
      </c>
    </row>
    <row r="873" ht="22.5" customHeight="1">
      <c r="A873" s="102">
        <v>45973.65884614583</v>
      </c>
      <c r="B873" s="103" t="s">
        <v>300</v>
      </c>
      <c r="C873" s="103" t="s">
        <v>480</v>
      </c>
      <c r="D873" s="103" t="s">
        <v>1381</v>
      </c>
      <c r="E873" s="103" t="s">
        <v>450</v>
      </c>
      <c r="G873" s="103" t="s">
        <v>875</v>
      </c>
      <c r="H873" s="103" t="s">
        <v>1731</v>
      </c>
    </row>
    <row r="874" ht="22.5" customHeight="1">
      <c r="A874" s="102">
        <v>45973.65886436343</v>
      </c>
      <c r="B874" s="103" t="s">
        <v>61</v>
      </c>
      <c r="C874" s="103" t="s">
        <v>741</v>
      </c>
      <c r="D874" s="103" t="s">
        <v>761</v>
      </c>
      <c r="E874" s="103" t="s">
        <v>639</v>
      </c>
      <c r="G874" s="103" t="s">
        <v>762</v>
      </c>
      <c r="H874" s="103" t="s">
        <v>1732</v>
      </c>
    </row>
    <row r="875" ht="22.5" customHeight="1">
      <c r="A875" s="102">
        <v>45973.6588668287</v>
      </c>
      <c r="B875" s="103" t="s">
        <v>358</v>
      </c>
      <c r="C875" s="103" t="s">
        <v>1085</v>
      </c>
      <c r="D875" s="103" t="s">
        <v>1733</v>
      </c>
      <c r="E875" s="103" t="s">
        <v>639</v>
      </c>
      <c r="G875" s="103" t="s">
        <v>359</v>
      </c>
      <c r="H875" s="103" t="s">
        <v>1734</v>
      </c>
    </row>
    <row r="876" ht="22.5" customHeight="1">
      <c r="A876" s="102">
        <v>45973.659085625</v>
      </c>
      <c r="B876" s="103" t="s">
        <v>268</v>
      </c>
      <c r="C876" s="103" t="s">
        <v>722</v>
      </c>
      <c r="D876" s="103" t="s">
        <v>723</v>
      </c>
      <c r="E876" s="103" t="s">
        <v>639</v>
      </c>
      <c r="G876" s="103" t="s">
        <v>1735</v>
      </c>
      <c r="H876" s="103" t="s">
        <v>1736</v>
      </c>
    </row>
    <row r="877" ht="22.5" customHeight="1">
      <c r="A877" s="102">
        <v>45973.65911930555</v>
      </c>
      <c r="B877" s="103" t="s">
        <v>66</v>
      </c>
      <c r="C877" s="103" t="s">
        <v>668</v>
      </c>
      <c r="D877" s="103" t="s">
        <v>689</v>
      </c>
      <c r="E877" s="103" t="s">
        <v>639</v>
      </c>
      <c r="G877" s="103" t="s">
        <v>62</v>
      </c>
      <c r="H877" s="103" t="s">
        <v>1737</v>
      </c>
    </row>
    <row r="878" ht="22.5" customHeight="1">
      <c r="A878" s="102">
        <v>45973.65939797454</v>
      </c>
      <c r="B878" s="103" t="s">
        <v>389</v>
      </c>
      <c r="C878" s="103" t="s">
        <v>731</v>
      </c>
      <c r="D878" s="103" t="s">
        <v>1738</v>
      </c>
      <c r="E878" s="103" t="s">
        <v>450</v>
      </c>
      <c r="G878" s="103" t="s">
        <v>474</v>
      </c>
      <c r="H878" s="103" t="s">
        <v>1739</v>
      </c>
    </row>
    <row r="879" ht="22.5" customHeight="1">
      <c r="A879" s="102">
        <v>45973.65940940972</v>
      </c>
      <c r="B879" s="103" t="s">
        <v>265</v>
      </c>
      <c r="C879" s="103" t="s">
        <v>733</v>
      </c>
      <c r="D879" s="103" t="s">
        <v>734</v>
      </c>
      <c r="E879" s="103" t="s">
        <v>639</v>
      </c>
      <c r="G879" s="103" t="s">
        <v>604</v>
      </c>
      <c r="H879" s="103" t="s">
        <v>1740</v>
      </c>
    </row>
    <row r="880" ht="22.5" customHeight="1">
      <c r="A880" s="102">
        <v>45973.65947885417</v>
      </c>
      <c r="B880" s="103" t="s">
        <v>280</v>
      </c>
      <c r="C880" s="103" t="s">
        <v>476</v>
      </c>
      <c r="D880" s="103" t="s">
        <v>477</v>
      </c>
      <c r="E880" s="103" t="s">
        <v>450</v>
      </c>
      <c r="G880" s="103" t="s">
        <v>478</v>
      </c>
      <c r="H880" s="103" t="s">
        <v>1741</v>
      </c>
    </row>
    <row r="881" ht="22.5" customHeight="1">
      <c r="A881" s="102">
        <v>45973.65951560185</v>
      </c>
      <c r="B881" s="103" t="s">
        <v>117</v>
      </c>
      <c r="C881" s="103" t="s">
        <v>778</v>
      </c>
      <c r="D881" s="103" t="s">
        <v>779</v>
      </c>
      <c r="E881" s="103" t="s">
        <v>450</v>
      </c>
      <c r="G881" s="103" t="s">
        <v>986</v>
      </c>
      <c r="H881" s="103" t="s">
        <v>1742</v>
      </c>
    </row>
    <row r="882" ht="22.5" customHeight="1">
      <c r="A882" s="102">
        <v>45973.65951895833</v>
      </c>
      <c r="B882" s="103" t="s">
        <v>132</v>
      </c>
      <c r="C882" s="103" t="s">
        <v>657</v>
      </c>
      <c r="D882" s="103" t="s">
        <v>660</v>
      </c>
      <c r="E882" s="103" t="s">
        <v>450</v>
      </c>
      <c r="G882" s="103" t="s">
        <v>124</v>
      </c>
      <c r="H882" s="103" t="s">
        <v>1743</v>
      </c>
    </row>
    <row r="883" ht="22.5" customHeight="1">
      <c r="A883" s="102">
        <v>45973.659528715274</v>
      </c>
      <c r="B883" s="103" t="s">
        <v>123</v>
      </c>
      <c r="C883" s="103" t="s">
        <v>829</v>
      </c>
      <c r="D883" s="103" t="s">
        <v>654</v>
      </c>
      <c r="E883" s="103" t="s">
        <v>450</v>
      </c>
      <c r="G883" s="103" t="s">
        <v>124</v>
      </c>
      <c r="H883" s="103" t="s">
        <v>1744</v>
      </c>
    </row>
    <row r="884" ht="22.5" customHeight="1">
      <c r="A884" s="102">
        <v>45973.65960503472</v>
      </c>
      <c r="B884" s="103" t="s">
        <v>387</v>
      </c>
      <c r="C884" s="103" t="s">
        <v>665</v>
      </c>
      <c r="D884" s="103" t="s">
        <v>666</v>
      </c>
      <c r="E884" s="103" t="s">
        <v>450</v>
      </c>
      <c r="G884" s="103" t="s">
        <v>1745</v>
      </c>
      <c r="H884" s="103" t="s">
        <v>1746</v>
      </c>
    </row>
    <row r="885" ht="22.5" customHeight="1">
      <c r="A885" s="102">
        <v>45973.659662997685</v>
      </c>
      <c r="B885" s="103" t="s">
        <v>128</v>
      </c>
      <c r="C885" s="103" t="s">
        <v>561</v>
      </c>
      <c r="D885" s="103" t="s">
        <v>830</v>
      </c>
      <c r="E885" s="103" t="s">
        <v>450</v>
      </c>
      <c r="G885" s="103" t="s">
        <v>124</v>
      </c>
      <c r="H885" s="103" t="s">
        <v>1747</v>
      </c>
    </row>
    <row r="886" ht="22.5" customHeight="1">
      <c r="A886" s="102">
        <v>45973.659775381944</v>
      </c>
      <c r="B886" s="103" t="s">
        <v>237</v>
      </c>
      <c r="C886" s="103" t="s">
        <v>861</v>
      </c>
      <c r="D886" s="103" t="s">
        <v>862</v>
      </c>
      <c r="E886" s="103" t="s">
        <v>639</v>
      </c>
      <c r="G886" s="103" t="s">
        <v>1748</v>
      </c>
      <c r="H886" s="103" t="s">
        <v>1749</v>
      </c>
    </row>
    <row r="887" ht="22.5" customHeight="1">
      <c r="A887" s="102">
        <v>45973.65987362269</v>
      </c>
      <c r="B887" s="103" t="s">
        <v>121</v>
      </c>
      <c r="C887" s="103" t="s">
        <v>940</v>
      </c>
      <c r="D887" s="103" t="s">
        <v>458</v>
      </c>
      <c r="E887" s="103" t="s">
        <v>450</v>
      </c>
      <c r="G887" s="103" t="s">
        <v>113</v>
      </c>
      <c r="H887" s="103" t="s">
        <v>1750</v>
      </c>
    </row>
    <row r="888" ht="22.5" customHeight="1">
      <c r="A888" s="102">
        <v>45973.65997837963</v>
      </c>
      <c r="B888" s="103" t="s">
        <v>191</v>
      </c>
      <c r="C888" s="103" t="s">
        <v>512</v>
      </c>
      <c r="D888" s="103" t="s">
        <v>513</v>
      </c>
      <c r="E888" s="103" t="s">
        <v>639</v>
      </c>
      <c r="G888" s="103" t="s">
        <v>185</v>
      </c>
      <c r="H888" s="103" t="s">
        <v>1751</v>
      </c>
    </row>
    <row r="889" ht="22.5" customHeight="1">
      <c r="A889" s="102">
        <v>45973.66021809028</v>
      </c>
      <c r="B889" s="103" t="s">
        <v>289</v>
      </c>
      <c r="C889" s="103" t="s">
        <v>735</v>
      </c>
      <c r="D889" s="103" t="s">
        <v>736</v>
      </c>
      <c r="E889" s="103" t="s">
        <v>450</v>
      </c>
      <c r="G889" s="103" t="s">
        <v>428</v>
      </c>
      <c r="H889" s="103" t="s">
        <v>1752</v>
      </c>
    </row>
    <row r="890" ht="22.5" customHeight="1">
      <c r="A890" s="102">
        <v>45973.660288576386</v>
      </c>
      <c r="B890" s="103" t="s">
        <v>235</v>
      </c>
      <c r="C890" s="103" t="s">
        <v>890</v>
      </c>
      <c r="D890" s="103" t="s">
        <v>891</v>
      </c>
      <c r="E890" s="103" t="s">
        <v>639</v>
      </c>
      <c r="G890" s="103" t="s">
        <v>669</v>
      </c>
      <c r="H890" s="103" t="s">
        <v>1753</v>
      </c>
    </row>
    <row r="891" ht="22.5" customHeight="1">
      <c r="A891" s="102">
        <v>45973.66144391204</v>
      </c>
      <c r="B891" s="103" t="s">
        <v>217</v>
      </c>
      <c r="C891" s="103" t="s">
        <v>816</v>
      </c>
      <c r="D891" s="103" t="s">
        <v>647</v>
      </c>
      <c r="E891" s="103" t="s">
        <v>450</v>
      </c>
      <c r="G891" s="103" t="s">
        <v>211</v>
      </c>
      <c r="H891" s="103" t="s">
        <v>1754</v>
      </c>
    </row>
    <row r="892" ht="22.5" customHeight="1">
      <c r="A892" s="102">
        <v>45973.66183498842</v>
      </c>
      <c r="B892" s="103" t="s">
        <v>221</v>
      </c>
      <c r="C892" s="103" t="s">
        <v>787</v>
      </c>
      <c r="D892" s="103" t="s">
        <v>651</v>
      </c>
      <c r="E892" s="103" t="s">
        <v>450</v>
      </c>
      <c r="G892" s="103" t="s">
        <v>820</v>
      </c>
      <c r="H892" s="103" t="s">
        <v>1755</v>
      </c>
    </row>
    <row r="893" ht="22.5" customHeight="1">
      <c r="A893" s="102">
        <v>45973.66290524305</v>
      </c>
      <c r="B893" s="103" t="s">
        <v>130</v>
      </c>
      <c r="C893" s="103" t="s">
        <v>1756</v>
      </c>
      <c r="D893" s="103" t="s">
        <v>558</v>
      </c>
      <c r="E893" s="103" t="s">
        <v>450</v>
      </c>
      <c r="G893" s="103" t="s">
        <v>124</v>
      </c>
      <c r="H893" s="103" t="s">
        <v>1757</v>
      </c>
    </row>
    <row r="894" ht="22.5" customHeight="1">
      <c r="A894" s="102">
        <v>45973.66522631944</v>
      </c>
      <c r="B894" s="103" t="s">
        <v>382</v>
      </c>
      <c r="C894" s="103" t="s">
        <v>468</v>
      </c>
      <c r="D894" s="103" t="s">
        <v>469</v>
      </c>
      <c r="E894" s="103" t="s">
        <v>639</v>
      </c>
      <c r="G894" s="103" t="s">
        <v>1676</v>
      </c>
      <c r="H894" s="103" t="s">
        <v>1758</v>
      </c>
    </row>
    <row r="895" ht="22.5" customHeight="1">
      <c r="A895" s="102">
        <v>45973.66648295139</v>
      </c>
      <c r="B895" s="103" t="s">
        <v>9</v>
      </c>
      <c r="C895" s="103" t="s">
        <v>576</v>
      </c>
      <c r="D895" s="103" t="s">
        <v>577</v>
      </c>
      <c r="E895" s="103" t="s">
        <v>578</v>
      </c>
      <c r="G895" s="103" t="s">
        <v>10</v>
      </c>
      <c r="H895" s="103" t="s">
        <v>1759</v>
      </c>
    </row>
    <row r="896" ht="22.5" customHeight="1">
      <c r="A896" s="102">
        <v>45973.66649322917</v>
      </c>
      <c r="B896" s="103" t="s">
        <v>167</v>
      </c>
      <c r="C896" s="103" t="s">
        <v>599</v>
      </c>
      <c r="D896" s="103" t="s">
        <v>600</v>
      </c>
      <c r="E896" s="103" t="s">
        <v>420</v>
      </c>
      <c r="G896" s="103" t="s">
        <v>161</v>
      </c>
      <c r="H896" s="103" t="s">
        <v>1760</v>
      </c>
    </row>
    <row r="897" ht="22.5" customHeight="1">
      <c r="A897" s="102">
        <v>45973.66661799769</v>
      </c>
      <c r="B897" s="103" t="s">
        <v>42</v>
      </c>
      <c r="C897" s="103" t="s">
        <v>1186</v>
      </c>
      <c r="D897" s="103" t="s">
        <v>1187</v>
      </c>
      <c r="E897" s="103" t="s">
        <v>420</v>
      </c>
      <c r="G897" s="103" t="s">
        <v>1386</v>
      </c>
      <c r="H897" s="103" t="s">
        <v>1761</v>
      </c>
    </row>
    <row r="898" ht="22.5" customHeight="1">
      <c r="A898" s="102">
        <v>45973.666628125</v>
      </c>
      <c r="B898" s="103" t="s">
        <v>365</v>
      </c>
      <c r="C898" s="103" t="s">
        <v>1174</v>
      </c>
      <c r="D898" s="103" t="s">
        <v>654</v>
      </c>
      <c r="E898" s="103" t="s">
        <v>420</v>
      </c>
      <c r="G898" s="103" t="s">
        <v>1762</v>
      </c>
      <c r="H898" s="103" t="s">
        <v>1763</v>
      </c>
    </row>
    <row r="899" ht="22.5" customHeight="1">
      <c r="A899" s="102">
        <v>45973.6666565625</v>
      </c>
      <c r="B899" s="103" t="s">
        <v>200</v>
      </c>
      <c r="C899" s="103" t="s">
        <v>950</v>
      </c>
      <c r="D899" s="103" t="s">
        <v>588</v>
      </c>
      <c r="E899" s="103" t="s">
        <v>420</v>
      </c>
      <c r="G899" s="103" t="s">
        <v>198</v>
      </c>
      <c r="H899" s="103" t="s">
        <v>1764</v>
      </c>
    </row>
    <row r="900" ht="22.5" customHeight="1">
      <c r="A900" s="102">
        <v>45973.666717314816</v>
      </c>
      <c r="B900" s="103" t="s">
        <v>324</v>
      </c>
      <c r="C900" s="103" t="s">
        <v>590</v>
      </c>
      <c r="D900" s="103" t="s">
        <v>591</v>
      </c>
      <c r="E900" s="103" t="s">
        <v>578</v>
      </c>
      <c r="G900" s="103" t="s">
        <v>699</v>
      </c>
      <c r="H900" s="103" t="s">
        <v>1765</v>
      </c>
    </row>
    <row r="901" ht="22.5" customHeight="1">
      <c r="A901" s="102">
        <v>45973.66680770833</v>
      </c>
      <c r="B901" s="103" t="s">
        <v>208</v>
      </c>
      <c r="C901" s="103" t="s">
        <v>701</v>
      </c>
      <c r="D901" s="103" t="s">
        <v>1022</v>
      </c>
      <c r="E901" s="103" t="s">
        <v>420</v>
      </c>
      <c r="G901" s="103" t="s">
        <v>1647</v>
      </c>
      <c r="H901" s="103" t="s">
        <v>1766</v>
      </c>
    </row>
    <row r="902" ht="22.5" customHeight="1">
      <c r="A902" s="102">
        <v>45973.66685006944</v>
      </c>
      <c r="B902" s="103" t="s">
        <v>187</v>
      </c>
      <c r="C902" s="103" t="s">
        <v>751</v>
      </c>
      <c r="D902" s="103" t="s">
        <v>647</v>
      </c>
      <c r="E902" s="103" t="s">
        <v>420</v>
      </c>
      <c r="G902" s="103" t="s">
        <v>503</v>
      </c>
      <c r="H902" s="103" t="s">
        <v>1767</v>
      </c>
    </row>
    <row r="903" ht="22.5" customHeight="1">
      <c r="A903" s="102">
        <v>45973.666856435186</v>
      </c>
      <c r="B903" s="103" t="s">
        <v>404</v>
      </c>
      <c r="C903" s="103" t="s">
        <v>583</v>
      </c>
      <c r="D903" s="103" t="s">
        <v>584</v>
      </c>
      <c r="E903" s="103" t="s">
        <v>420</v>
      </c>
      <c r="G903" s="103" t="s">
        <v>568</v>
      </c>
      <c r="H903" s="103" t="s">
        <v>1768</v>
      </c>
    </row>
    <row r="904" ht="22.5" customHeight="1">
      <c r="A904" s="102">
        <v>45973.666859537036</v>
      </c>
      <c r="B904" s="103" t="s">
        <v>226</v>
      </c>
      <c r="C904" s="103" t="s">
        <v>668</v>
      </c>
      <c r="D904" s="103" t="s">
        <v>581</v>
      </c>
      <c r="E904" s="103" t="s">
        <v>578</v>
      </c>
      <c r="G904" s="103" t="s">
        <v>1163</v>
      </c>
      <c r="H904" s="103" t="s">
        <v>1769</v>
      </c>
    </row>
    <row r="905" ht="22.5" customHeight="1">
      <c r="A905" s="102">
        <v>45973.66686550926</v>
      </c>
      <c r="B905" s="103" t="s">
        <v>244</v>
      </c>
      <c r="C905" s="103" t="s">
        <v>1160</v>
      </c>
      <c r="D905" s="103" t="s">
        <v>1161</v>
      </c>
      <c r="E905" s="103" t="s">
        <v>420</v>
      </c>
      <c r="G905" s="103" t="s">
        <v>615</v>
      </c>
      <c r="H905" s="103" t="s">
        <v>1770</v>
      </c>
    </row>
    <row r="906" ht="22.5" customHeight="1">
      <c r="A906" s="102">
        <v>45973.666935636575</v>
      </c>
      <c r="B906" s="103" t="s">
        <v>385</v>
      </c>
      <c r="C906" s="103" t="s">
        <v>465</v>
      </c>
      <c r="D906" s="103" t="s">
        <v>466</v>
      </c>
      <c r="E906" s="103" t="s">
        <v>420</v>
      </c>
      <c r="G906" s="103" t="s">
        <v>474</v>
      </c>
      <c r="H906" s="103" t="s">
        <v>1771</v>
      </c>
    </row>
    <row r="907" ht="22.5" customHeight="1">
      <c r="A907" s="102">
        <v>45973.66694796296</v>
      </c>
      <c r="B907" s="103" t="s">
        <v>31</v>
      </c>
      <c r="C907" s="103" t="s">
        <v>569</v>
      </c>
      <c r="D907" s="103" t="s">
        <v>1772</v>
      </c>
      <c r="E907" s="103" t="s">
        <v>494</v>
      </c>
      <c r="G907" s="103" t="s">
        <v>1172</v>
      </c>
      <c r="H907" s="103" t="s">
        <v>1773</v>
      </c>
    </row>
    <row r="908" ht="22.5" customHeight="1">
      <c r="A908" s="102">
        <v>45973.66695798611</v>
      </c>
      <c r="B908" s="103" t="s">
        <v>86</v>
      </c>
      <c r="C908" s="103" t="s">
        <v>1774</v>
      </c>
      <c r="D908" s="103" t="s">
        <v>531</v>
      </c>
      <c r="E908" s="103" t="s">
        <v>494</v>
      </c>
      <c r="G908" s="103" t="s">
        <v>1406</v>
      </c>
      <c r="H908" s="103" t="s">
        <v>1775</v>
      </c>
    </row>
    <row r="909" ht="22.5" customHeight="1">
      <c r="A909" s="102">
        <v>45973.66697446759</v>
      </c>
      <c r="B909" s="103" t="s">
        <v>204</v>
      </c>
      <c r="C909" s="103" t="s">
        <v>745</v>
      </c>
      <c r="D909" s="103" t="s">
        <v>689</v>
      </c>
      <c r="E909" s="103" t="s">
        <v>420</v>
      </c>
      <c r="G909" s="103" t="s">
        <v>198</v>
      </c>
      <c r="H909" s="103" t="s">
        <v>1776</v>
      </c>
    </row>
    <row r="910" ht="22.5" customHeight="1">
      <c r="A910" s="102">
        <v>45973.66698556713</v>
      </c>
      <c r="B910" s="103" t="s">
        <v>18</v>
      </c>
      <c r="C910" s="103" t="s">
        <v>811</v>
      </c>
      <c r="D910" s="103" t="s">
        <v>812</v>
      </c>
      <c r="E910" s="103" t="s">
        <v>420</v>
      </c>
      <c r="G910" s="103" t="s">
        <v>957</v>
      </c>
      <c r="H910" s="103" t="s">
        <v>1777</v>
      </c>
    </row>
    <row r="911" ht="22.5" customHeight="1">
      <c r="A911" s="102">
        <v>45973.66699618056</v>
      </c>
      <c r="B911" s="103" t="s">
        <v>330</v>
      </c>
      <c r="C911" s="103" t="s">
        <v>662</v>
      </c>
      <c r="D911" s="103" t="s">
        <v>663</v>
      </c>
      <c r="E911" s="103" t="s">
        <v>420</v>
      </c>
      <c r="G911" s="103" t="s">
        <v>320</v>
      </c>
      <c r="H911" s="103" t="s">
        <v>1778</v>
      </c>
    </row>
    <row r="912" ht="22.5" customHeight="1">
      <c r="A912" s="102">
        <v>45973.66700533565</v>
      </c>
      <c r="B912" s="103" t="s">
        <v>254</v>
      </c>
      <c r="C912" s="103" t="s">
        <v>565</v>
      </c>
      <c r="D912" s="103" t="s">
        <v>566</v>
      </c>
      <c r="E912" s="103" t="s">
        <v>494</v>
      </c>
      <c r="G912" s="103" t="s">
        <v>809</v>
      </c>
      <c r="H912" s="103" t="s">
        <v>1779</v>
      </c>
    </row>
    <row r="913" ht="22.5" customHeight="1">
      <c r="A913" s="102">
        <v>45973.667073819444</v>
      </c>
      <c r="B913" s="103" t="s">
        <v>242</v>
      </c>
      <c r="C913" s="103" t="s">
        <v>679</v>
      </c>
      <c r="D913" s="103" t="s">
        <v>680</v>
      </c>
      <c r="E913" s="103" t="s">
        <v>578</v>
      </c>
      <c r="G913" s="103" t="s">
        <v>240</v>
      </c>
      <c r="H913" s="103" t="s">
        <v>1780</v>
      </c>
    </row>
    <row r="914" ht="22.5" customHeight="1">
      <c r="A914" s="102">
        <v>45973.66709415509</v>
      </c>
      <c r="B914" s="103" t="s">
        <v>136</v>
      </c>
      <c r="C914" s="103" t="s">
        <v>587</v>
      </c>
      <c r="D914" s="103" t="s">
        <v>588</v>
      </c>
      <c r="E914" s="103" t="s">
        <v>420</v>
      </c>
      <c r="G914" s="103" t="s">
        <v>1672</v>
      </c>
      <c r="H914" s="103" t="s">
        <v>1781</v>
      </c>
    </row>
    <row r="915" ht="22.5" customHeight="1">
      <c r="A915" s="102">
        <v>45973.66711172454</v>
      </c>
      <c r="B915" s="103" t="s">
        <v>334</v>
      </c>
      <c r="C915" s="103" t="s">
        <v>1145</v>
      </c>
      <c r="D915" s="103" t="s">
        <v>1146</v>
      </c>
      <c r="E915" s="103" t="s">
        <v>420</v>
      </c>
      <c r="G915" s="103" t="s">
        <v>335</v>
      </c>
      <c r="H915" s="103" t="s">
        <v>1782</v>
      </c>
    </row>
    <row r="916" ht="22.5" customHeight="1">
      <c r="A916" s="102">
        <v>45973.6671124537</v>
      </c>
      <c r="B916" s="103" t="s">
        <v>35</v>
      </c>
      <c r="C916" s="103" t="s">
        <v>1356</v>
      </c>
      <c r="D916" s="103" t="s">
        <v>1067</v>
      </c>
      <c r="E916" s="103" t="s">
        <v>427</v>
      </c>
      <c r="G916" s="103" t="s">
        <v>23</v>
      </c>
      <c r="H916" s="103" t="s">
        <v>1783</v>
      </c>
    </row>
    <row r="917" ht="22.5" customHeight="1">
      <c r="A917" s="102">
        <v>45973.667113020834</v>
      </c>
      <c r="B917" s="103" t="s">
        <v>193</v>
      </c>
      <c r="C917" s="103" t="s">
        <v>549</v>
      </c>
      <c r="D917" s="103" t="s">
        <v>550</v>
      </c>
      <c r="E917" s="103" t="s">
        <v>494</v>
      </c>
      <c r="G917" s="103" t="s">
        <v>551</v>
      </c>
      <c r="H917" s="103" t="s">
        <v>1784</v>
      </c>
    </row>
    <row r="918" ht="22.5" customHeight="1">
      <c r="A918" s="102">
        <v>45973.66711625</v>
      </c>
      <c r="B918" s="103" t="s">
        <v>195</v>
      </c>
      <c r="C918" s="103" t="s">
        <v>501</v>
      </c>
      <c r="D918" s="103" t="s">
        <v>1025</v>
      </c>
      <c r="E918" s="103" t="s">
        <v>494</v>
      </c>
      <c r="G918" s="103" t="s">
        <v>503</v>
      </c>
      <c r="H918" s="103" t="s">
        <v>1785</v>
      </c>
    </row>
    <row r="919" ht="22.5" customHeight="1">
      <c r="A919" s="102">
        <v>45973.66714754629</v>
      </c>
      <c r="B919" s="103" t="s">
        <v>252</v>
      </c>
      <c r="C919" s="103" t="s">
        <v>901</v>
      </c>
      <c r="D919" s="103" t="s">
        <v>614</v>
      </c>
      <c r="E919" s="103" t="s">
        <v>578</v>
      </c>
      <c r="G919" s="103" t="s">
        <v>615</v>
      </c>
      <c r="H919" s="103" t="s">
        <v>1786</v>
      </c>
    </row>
    <row r="920" ht="22.5" customHeight="1">
      <c r="A920" s="102">
        <v>45973.667160694444</v>
      </c>
      <c r="B920" s="103" t="s">
        <v>246</v>
      </c>
      <c r="C920" s="103" t="s">
        <v>703</v>
      </c>
      <c r="D920" s="103" t="s">
        <v>704</v>
      </c>
      <c r="E920" s="103" t="s">
        <v>578</v>
      </c>
      <c r="G920" s="103" t="s">
        <v>1483</v>
      </c>
      <c r="H920" s="103" t="s">
        <v>1787</v>
      </c>
    </row>
    <row r="921" ht="22.5" customHeight="1">
      <c r="A921" s="102">
        <v>45973.66716733796</v>
      </c>
      <c r="B921" s="103" t="s">
        <v>108</v>
      </c>
      <c r="C921" s="103" t="s">
        <v>525</v>
      </c>
      <c r="D921" s="103" t="s">
        <v>526</v>
      </c>
      <c r="E921" s="103" t="s">
        <v>494</v>
      </c>
      <c r="G921" s="103" t="s">
        <v>527</v>
      </c>
      <c r="H921" s="103" t="s">
        <v>1788</v>
      </c>
    </row>
    <row r="922" ht="22.5" customHeight="1">
      <c r="A922" s="102">
        <v>45973.66716913195</v>
      </c>
      <c r="B922" s="103" t="s">
        <v>88</v>
      </c>
      <c r="C922" s="103" t="s">
        <v>843</v>
      </c>
      <c r="D922" s="103" t="s">
        <v>844</v>
      </c>
      <c r="E922" s="103" t="s">
        <v>494</v>
      </c>
      <c r="G922" s="103" t="s">
        <v>532</v>
      </c>
      <c r="H922" s="103" t="s">
        <v>1789</v>
      </c>
    </row>
    <row r="923" ht="22.5" customHeight="1">
      <c r="A923" s="102">
        <v>45973.66717395833</v>
      </c>
      <c r="B923" s="103" t="s">
        <v>400</v>
      </c>
      <c r="C923" s="103" t="s">
        <v>445</v>
      </c>
      <c r="D923" s="103" t="s">
        <v>641</v>
      </c>
      <c r="E923" s="103" t="s">
        <v>420</v>
      </c>
      <c r="G923" s="103" t="s">
        <v>585</v>
      </c>
      <c r="H923" s="103" t="s">
        <v>1790</v>
      </c>
    </row>
    <row r="924" ht="22.5" customHeight="1">
      <c r="A924" s="102">
        <v>45973.66717854167</v>
      </c>
      <c r="B924" s="103" t="s">
        <v>345</v>
      </c>
      <c r="C924" s="103" t="s">
        <v>492</v>
      </c>
      <c r="D924" s="103" t="s">
        <v>493</v>
      </c>
      <c r="E924" s="103" t="s">
        <v>494</v>
      </c>
      <c r="G924" s="103" t="s">
        <v>495</v>
      </c>
      <c r="H924" s="103" t="s">
        <v>1791</v>
      </c>
    </row>
    <row r="925" ht="22.5" customHeight="1">
      <c r="A925" s="102">
        <v>45973.667180335644</v>
      </c>
      <c r="B925" s="103" t="s">
        <v>141</v>
      </c>
      <c r="C925" s="103" t="s">
        <v>803</v>
      </c>
      <c r="D925" s="103" t="s">
        <v>804</v>
      </c>
      <c r="E925" s="103" t="s">
        <v>420</v>
      </c>
      <c r="G925" s="103" t="s">
        <v>1477</v>
      </c>
      <c r="H925" s="103" t="s">
        <v>1792</v>
      </c>
    </row>
    <row r="926" ht="22.5" customHeight="1">
      <c r="A926" s="102">
        <v>45973.66721024306</v>
      </c>
      <c r="B926" s="103" t="s">
        <v>156</v>
      </c>
      <c r="C926" s="103" t="s">
        <v>528</v>
      </c>
      <c r="D926" s="103" t="s">
        <v>529</v>
      </c>
      <c r="E926" s="103" t="s">
        <v>494</v>
      </c>
      <c r="G926" s="103" t="s">
        <v>148</v>
      </c>
      <c r="H926" s="103" t="s">
        <v>1793</v>
      </c>
    </row>
    <row r="927" ht="22.5" customHeight="1">
      <c r="A927" s="102">
        <v>45973.66724969907</v>
      </c>
      <c r="B927" s="103" t="s">
        <v>393</v>
      </c>
      <c r="C927" s="103" t="s">
        <v>657</v>
      </c>
      <c r="D927" s="103" t="s">
        <v>658</v>
      </c>
      <c r="E927" s="103" t="s">
        <v>420</v>
      </c>
      <c r="G927" s="103" t="s">
        <v>568</v>
      </c>
      <c r="H927" s="103" t="s">
        <v>1794</v>
      </c>
    </row>
    <row r="928" ht="22.5" customHeight="1">
      <c r="A928" s="102">
        <v>45973.667251886574</v>
      </c>
      <c r="B928" s="103" t="s">
        <v>328</v>
      </c>
      <c r="C928" s="103" t="s">
        <v>826</v>
      </c>
      <c r="D928" s="103" t="s">
        <v>827</v>
      </c>
      <c r="E928" s="103" t="s">
        <v>578</v>
      </c>
      <c r="G928" s="103" t="s">
        <v>699</v>
      </c>
      <c r="H928" s="103" t="s">
        <v>1795</v>
      </c>
    </row>
    <row r="929" ht="22.5" customHeight="1">
      <c r="A929" s="102">
        <v>45973.667266793986</v>
      </c>
      <c r="B929" s="103" t="s">
        <v>158</v>
      </c>
      <c r="C929" s="103" t="s">
        <v>540</v>
      </c>
      <c r="D929" s="103" t="s">
        <v>541</v>
      </c>
      <c r="E929" s="103" t="s">
        <v>494</v>
      </c>
      <c r="G929" s="103" t="s">
        <v>148</v>
      </c>
      <c r="H929" s="103" t="s">
        <v>1796</v>
      </c>
    </row>
    <row r="930" ht="22.5" customHeight="1">
      <c r="A930" s="102">
        <v>45973.667277615736</v>
      </c>
      <c r="B930" s="103" t="s">
        <v>263</v>
      </c>
      <c r="C930" s="103" t="s">
        <v>505</v>
      </c>
      <c r="D930" s="103" t="s">
        <v>506</v>
      </c>
      <c r="E930" s="103" t="s">
        <v>494</v>
      </c>
      <c r="G930" s="103" t="s">
        <v>255</v>
      </c>
      <c r="H930" s="103" t="s">
        <v>1797</v>
      </c>
    </row>
    <row r="931" ht="22.5" customHeight="1">
      <c r="A931" s="102">
        <v>45973.66727826389</v>
      </c>
      <c r="B931" s="103" t="s">
        <v>319</v>
      </c>
      <c r="C931" s="103" t="s">
        <v>1452</v>
      </c>
      <c r="D931" s="103" t="s">
        <v>692</v>
      </c>
      <c r="E931" s="103" t="s">
        <v>420</v>
      </c>
      <c r="G931" s="103" t="s">
        <v>699</v>
      </c>
      <c r="H931" s="103" t="s">
        <v>1798</v>
      </c>
    </row>
    <row r="932" ht="22.5" customHeight="1">
      <c r="A932" s="102">
        <v>45973.66728959491</v>
      </c>
      <c r="B932" s="103" t="s">
        <v>184</v>
      </c>
      <c r="C932" s="103" t="s">
        <v>865</v>
      </c>
      <c r="D932" s="103" t="s">
        <v>866</v>
      </c>
      <c r="E932" s="103" t="s">
        <v>420</v>
      </c>
      <c r="G932" s="103" t="s">
        <v>551</v>
      </c>
      <c r="H932" s="103" t="s">
        <v>1799</v>
      </c>
    </row>
    <row r="933" ht="22.5" customHeight="1">
      <c r="A933" s="102">
        <v>45973.667316273146</v>
      </c>
      <c r="B933" s="103" t="s">
        <v>223</v>
      </c>
      <c r="C933" s="103" t="s">
        <v>741</v>
      </c>
      <c r="D933" s="103" t="s">
        <v>506</v>
      </c>
      <c r="E933" s="103" t="s">
        <v>578</v>
      </c>
      <c r="G933" s="103" t="s">
        <v>669</v>
      </c>
      <c r="H933" s="103" t="s">
        <v>1800</v>
      </c>
    </row>
    <row r="934" ht="22.5" customHeight="1">
      <c r="A934" s="102">
        <v>45973.667358969906</v>
      </c>
      <c r="B934" s="103" t="s">
        <v>367</v>
      </c>
      <c r="C934" s="103" t="s">
        <v>757</v>
      </c>
      <c r="D934" s="103" t="s">
        <v>758</v>
      </c>
      <c r="E934" s="103" t="s">
        <v>420</v>
      </c>
      <c r="G934" s="103" t="s">
        <v>759</v>
      </c>
      <c r="H934" s="103" t="s">
        <v>1801</v>
      </c>
    </row>
    <row r="935" ht="22.5" customHeight="1">
      <c r="A935" s="102">
        <v>45973.66736827546</v>
      </c>
      <c r="B935" s="103" t="s">
        <v>228</v>
      </c>
      <c r="C935" s="103" t="s">
        <v>905</v>
      </c>
      <c r="D935" s="103" t="s">
        <v>573</v>
      </c>
      <c r="E935" s="103" t="s">
        <v>420</v>
      </c>
      <c r="G935" s="103" t="s">
        <v>669</v>
      </c>
      <c r="H935" s="103" t="s">
        <v>1802</v>
      </c>
    </row>
    <row r="936" ht="22.5" customHeight="1">
      <c r="A936" s="102">
        <v>45973.66746521991</v>
      </c>
      <c r="B936" s="103" t="s">
        <v>326</v>
      </c>
      <c r="C936" s="103" t="s">
        <v>697</v>
      </c>
      <c r="D936" s="103" t="s">
        <v>698</v>
      </c>
      <c r="E936" s="103" t="s">
        <v>420</v>
      </c>
      <c r="G936" s="103" t="s">
        <v>805</v>
      </c>
      <c r="H936" s="103" t="s">
        <v>1803</v>
      </c>
    </row>
    <row r="937" ht="22.5" customHeight="1">
      <c r="A937" s="102">
        <v>45973.66748221064</v>
      </c>
      <c r="B937" s="103" t="s">
        <v>322</v>
      </c>
      <c r="C937" s="103" t="s">
        <v>631</v>
      </c>
      <c r="D937" s="103" t="s">
        <v>632</v>
      </c>
      <c r="E937" s="103" t="s">
        <v>578</v>
      </c>
      <c r="G937" s="103" t="s">
        <v>699</v>
      </c>
      <c r="H937" s="103" t="s">
        <v>1804</v>
      </c>
    </row>
    <row r="938" ht="22.5" customHeight="1">
      <c r="A938" s="102">
        <v>45973.667521967596</v>
      </c>
      <c r="B938" s="103" t="s">
        <v>396</v>
      </c>
      <c r="C938" s="103" t="s">
        <v>593</v>
      </c>
      <c r="D938" s="103" t="s">
        <v>594</v>
      </c>
      <c r="E938" s="103" t="s">
        <v>578</v>
      </c>
      <c r="G938" s="103" t="s">
        <v>568</v>
      </c>
      <c r="H938" s="103" t="s">
        <v>1805</v>
      </c>
    </row>
    <row r="939" ht="22.5" customHeight="1">
      <c r="A939" s="102">
        <v>45973.66757903935</v>
      </c>
      <c r="B939" s="103" t="s">
        <v>40</v>
      </c>
      <c r="C939" s="103" t="s">
        <v>747</v>
      </c>
      <c r="D939" s="103" t="s">
        <v>748</v>
      </c>
      <c r="E939" s="103" t="s">
        <v>420</v>
      </c>
      <c r="G939" s="103" t="s">
        <v>38</v>
      </c>
      <c r="H939" s="103" t="s">
        <v>1806</v>
      </c>
    </row>
    <row r="940" ht="22.5" customHeight="1">
      <c r="A940" s="102">
        <v>45973.667583229166</v>
      </c>
      <c r="B940" s="103" t="s">
        <v>354</v>
      </c>
      <c r="C940" s="103" t="s">
        <v>518</v>
      </c>
      <c r="D940" s="103" t="s">
        <v>519</v>
      </c>
      <c r="E940" s="103" t="s">
        <v>494</v>
      </c>
      <c r="G940" s="103" t="s">
        <v>932</v>
      </c>
      <c r="H940" s="103" t="s">
        <v>1807</v>
      </c>
    </row>
    <row r="941" ht="22.5" customHeight="1">
      <c r="A941" s="102">
        <v>45973.667609490745</v>
      </c>
      <c r="B941" s="103" t="s">
        <v>33</v>
      </c>
      <c r="C941" s="103" t="s">
        <v>1808</v>
      </c>
      <c r="D941" s="103" t="s">
        <v>458</v>
      </c>
      <c r="E941" s="103" t="s">
        <v>494</v>
      </c>
      <c r="G941" s="103" t="s">
        <v>23</v>
      </c>
      <c r="H941" s="103" t="s">
        <v>1809</v>
      </c>
    </row>
    <row r="942" ht="22.5" customHeight="1">
      <c r="A942" s="102">
        <v>45973.66761380787</v>
      </c>
      <c r="B942" s="103" t="s">
        <v>104</v>
      </c>
      <c r="C942" s="103" t="s">
        <v>522</v>
      </c>
      <c r="D942" s="103" t="s">
        <v>523</v>
      </c>
      <c r="E942" s="103" t="s">
        <v>494</v>
      </c>
      <c r="G942" s="103" t="s">
        <v>98</v>
      </c>
      <c r="H942" s="103" t="s">
        <v>1810</v>
      </c>
    </row>
    <row r="943" ht="22.5" customHeight="1">
      <c r="A943" s="102">
        <v>45973.66764033565</v>
      </c>
      <c r="B943" s="103" t="s">
        <v>171</v>
      </c>
      <c r="C943" s="103" t="s">
        <v>609</v>
      </c>
      <c r="D943" s="103" t="s">
        <v>610</v>
      </c>
      <c r="E943" s="103" t="s">
        <v>578</v>
      </c>
      <c r="G943" s="103" t="s">
        <v>172</v>
      </c>
      <c r="H943" s="103" t="s">
        <v>1811</v>
      </c>
    </row>
    <row r="944" ht="22.5" customHeight="1">
      <c r="A944" s="102">
        <v>45973.66765599537</v>
      </c>
      <c r="B944" s="103" t="s">
        <v>53</v>
      </c>
      <c r="C944" s="103" t="s">
        <v>535</v>
      </c>
      <c r="D944" s="103" t="s">
        <v>536</v>
      </c>
      <c r="E944" s="103" t="s">
        <v>494</v>
      </c>
      <c r="G944" s="103" t="s">
        <v>1520</v>
      </c>
      <c r="H944" s="103" t="s">
        <v>1812</v>
      </c>
    </row>
    <row r="945" ht="22.5" customHeight="1">
      <c r="A945" s="102">
        <v>45973.66769452546</v>
      </c>
      <c r="B945" s="103" t="s">
        <v>16</v>
      </c>
      <c r="C945" s="103" t="s">
        <v>771</v>
      </c>
      <c r="D945" s="103" t="s">
        <v>772</v>
      </c>
      <c r="E945" s="103" t="s">
        <v>578</v>
      </c>
      <c r="G945" s="103" t="s">
        <v>10</v>
      </c>
      <c r="H945" s="103" t="s">
        <v>1813</v>
      </c>
    </row>
    <row r="946" ht="22.5" customHeight="1">
      <c r="A946" s="102">
        <v>45973.66769782407</v>
      </c>
      <c r="B946" s="103" t="s">
        <v>230</v>
      </c>
      <c r="C946" s="103" t="s">
        <v>911</v>
      </c>
      <c r="D946" s="103" t="s">
        <v>573</v>
      </c>
      <c r="E946" s="103" t="s">
        <v>420</v>
      </c>
      <c r="G946" s="103" t="s">
        <v>224</v>
      </c>
      <c r="H946" s="103" t="s">
        <v>1814</v>
      </c>
    </row>
    <row r="947" ht="22.5" customHeight="1">
      <c r="A947" s="102">
        <v>45973.66773490741</v>
      </c>
      <c r="B947" s="103" t="s">
        <v>352</v>
      </c>
      <c r="C947" s="103" t="s">
        <v>555</v>
      </c>
      <c r="D947" s="103" t="s">
        <v>556</v>
      </c>
      <c r="E947" s="103" t="s">
        <v>494</v>
      </c>
      <c r="G947" s="103" t="s">
        <v>495</v>
      </c>
      <c r="H947" s="103" t="s">
        <v>1815</v>
      </c>
    </row>
    <row r="948" ht="22.5" customHeight="1">
      <c r="A948" s="102">
        <v>45973.66780390046</v>
      </c>
      <c r="B948" s="103" t="s">
        <v>197</v>
      </c>
      <c r="C948" s="103" t="s">
        <v>618</v>
      </c>
      <c r="D948" s="103" t="s">
        <v>619</v>
      </c>
      <c r="E948" s="103" t="s">
        <v>578</v>
      </c>
      <c r="G948" s="103" t="s">
        <v>1647</v>
      </c>
      <c r="H948" s="103" t="s">
        <v>1816</v>
      </c>
    </row>
    <row r="949" ht="22.5" customHeight="1">
      <c r="A949" s="102">
        <v>45973.66780802084</v>
      </c>
      <c r="B949" s="103" t="s">
        <v>398</v>
      </c>
      <c r="C949" s="103" t="s">
        <v>751</v>
      </c>
      <c r="D949" s="103" t="s">
        <v>752</v>
      </c>
      <c r="E949" s="103" t="s">
        <v>420</v>
      </c>
      <c r="G949" s="103" t="s">
        <v>568</v>
      </c>
      <c r="H949" s="103" t="s">
        <v>1817</v>
      </c>
    </row>
    <row r="950" ht="22.5" customHeight="1">
      <c r="A950" s="102">
        <v>45973.66793329861</v>
      </c>
      <c r="B950" s="103" t="s">
        <v>154</v>
      </c>
      <c r="C950" s="103" t="s">
        <v>546</v>
      </c>
      <c r="D950" s="103" t="s">
        <v>435</v>
      </c>
      <c r="E950" s="103" t="s">
        <v>494</v>
      </c>
      <c r="G950" s="103" t="s">
        <v>148</v>
      </c>
      <c r="H950" s="103" t="s">
        <v>1818</v>
      </c>
    </row>
    <row r="951" ht="22.5" customHeight="1">
      <c r="A951" s="102">
        <v>45973.668166296295</v>
      </c>
      <c r="B951" s="103" t="s">
        <v>20</v>
      </c>
      <c r="C951" s="103" t="s">
        <v>754</v>
      </c>
      <c r="D951" s="103" t="s">
        <v>923</v>
      </c>
      <c r="E951" s="103" t="s">
        <v>420</v>
      </c>
      <c r="G951" s="103" t="s">
        <v>957</v>
      </c>
      <c r="H951" s="103" t="s">
        <v>1819</v>
      </c>
    </row>
    <row r="952" ht="22.5" customHeight="1">
      <c r="A952" s="102">
        <v>45973.66823415509</v>
      </c>
      <c r="B952" s="103" t="s">
        <v>356</v>
      </c>
      <c r="C952" s="103" t="s">
        <v>544</v>
      </c>
      <c r="D952" s="103" t="s">
        <v>545</v>
      </c>
      <c r="E952" s="103" t="s">
        <v>494</v>
      </c>
      <c r="G952" s="103" t="s">
        <v>495</v>
      </c>
      <c r="H952" s="103" t="s">
        <v>1820</v>
      </c>
    </row>
    <row r="953" ht="22.5" customHeight="1">
      <c r="A953" s="102">
        <v>45973.66839375</v>
      </c>
      <c r="B953" s="103" t="s">
        <v>57</v>
      </c>
      <c r="C953" s="103" t="s">
        <v>553</v>
      </c>
      <c r="D953" s="103" t="s">
        <v>554</v>
      </c>
      <c r="E953" s="103" t="s">
        <v>494</v>
      </c>
      <c r="G953" s="103" t="s">
        <v>1620</v>
      </c>
      <c r="H953" s="103" t="s">
        <v>1821</v>
      </c>
    </row>
    <row r="954" ht="22.5" customHeight="1">
      <c r="A954" s="102">
        <v>45973.66870836806</v>
      </c>
      <c r="B954" s="103" t="s">
        <v>59</v>
      </c>
      <c r="C954" s="103" t="s">
        <v>919</v>
      </c>
      <c r="D954" s="103" t="s">
        <v>548</v>
      </c>
      <c r="E954" s="103" t="s">
        <v>494</v>
      </c>
      <c r="G954" s="103" t="s">
        <v>1620</v>
      </c>
      <c r="H954" s="103" t="s">
        <v>1822</v>
      </c>
    </row>
    <row r="955" ht="22.5" customHeight="1">
      <c r="A955" s="102">
        <v>45973.66879111111</v>
      </c>
      <c r="B955" s="103" t="s">
        <v>55</v>
      </c>
      <c r="C955" s="103" t="s">
        <v>1823</v>
      </c>
      <c r="D955" s="103" t="s">
        <v>1108</v>
      </c>
      <c r="E955" s="103" t="s">
        <v>494</v>
      </c>
      <c r="G955" s="103" t="s">
        <v>1824</v>
      </c>
      <c r="H955" s="103" t="s">
        <v>1825</v>
      </c>
    </row>
    <row r="956" ht="22.5" customHeight="1">
      <c r="A956" s="102">
        <v>45973.66920337963</v>
      </c>
      <c r="B956" s="103" t="s">
        <v>341</v>
      </c>
      <c r="C956" s="103" t="s">
        <v>1047</v>
      </c>
      <c r="D956" s="103" t="s">
        <v>1048</v>
      </c>
      <c r="E956" s="103" t="s">
        <v>494</v>
      </c>
      <c r="G956" s="103" t="s">
        <v>1717</v>
      </c>
      <c r="H956" s="103" t="s">
        <v>1826</v>
      </c>
    </row>
    <row r="957" ht="22.5" customHeight="1">
      <c r="A957" s="102">
        <v>45973.669456585645</v>
      </c>
      <c r="B957" s="103" t="s">
        <v>14</v>
      </c>
      <c r="C957" s="103" t="s">
        <v>718</v>
      </c>
      <c r="D957" s="103" t="s">
        <v>719</v>
      </c>
      <c r="E957" s="103" t="s">
        <v>578</v>
      </c>
      <c r="G957" s="103" t="s">
        <v>1006</v>
      </c>
      <c r="H957" s="103" t="s">
        <v>1827</v>
      </c>
    </row>
    <row r="958" ht="22.5" customHeight="1">
      <c r="A958" s="102">
        <v>45973.6700153125</v>
      </c>
      <c r="B958" s="103" t="s">
        <v>46</v>
      </c>
      <c r="C958" s="103" t="s">
        <v>797</v>
      </c>
      <c r="D958" s="103" t="s">
        <v>798</v>
      </c>
      <c r="E958" s="103" t="s">
        <v>420</v>
      </c>
      <c r="G958" s="103" t="s">
        <v>1029</v>
      </c>
      <c r="H958" s="103" t="s">
        <v>1781</v>
      </c>
    </row>
    <row r="959" ht="22.5" customHeight="1">
      <c r="A959" s="102">
        <v>45973.6709371412</v>
      </c>
      <c r="B959" s="103" t="s">
        <v>343</v>
      </c>
      <c r="C959" s="103" t="s">
        <v>1346</v>
      </c>
      <c r="D959" s="103" t="s">
        <v>632</v>
      </c>
      <c r="E959" s="103" t="s">
        <v>494</v>
      </c>
      <c r="G959" s="103" t="s">
        <v>695</v>
      </c>
      <c r="H959" s="103" t="s">
        <v>1828</v>
      </c>
    </row>
    <row r="960" ht="22.5" customHeight="1">
      <c r="A960" s="102">
        <v>45973.671031122685</v>
      </c>
      <c r="B960" s="103" t="s">
        <v>261</v>
      </c>
      <c r="C960" s="103" t="s">
        <v>1210</v>
      </c>
      <c r="D960" s="103" t="s">
        <v>1211</v>
      </c>
      <c r="E960" s="103" t="s">
        <v>639</v>
      </c>
      <c r="G960" s="103" t="s">
        <v>809</v>
      </c>
      <c r="H960" s="103" t="s">
        <v>1829</v>
      </c>
    </row>
    <row r="961" ht="22.5" customHeight="1">
      <c r="A961" s="102">
        <v>45973.67131730324</v>
      </c>
      <c r="B961" s="103" t="s">
        <v>391</v>
      </c>
      <c r="C961" s="103" t="s">
        <v>472</v>
      </c>
      <c r="D961" s="103" t="s">
        <v>473</v>
      </c>
      <c r="E961" s="103" t="s">
        <v>427</v>
      </c>
      <c r="G961" s="103" t="s">
        <v>474</v>
      </c>
      <c r="H961" s="103" t="s">
        <v>1781</v>
      </c>
    </row>
    <row r="962" ht="22.5" customHeight="1">
      <c r="A962" s="102">
        <v>45973.671992407406</v>
      </c>
      <c r="B962" s="103" t="s">
        <v>272</v>
      </c>
      <c r="C962" s="103" t="s">
        <v>1830</v>
      </c>
      <c r="D962" s="103" t="s">
        <v>1831</v>
      </c>
      <c r="E962" s="103" t="s">
        <v>450</v>
      </c>
      <c r="G962" s="103" t="s">
        <v>648</v>
      </c>
      <c r="H962" s="103" t="s">
        <v>1832</v>
      </c>
    </row>
    <row r="963" ht="22.5" customHeight="1">
      <c r="A963" s="102">
        <v>45973.67466070602</v>
      </c>
      <c r="B963" s="103" t="s">
        <v>51</v>
      </c>
      <c r="C963" s="103" t="s">
        <v>572</v>
      </c>
      <c r="D963" s="103" t="s">
        <v>573</v>
      </c>
      <c r="E963" s="103" t="s">
        <v>427</v>
      </c>
      <c r="G963" s="103" t="s">
        <v>574</v>
      </c>
      <c r="H963" s="103" t="s">
        <v>1833</v>
      </c>
    </row>
    <row r="964" ht="22.5" customHeight="1">
      <c r="A964" s="102">
        <v>45973.6774668287</v>
      </c>
      <c r="B964" s="103" t="s">
        <v>350</v>
      </c>
      <c r="C964" s="103" t="s">
        <v>807</v>
      </c>
      <c r="D964" s="103" t="s">
        <v>808</v>
      </c>
      <c r="E964" s="103" t="s">
        <v>420</v>
      </c>
      <c r="G964" s="103" t="s">
        <v>495</v>
      </c>
      <c r="H964" s="103" t="s">
        <v>1834</v>
      </c>
    </row>
    <row r="965" ht="22.5" customHeight="1">
      <c r="A965" s="102">
        <v>45973.68296670139</v>
      </c>
      <c r="B965" s="103" t="s">
        <v>143</v>
      </c>
      <c r="C965" s="103" t="s">
        <v>1835</v>
      </c>
      <c r="D965" s="103" t="s">
        <v>1836</v>
      </c>
      <c r="E965" s="103" t="s">
        <v>450</v>
      </c>
      <c r="G965" s="103" t="s">
        <v>137</v>
      </c>
      <c r="H965" s="103" t="s">
        <v>1837</v>
      </c>
    </row>
    <row r="966" ht="22.5" customHeight="1">
      <c r="A966" s="102">
        <v>45973.6915805787</v>
      </c>
      <c r="B966" s="103" t="s">
        <v>68</v>
      </c>
      <c r="C966" s="103" t="s">
        <v>825</v>
      </c>
      <c r="D966" s="103" t="s">
        <v>515</v>
      </c>
      <c r="E966" s="103" t="s">
        <v>639</v>
      </c>
      <c r="G966" s="103" t="s">
        <v>1838</v>
      </c>
      <c r="H966" s="103" t="s">
        <v>1737</v>
      </c>
    </row>
    <row r="967" ht="22.5" customHeight="1">
      <c r="A967" s="102">
        <v>45973.69238061343</v>
      </c>
      <c r="B967" s="103" t="s">
        <v>291</v>
      </c>
      <c r="C967" s="103" t="s">
        <v>682</v>
      </c>
      <c r="D967" s="103" t="s">
        <v>683</v>
      </c>
      <c r="E967" s="103" t="s">
        <v>450</v>
      </c>
      <c r="G967" s="103" t="s">
        <v>478</v>
      </c>
      <c r="H967" s="103" t="s">
        <v>1839</v>
      </c>
    </row>
    <row r="968" ht="22.5" customHeight="1">
      <c r="A968" s="102">
        <v>45973.72474771991</v>
      </c>
      <c r="B968" s="103" t="s">
        <v>115</v>
      </c>
      <c r="C968" s="103" t="s">
        <v>489</v>
      </c>
      <c r="D968" s="103" t="s">
        <v>490</v>
      </c>
      <c r="E968" s="103" t="s">
        <v>450</v>
      </c>
      <c r="G968" s="103" t="s">
        <v>113</v>
      </c>
      <c r="H968" s="103" t="s">
        <v>1840</v>
      </c>
    </row>
    <row r="969" ht="22.5" customHeight="1">
      <c r="A969" s="102">
        <v>45973.72598668981</v>
      </c>
      <c r="B969" s="103" t="s">
        <v>115</v>
      </c>
      <c r="C969" s="103" t="s">
        <v>489</v>
      </c>
      <c r="D969" s="103" t="s">
        <v>490</v>
      </c>
      <c r="E969" s="103" t="s">
        <v>450</v>
      </c>
      <c r="G969" s="103" t="s">
        <v>1364</v>
      </c>
      <c r="H969" s="103" t="s">
        <v>1841</v>
      </c>
    </row>
    <row r="970" ht="22.5" customHeight="1">
      <c r="A970" s="102">
        <v>45975.55822295139</v>
      </c>
      <c r="B970" s="103" t="s">
        <v>104</v>
      </c>
      <c r="C970" s="103" t="s">
        <v>522</v>
      </c>
      <c r="D970" s="103" t="s">
        <v>523</v>
      </c>
      <c r="E970" s="103" t="s">
        <v>494</v>
      </c>
      <c r="G970" s="103" t="s">
        <v>98</v>
      </c>
      <c r="H970" s="103" t="s">
        <v>416</v>
      </c>
    </row>
    <row r="971" ht="22.5" customHeight="1">
      <c r="A971" s="102">
        <v>45980.666081076386</v>
      </c>
      <c r="B971" s="103" t="s">
        <v>304</v>
      </c>
      <c r="C971" s="103" t="s">
        <v>887</v>
      </c>
      <c r="D971" s="103" t="s">
        <v>888</v>
      </c>
      <c r="E971" s="103" t="s">
        <v>578</v>
      </c>
      <c r="G971" s="103" t="s">
        <v>1842</v>
      </c>
      <c r="H971" s="103" t="s">
        <v>1843</v>
      </c>
    </row>
    <row r="972" ht="22.5" customHeight="1">
      <c r="A972" s="102">
        <v>45980.666105254626</v>
      </c>
      <c r="B972" s="103" t="s">
        <v>163</v>
      </c>
      <c r="C972" s="103" t="s">
        <v>425</v>
      </c>
      <c r="D972" s="103" t="s">
        <v>895</v>
      </c>
      <c r="E972" s="103" t="s">
        <v>639</v>
      </c>
      <c r="G972" s="103" t="s">
        <v>161</v>
      </c>
      <c r="H972" s="103" t="s">
        <v>1844</v>
      </c>
    </row>
    <row r="973" ht="22.5" customHeight="1">
      <c r="A973" s="102">
        <v>45980.66615346065</v>
      </c>
      <c r="B973" s="103" t="s">
        <v>27</v>
      </c>
      <c r="C973" s="103" t="s">
        <v>1098</v>
      </c>
      <c r="D973" s="103" t="s">
        <v>947</v>
      </c>
      <c r="E973" s="103" t="s">
        <v>578</v>
      </c>
      <c r="G973" s="103" t="s">
        <v>912</v>
      </c>
      <c r="H973" s="103" t="s">
        <v>1845</v>
      </c>
    </row>
    <row r="974" ht="22.5" customHeight="1">
      <c r="A974" s="102">
        <v>45980.66620364583</v>
      </c>
      <c r="B974" s="103" t="s">
        <v>235</v>
      </c>
      <c r="C974" s="103" t="s">
        <v>890</v>
      </c>
      <c r="D974" s="103" t="s">
        <v>891</v>
      </c>
      <c r="E974" s="103" t="s">
        <v>578</v>
      </c>
      <c r="G974" s="103" t="s">
        <v>892</v>
      </c>
      <c r="H974" s="103" t="s">
        <v>1846</v>
      </c>
    </row>
    <row r="975" ht="22.5" customHeight="1">
      <c r="A975" s="102">
        <v>45980.66620825231</v>
      </c>
      <c r="B975" s="103" t="s">
        <v>193</v>
      </c>
      <c r="C975" s="103" t="s">
        <v>1530</v>
      </c>
      <c r="D975" s="103" t="s">
        <v>550</v>
      </c>
      <c r="E975" s="103" t="s">
        <v>578</v>
      </c>
      <c r="G975" s="103" t="s">
        <v>551</v>
      </c>
      <c r="H975" s="103" t="s">
        <v>1847</v>
      </c>
    </row>
    <row r="976" ht="22.5" customHeight="1">
      <c r="A976" s="102">
        <v>45980.66620978009</v>
      </c>
      <c r="B976" s="103" t="s">
        <v>208</v>
      </c>
      <c r="C976" s="103" t="s">
        <v>701</v>
      </c>
      <c r="D976" s="103" t="s">
        <v>1022</v>
      </c>
      <c r="E976" s="103" t="s">
        <v>578</v>
      </c>
      <c r="G976" s="103" t="s">
        <v>620</v>
      </c>
      <c r="H976" s="103" t="s">
        <v>1848</v>
      </c>
    </row>
    <row r="977" ht="22.5" customHeight="1">
      <c r="A977" s="102">
        <v>45980.666213969904</v>
      </c>
      <c r="B977" s="103" t="s">
        <v>176</v>
      </c>
      <c r="C977" s="103" t="s">
        <v>1431</v>
      </c>
      <c r="D977" s="103" t="s">
        <v>658</v>
      </c>
      <c r="E977" s="103" t="s">
        <v>578</v>
      </c>
      <c r="G977" s="103" t="s">
        <v>1217</v>
      </c>
      <c r="H977" s="103" t="s">
        <v>1849</v>
      </c>
    </row>
    <row r="978" ht="22.5" customHeight="1">
      <c r="A978" s="102">
        <v>45980.66623212963</v>
      </c>
      <c r="B978" s="103" t="s">
        <v>79</v>
      </c>
      <c r="C978" s="103" t="s">
        <v>444</v>
      </c>
      <c r="D978" s="103" t="s">
        <v>430</v>
      </c>
      <c r="E978" s="103" t="s">
        <v>578</v>
      </c>
      <c r="G978" s="103" t="s">
        <v>71</v>
      </c>
      <c r="H978" s="103" t="s">
        <v>1850</v>
      </c>
    </row>
    <row r="979" ht="22.5" customHeight="1">
      <c r="A979" s="102">
        <v>45980.666239618055</v>
      </c>
      <c r="B979" s="103" t="s">
        <v>55</v>
      </c>
      <c r="C979" s="103" t="s">
        <v>562</v>
      </c>
      <c r="D979" s="103" t="s">
        <v>983</v>
      </c>
      <c r="E979" s="103" t="s">
        <v>494</v>
      </c>
      <c r="G979" s="103" t="s">
        <v>1824</v>
      </c>
      <c r="H979" s="103" t="s">
        <v>1851</v>
      </c>
    </row>
    <row r="980" ht="22.5" customHeight="1">
      <c r="A980" s="102">
        <v>45980.66624630787</v>
      </c>
      <c r="B980" s="103" t="s">
        <v>206</v>
      </c>
      <c r="C980" s="103" t="s">
        <v>1852</v>
      </c>
      <c r="D980" s="103" t="s">
        <v>1018</v>
      </c>
      <c r="E980" s="103" t="s">
        <v>578</v>
      </c>
      <c r="G980" s="103" t="s">
        <v>1019</v>
      </c>
      <c r="H980" s="103" t="s">
        <v>1853</v>
      </c>
    </row>
    <row r="981" ht="22.5" customHeight="1">
      <c r="A981" s="102">
        <v>45980.666246493056</v>
      </c>
      <c r="B981" s="103" t="s">
        <v>48</v>
      </c>
      <c r="C981" s="103" t="s">
        <v>1854</v>
      </c>
      <c r="D981" s="103" t="s">
        <v>833</v>
      </c>
      <c r="E981" s="103" t="s">
        <v>420</v>
      </c>
      <c r="G981" s="103" t="s">
        <v>49</v>
      </c>
      <c r="H981" s="103" t="s">
        <v>1855</v>
      </c>
    </row>
    <row r="982" ht="22.5" customHeight="1">
      <c r="A982" s="102">
        <v>45980.66625461806</v>
      </c>
      <c r="B982" s="103" t="s">
        <v>165</v>
      </c>
      <c r="C982" s="103" t="s">
        <v>847</v>
      </c>
      <c r="D982" s="103" t="s">
        <v>848</v>
      </c>
      <c r="E982" s="103" t="s">
        <v>578</v>
      </c>
      <c r="G982" s="103" t="s">
        <v>445</v>
      </c>
      <c r="H982" s="103" t="s">
        <v>1856</v>
      </c>
    </row>
    <row r="983" ht="22.5" customHeight="1">
      <c r="A983" s="102">
        <v>45980.666261736114</v>
      </c>
      <c r="B983" s="103" t="s">
        <v>160</v>
      </c>
      <c r="C983" s="103" t="s">
        <v>631</v>
      </c>
      <c r="D983" s="103" t="s">
        <v>870</v>
      </c>
      <c r="E983" s="103" t="s">
        <v>420</v>
      </c>
      <c r="G983" s="103" t="s">
        <v>161</v>
      </c>
      <c r="H983" s="103" t="s">
        <v>1857</v>
      </c>
    </row>
    <row r="984" ht="22.5" customHeight="1">
      <c r="A984" s="102">
        <v>45980.66628038195</v>
      </c>
      <c r="B984" s="103" t="s">
        <v>200</v>
      </c>
      <c r="C984" s="103" t="s">
        <v>950</v>
      </c>
      <c r="D984" s="103" t="s">
        <v>588</v>
      </c>
      <c r="E984" s="103" t="s">
        <v>578</v>
      </c>
      <c r="G984" s="103" t="s">
        <v>198</v>
      </c>
      <c r="H984" s="103" t="s">
        <v>1848</v>
      </c>
    </row>
    <row r="985" ht="22.5" customHeight="1">
      <c r="A985" s="102">
        <v>45980.66629465278</v>
      </c>
      <c r="B985" s="103" t="s">
        <v>110</v>
      </c>
      <c r="C985" s="103" t="s">
        <v>514</v>
      </c>
      <c r="D985" s="103" t="s">
        <v>515</v>
      </c>
      <c r="E985" s="103" t="s">
        <v>420</v>
      </c>
      <c r="G985" s="103" t="s">
        <v>944</v>
      </c>
      <c r="H985" s="103" t="s">
        <v>1858</v>
      </c>
    </row>
    <row r="986" ht="22.5" customHeight="1">
      <c r="A986" s="102">
        <v>45980.666302060185</v>
      </c>
      <c r="B986" s="103" t="s">
        <v>18</v>
      </c>
      <c r="C986" s="103" t="s">
        <v>811</v>
      </c>
      <c r="D986" s="103" t="s">
        <v>812</v>
      </c>
      <c r="E986" s="103" t="s">
        <v>494</v>
      </c>
      <c r="G986" s="103" t="s">
        <v>1859</v>
      </c>
      <c r="H986" s="103" t="s">
        <v>1860</v>
      </c>
    </row>
    <row r="987" ht="22.5" customHeight="1">
      <c r="A987" s="102">
        <v>45980.6663055324</v>
      </c>
      <c r="B987" s="103" t="s">
        <v>53</v>
      </c>
      <c r="C987" s="103" t="s">
        <v>1104</v>
      </c>
      <c r="D987" s="103" t="s">
        <v>1105</v>
      </c>
      <c r="E987" s="103" t="s">
        <v>494</v>
      </c>
      <c r="G987" s="103" t="s">
        <v>49</v>
      </c>
      <c r="H987" s="103" t="s">
        <v>1861</v>
      </c>
    </row>
    <row r="988" ht="22.5" customHeight="1">
      <c r="A988" s="102">
        <v>45980.66631274305</v>
      </c>
      <c r="B988" s="103" t="s">
        <v>150</v>
      </c>
      <c r="C988" s="103" t="s">
        <v>774</v>
      </c>
      <c r="D988" s="103" t="s">
        <v>775</v>
      </c>
      <c r="E988" s="103" t="s">
        <v>578</v>
      </c>
      <c r="G988" s="103" t="s">
        <v>148</v>
      </c>
      <c r="H988" s="103" t="s">
        <v>1862</v>
      </c>
    </row>
    <row r="989" ht="22.5" customHeight="1">
      <c r="A989" s="102">
        <v>45980.66632005787</v>
      </c>
      <c r="B989" s="103" t="s">
        <v>88</v>
      </c>
      <c r="C989" s="103" t="s">
        <v>843</v>
      </c>
      <c r="D989" s="103" t="s">
        <v>844</v>
      </c>
      <c r="E989" s="103" t="s">
        <v>494</v>
      </c>
      <c r="G989" s="103" t="s">
        <v>532</v>
      </c>
      <c r="H989" s="103" t="s">
        <v>1863</v>
      </c>
    </row>
    <row r="990" ht="22.5" customHeight="1">
      <c r="A990" s="102">
        <v>45980.6663206713</v>
      </c>
      <c r="B990" s="103" t="s">
        <v>136</v>
      </c>
      <c r="C990" s="103" t="s">
        <v>587</v>
      </c>
      <c r="D990" s="103" t="s">
        <v>588</v>
      </c>
      <c r="E990" s="103" t="s">
        <v>494</v>
      </c>
      <c r="G990" s="103" t="s">
        <v>1672</v>
      </c>
      <c r="H990" s="103" t="s">
        <v>1864</v>
      </c>
    </row>
    <row r="991" ht="22.5" customHeight="1">
      <c r="A991" s="102">
        <v>45980.66632615741</v>
      </c>
      <c r="B991" s="103" t="s">
        <v>61</v>
      </c>
      <c r="C991" s="103" t="s">
        <v>741</v>
      </c>
      <c r="D991" s="103" t="s">
        <v>761</v>
      </c>
      <c r="E991" s="103" t="s">
        <v>420</v>
      </c>
      <c r="G991" s="103" t="s">
        <v>762</v>
      </c>
      <c r="H991" s="103" t="s">
        <v>1865</v>
      </c>
    </row>
    <row r="992" ht="22.5" customHeight="1">
      <c r="A992" s="102">
        <v>45980.66632959491</v>
      </c>
      <c r="B992" s="103" t="s">
        <v>178</v>
      </c>
      <c r="C992" s="103" t="s">
        <v>1216</v>
      </c>
      <c r="D992" s="103" t="s">
        <v>689</v>
      </c>
      <c r="E992" s="103" t="s">
        <v>494</v>
      </c>
      <c r="G992" s="103" t="s">
        <v>172</v>
      </c>
      <c r="H992" s="103" t="s">
        <v>1866</v>
      </c>
    </row>
    <row r="993" ht="22.5" customHeight="1">
      <c r="A993" s="102">
        <v>45980.6663352662</v>
      </c>
      <c r="B993" s="103" t="s">
        <v>9</v>
      </c>
      <c r="C993" s="103" t="s">
        <v>576</v>
      </c>
      <c r="D993" s="103" t="s">
        <v>577</v>
      </c>
      <c r="E993" s="103" t="s">
        <v>494</v>
      </c>
      <c r="G993" s="103" t="s">
        <v>10</v>
      </c>
      <c r="H993" s="103" t="s">
        <v>1867</v>
      </c>
    </row>
    <row r="994" ht="22.5" customHeight="1">
      <c r="A994" s="102">
        <v>45980.66634270833</v>
      </c>
      <c r="B994" s="103" t="s">
        <v>242</v>
      </c>
      <c r="C994" s="103" t="s">
        <v>679</v>
      </c>
      <c r="D994" s="103" t="s">
        <v>680</v>
      </c>
      <c r="E994" s="103" t="s">
        <v>578</v>
      </c>
      <c r="G994" s="103" t="s">
        <v>240</v>
      </c>
      <c r="H994" s="103" t="s">
        <v>1868</v>
      </c>
    </row>
    <row r="995" ht="22.5" customHeight="1">
      <c r="A995" s="102">
        <v>45980.66634335648</v>
      </c>
      <c r="B995" s="103" t="s">
        <v>167</v>
      </c>
      <c r="C995" s="103" t="s">
        <v>599</v>
      </c>
      <c r="D995" s="103" t="s">
        <v>600</v>
      </c>
      <c r="E995" s="103" t="s">
        <v>420</v>
      </c>
      <c r="G995" s="103" t="s">
        <v>161</v>
      </c>
      <c r="H995" s="103" t="s">
        <v>1869</v>
      </c>
    </row>
    <row r="996" ht="22.5" customHeight="1">
      <c r="A996" s="102">
        <v>45980.66635039352</v>
      </c>
      <c r="B996" s="103" t="s">
        <v>123</v>
      </c>
      <c r="C996" s="103" t="s">
        <v>1602</v>
      </c>
      <c r="D996" s="103" t="s">
        <v>654</v>
      </c>
      <c r="E996" s="103" t="s">
        <v>639</v>
      </c>
      <c r="G996" s="103" t="s">
        <v>124</v>
      </c>
      <c r="H996" s="103" t="s">
        <v>1870</v>
      </c>
    </row>
    <row r="997" ht="22.5" customHeight="1">
      <c r="A997" s="102">
        <v>45980.66635670139</v>
      </c>
      <c r="B997" s="103" t="s">
        <v>134</v>
      </c>
      <c r="C997" s="103" t="s">
        <v>643</v>
      </c>
      <c r="D997" s="103" t="s">
        <v>644</v>
      </c>
      <c r="E997" s="103" t="s">
        <v>420</v>
      </c>
      <c r="G997" s="103" t="s">
        <v>124</v>
      </c>
      <c r="H997" s="103" t="s">
        <v>1871</v>
      </c>
    </row>
    <row r="998" ht="22.5" customHeight="1">
      <c r="A998" s="102">
        <v>45980.66635782407</v>
      </c>
      <c r="B998" s="103" t="s">
        <v>108</v>
      </c>
      <c r="C998" s="103" t="s">
        <v>525</v>
      </c>
      <c r="D998" s="103" t="s">
        <v>526</v>
      </c>
      <c r="E998" s="103" t="s">
        <v>420</v>
      </c>
      <c r="G998" s="103" t="s">
        <v>527</v>
      </c>
      <c r="H998" s="103" t="s">
        <v>1872</v>
      </c>
    </row>
    <row r="999" ht="22.5" customHeight="1">
      <c r="A999" s="102">
        <v>45980.666374305554</v>
      </c>
      <c r="B999" s="103" t="s">
        <v>308</v>
      </c>
      <c r="C999" s="103" t="s">
        <v>685</v>
      </c>
      <c r="D999" s="103" t="s">
        <v>686</v>
      </c>
      <c r="E999" s="103" t="s">
        <v>450</v>
      </c>
      <c r="G999" s="103" t="s">
        <v>1873</v>
      </c>
      <c r="H999" s="103" t="s">
        <v>1874</v>
      </c>
    </row>
    <row r="1000" ht="22.5" customHeight="1">
      <c r="A1000" s="102">
        <v>45980.66637489584</v>
      </c>
      <c r="B1000" s="103" t="s">
        <v>64</v>
      </c>
      <c r="C1000" s="103" t="s">
        <v>1089</v>
      </c>
      <c r="D1000" s="103" t="s">
        <v>1090</v>
      </c>
      <c r="E1000" s="103" t="s">
        <v>420</v>
      </c>
      <c r="G1000" s="103" t="s">
        <v>62</v>
      </c>
      <c r="H1000" s="103" t="s">
        <v>1875</v>
      </c>
    </row>
    <row r="1001" ht="22.5" customHeight="1">
      <c r="A1001" s="102">
        <v>45980.666380104165</v>
      </c>
      <c r="B1001" s="103" t="s">
        <v>156</v>
      </c>
      <c r="C1001" s="103" t="s">
        <v>528</v>
      </c>
      <c r="D1001" s="103" t="s">
        <v>529</v>
      </c>
      <c r="E1001" s="103" t="s">
        <v>494</v>
      </c>
      <c r="G1001" s="103" t="s">
        <v>148</v>
      </c>
      <c r="H1001" s="103" t="s">
        <v>1876</v>
      </c>
    </row>
    <row r="1002" ht="22.5" customHeight="1">
      <c r="A1002" s="102">
        <v>45980.666381620365</v>
      </c>
      <c r="B1002" s="103" t="s">
        <v>197</v>
      </c>
      <c r="C1002" s="103" t="s">
        <v>618</v>
      </c>
      <c r="D1002" s="103" t="s">
        <v>619</v>
      </c>
      <c r="E1002" s="103" t="s">
        <v>578</v>
      </c>
      <c r="G1002" s="103" t="s">
        <v>1877</v>
      </c>
      <c r="H1002" s="103" t="s">
        <v>1878</v>
      </c>
    </row>
    <row r="1003" ht="22.5" customHeight="1">
      <c r="A1003" s="102">
        <v>45980.66640444445</v>
      </c>
      <c r="B1003" s="103" t="s">
        <v>130</v>
      </c>
      <c r="C1003" s="103" t="s">
        <v>557</v>
      </c>
      <c r="D1003" s="103" t="s">
        <v>558</v>
      </c>
      <c r="E1003" s="103" t="s">
        <v>639</v>
      </c>
      <c r="G1003" s="103" t="s">
        <v>124</v>
      </c>
      <c r="H1003" s="103" t="s">
        <v>1879</v>
      </c>
    </row>
    <row r="1004" ht="22.5" customHeight="1">
      <c r="A1004" s="102">
        <v>45980.66641685185</v>
      </c>
      <c r="B1004" s="103" t="s">
        <v>57</v>
      </c>
      <c r="C1004" s="103" t="s">
        <v>553</v>
      </c>
      <c r="D1004" s="103" t="s">
        <v>554</v>
      </c>
      <c r="E1004" s="103" t="s">
        <v>494</v>
      </c>
      <c r="G1004" s="103" t="s">
        <v>49</v>
      </c>
      <c r="H1004" s="103" t="s">
        <v>1880</v>
      </c>
    </row>
    <row r="1005" ht="22.5" customHeight="1">
      <c r="A1005" s="102">
        <v>45980.66643142361</v>
      </c>
      <c r="B1005" s="103" t="s">
        <v>90</v>
      </c>
      <c r="C1005" s="103" t="s">
        <v>418</v>
      </c>
      <c r="D1005" s="103" t="s">
        <v>419</v>
      </c>
      <c r="E1005" s="103" t="s">
        <v>494</v>
      </c>
      <c r="G1005" s="103" t="s">
        <v>84</v>
      </c>
      <c r="H1005" s="103" t="s">
        <v>1881</v>
      </c>
    </row>
    <row r="1006" ht="22.5" customHeight="1">
      <c r="A1006" s="102">
        <v>45980.66643261574</v>
      </c>
      <c r="B1006" s="103" t="s">
        <v>226</v>
      </c>
      <c r="C1006" s="103" t="s">
        <v>794</v>
      </c>
      <c r="D1006" s="103" t="s">
        <v>581</v>
      </c>
      <c r="E1006" s="103" t="s">
        <v>578</v>
      </c>
      <c r="G1006" s="103" t="s">
        <v>1882</v>
      </c>
      <c r="H1006" s="103" t="s">
        <v>1883</v>
      </c>
    </row>
    <row r="1007" ht="22.5" customHeight="1">
      <c r="A1007" s="102">
        <v>45980.6664456713</v>
      </c>
      <c r="B1007" s="103" t="s">
        <v>189</v>
      </c>
      <c r="C1007" s="103" t="s">
        <v>561</v>
      </c>
      <c r="D1007" s="103" t="s">
        <v>431</v>
      </c>
      <c r="E1007" s="103" t="s">
        <v>578</v>
      </c>
      <c r="G1007" s="103" t="s">
        <v>503</v>
      </c>
      <c r="H1007" s="103" t="s">
        <v>1884</v>
      </c>
    </row>
    <row r="1008" ht="22.5" customHeight="1">
      <c r="A1008" s="102">
        <v>45980.66644699074</v>
      </c>
      <c r="B1008" s="103" t="s">
        <v>246</v>
      </c>
      <c r="C1008" s="103" t="s">
        <v>703</v>
      </c>
      <c r="D1008" s="103" t="s">
        <v>704</v>
      </c>
      <c r="E1008" s="103" t="s">
        <v>578</v>
      </c>
      <c r="G1008" s="103" t="s">
        <v>1483</v>
      </c>
      <c r="H1008" s="103" t="s">
        <v>1885</v>
      </c>
    </row>
    <row r="1009" ht="22.5" customHeight="1">
      <c r="A1009" s="102">
        <v>45980.66644726852</v>
      </c>
      <c r="B1009" s="103" t="s">
        <v>215</v>
      </c>
      <c r="C1009" s="103" t="s">
        <v>452</v>
      </c>
      <c r="D1009" s="103" t="s">
        <v>453</v>
      </c>
      <c r="E1009" s="103" t="s">
        <v>494</v>
      </c>
      <c r="G1009" s="103" t="s">
        <v>820</v>
      </c>
      <c r="H1009" s="103" t="s">
        <v>1886</v>
      </c>
    </row>
    <row r="1010" ht="22.5" customHeight="1">
      <c r="A1010" s="102">
        <v>45980.66645984954</v>
      </c>
      <c r="B1010" s="103" t="s">
        <v>252</v>
      </c>
      <c r="C1010" s="103" t="s">
        <v>901</v>
      </c>
      <c r="D1010" s="103" t="s">
        <v>614</v>
      </c>
      <c r="E1010" s="103" t="s">
        <v>578</v>
      </c>
      <c r="G1010" s="103" t="s">
        <v>615</v>
      </c>
      <c r="H1010" s="103" t="s">
        <v>1887</v>
      </c>
    </row>
    <row r="1011" ht="22.5" customHeight="1">
      <c r="A1011" s="102">
        <v>45980.66646422454</v>
      </c>
      <c r="B1011" s="103" t="s">
        <v>191</v>
      </c>
      <c r="C1011" s="103" t="s">
        <v>512</v>
      </c>
      <c r="D1011" s="103" t="s">
        <v>513</v>
      </c>
      <c r="E1011" s="103" t="s">
        <v>578</v>
      </c>
      <c r="G1011" s="103" t="s">
        <v>185</v>
      </c>
      <c r="H1011" s="103" t="s">
        <v>1888</v>
      </c>
    </row>
    <row r="1012" ht="22.5" customHeight="1">
      <c r="A1012" s="102">
        <v>45980.66647920139</v>
      </c>
      <c r="B1012" s="103" t="s">
        <v>81</v>
      </c>
      <c r="C1012" s="103" t="s">
        <v>569</v>
      </c>
      <c r="D1012" s="103" t="s">
        <v>461</v>
      </c>
      <c r="E1012" s="103" t="s">
        <v>494</v>
      </c>
      <c r="G1012" s="103" t="s">
        <v>71</v>
      </c>
      <c r="H1012" s="103" t="s">
        <v>1889</v>
      </c>
    </row>
    <row r="1013" ht="22.5" customHeight="1">
      <c r="A1013" s="102">
        <v>45980.666480555556</v>
      </c>
      <c r="B1013" s="103" t="s">
        <v>171</v>
      </c>
      <c r="C1013" s="103" t="s">
        <v>609</v>
      </c>
      <c r="D1013" s="103" t="s">
        <v>610</v>
      </c>
      <c r="E1013" s="103" t="s">
        <v>420</v>
      </c>
      <c r="G1013" s="103" t="s">
        <v>172</v>
      </c>
      <c r="H1013" s="103" t="s">
        <v>1890</v>
      </c>
    </row>
    <row r="1014" ht="22.5" customHeight="1">
      <c r="A1014" s="102">
        <v>45980.66648842592</v>
      </c>
      <c r="B1014" s="103" t="s">
        <v>51</v>
      </c>
      <c r="C1014" s="103" t="s">
        <v>572</v>
      </c>
      <c r="D1014" s="103" t="s">
        <v>573</v>
      </c>
      <c r="E1014" s="103" t="s">
        <v>494</v>
      </c>
      <c r="G1014" s="103" t="s">
        <v>574</v>
      </c>
      <c r="H1014" s="103" t="s">
        <v>1891</v>
      </c>
    </row>
    <row r="1015" ht="22.5" customHeight="1">
      <c r="A1015" s="102">
        <v>45980.66648980324</v>
      </c>
      <c r="B1015" s="103" t="s">
        <v>239</v>
      </c>
      <c r="C1015" s="103" t="s">
        <v>725</v>
      </c>
      <c r="D1015" s="103" t="s">
        <v>1892</v>
      </c>
      <c r="E1015" s="103" t="s">
        <v>494</v>
      </c>
      <c r="G1015" s="103" t="s">
        <v>240</v>
      </c>
      <c r="H1015" s="103" t="s">
        <v>1893</v>
      </c>
    </row>
    <row r="1016" ht="22.5" customHeight="1">
      <c r="A1016" s="102">
        <v>45980.66649383101</v>
      </c>
      <c r="B1016" s="103" t="s">
        <v>184</v>
      </c>
      <c r="C1016" s="103" t="s">
        <v>865</v>
      </c>
      <c r="D1016" s="103" t="s">
        <v>866</v>
      </c>
      <c r="E1016" s="103" t="s">
        <v>578</v>
      </c>
      <c r="G1016" s="103" t="s">
        <v>1894</v>
      </c>
      <c r="H1016" s="103" t="s">
        <v>1895</v>
      </c>
    </row>
    <row r="1017" ht="22.5" customHeight="1">
      <c r="A1017" s="102">
        <v>45980.66650680556</v>
      </c>
      <c r="B1017" s="103" t="s">
        <v>248</v>
      </c>
      <c r="C1017" s="103" t="s">
        <v>1896</v>
      </c>
      <c r="D1017" s="103" t="s">
        <v>1897</v>
      </c>
      <c r="E1017" s="103" t="s">
        <v>578</v>
      </c>
      <c r="G1017" s="103" t="s">
        <v>240</v>
      </c>
      <c r="H1017" s="103" t="s">
        <v>1898</v>
      </c>
    </row>
    <row r="1018" ht="22.5" customHeight="1">
      <c r="A1018" s="102">
        <v>45980.66651207176</v>
      </c>
      <c r="B1018" s="103" t="s">
        <v>66</v>
      </c>
      <c r="C1018" s="103" t="s">
        <v>668</v>
      </c>
      <c r="D1018" s="103" t="s">
        <v>795</v>
      </c>
      <c r="E1018" s="103" t="s">
        <v>420</v>
      </c>
      <c r="G1018" s="103" t="s">
        <v>62</v>
      </c>
      <c r="H1018" s="103" t="s">
        <v>1899</v>
      </c>
    </row>
    <row r="1019" ht="22.5" customHeight="1">
      <c r="A1019" s="102">
        <v>45980.66651865741</v>
      </c>
      <c r="B1019" s="103" t="s">
        <v>213</v>
      </c>
      <c r="C1019" s="103" t="s">
        <v>728</v>
      </c>
      <c r="D1019" s="103" t="s">
        <v>729</v>
      </c>
      <c r="E1019" s="103" t="s">
        <v>578</v>
      </c>
      <c r="G1019" s="103" t="s">
        <v>211</v>
      </c>
      <c r="H1019" s="103" t="s">
        <v>1900</v>
      </c>
    </row>
    <row r="1020" ht="22.5" customHeight="1">
      <c r="A1020" s="102">
        <v>45980.66651899306</v>
      </c>
      <c r="B1020" s="103" t="s">
        <v>132</v>
      </c>
      <c r="C1020" s="103" t="s">
        <v>657</v>
      </c>
      <c r="D1020" s="103" t="s">
        <v>660</v>
      </c>
      <c r="E1020" s="103" t="s">
        <v>420</v>
      </c>
      <c r="G1020" s="103" t="s">
        <v>124</v>
      </c>
      <c r="H1020" s="103" t="s">
        <v>1901</v>
      </c>
    </row>
    <row r="1021" ht="22.5" customHeight="1">
      <c r="A1021" s="102">
        <v>45980.6665484375</v>
      </c>
      <c r="B1021" s="103" t="s">
        <v>115</v>
      </c>
      <c r="C1021" s="103" t="s">
        <v>489</v>
      </c>
      <c r="D1021" s="103" t="s">
        <v>490</v>
      </c>
      <c r="E1021" s="103" t="s">
        <v>639</v>
      </c>
      <c r="G1021" s="103" t="s">
        <v>113</v>
      </c>
      <c r="H1021" s="103" t="s">
        <v>1902</v>
      </c>
    </row>
    <row r="1022" ht="22.5" customHeight="1">
      <c r="A1022" s="102">
        <v>45980.66655405093</v>
      </c>
      <c r="B1022" s="103" t="s">
        <v>210</v>
      </c>
      <c r="C1022" s="103" t="s">
        <v>711</v>
      </c>
      <c r="D1022" s="103" t="s">
        <v>712</v>
      </c>
      <c r="E1022" s="103" t="s">
        <v>494</v>
      </c>
      <c r="G1022" s="103" t="s">
        <v>211</v>
      </c>
      <c r="H1022" s="103" t="s">
        <v>1903</v>
      </c>
    </row>
    <row r="1023" ht="22.5" customHeight="1">
      <c r="A1023" s="102">
        <v>45980.66655916667</v>
      </c>
      <c r="B1023" s="103" t="s">
        <v>174</v>
      </c>
      <c r="C1023" s="103" t="s">
        <v>903</v>
      </c>
      <c r="D1023" s="103" t="s">
        <v>638</v>
      </c>
      <c r="E1023" s="103" t="s">
        <v>494</v>
      </c>
      <c r="G1023" s="103" t="s">
        <v>172</v>
      </c>
      <c r="H1023" s="103" t="s">
        <v>1904</v>
      </c>
    </row>
    <row r="1024" ht="22.5" customHeight="1">
      <c r="A1024" s="102">
        <v>45980.666560625</v>
      </c>
      <c r="B1024" s="103" t="s">
        <v>158</v>
      </c>
      <c r="C1024" s="103" t="s">
        <v>540</v>
      </c>
      <c r="D1024" s="103" t="s">
        <v>541</v>
      </c>
      <c r="E1024" s="103" t="s">
        <v>494</v>
      </c>
      <c r="G1024" s="103" t="s">
        <v>148</v>
      </c>
      <c r="H1024" s="103" t="s">
        <v>1905</v>
      </c>
    </row>
    <row r="1025" ht="22.5" customHeight="1">
      <c r="A1025" s="102">
        <v>45980.66656315972</v>
      </c>
      <c r="B1025" s="103" t="s">
        <v>180</v>
      </c>
      <c r="C1025" s="103" t="s">
        <v>1219</v>
      </c>
      <c r="D1025" s="103" t="s">
        <v>1220</v>
      </c>
      <c r="E1025" s="103" t="s">
        <v>578</v>
      </c>
      <c r="G1025" s="103" t="s">
        <v>172</v>
      </c>
      <c r="H1025" s="103" t="s">
        <v>1906</v>
      </c>
    </row>
    <row r="1026" ht="22.5" customHeight="1">
      <c r="A1026" s="102">
        <v>45980.66656391203</v>
      </c>
      <c r="B1026" s="103" t="s">
        <v>112</v>
      </c>
      <c r="C1026" s="103" t="s">
        <v>434</v>
      </c>
      <c r="D1026" s="103" t="s">
        <v>435</v>
      </c>
      <c r="E1026" s="103" t="s">
        <v>494</v>
      </c>
      <c r="G1026" s="103" t="s">
        <v>113</v>
      </c>
      <c r="H1026" s="103" t="s">
        <v>1907</v>
      </c>
    </row>
    <row r="1027" ht="22.5" customHeight="1">
      <c r="A1027" s="102">
        <v>45980.66656881945</v>
      </c>
      <c r="B1027" s="103" t="s">
        <v>195</v>
      </c>
      <c r="C1027" s="103" t="s">
        <v>1668</v>
      </c>
      <c r="D1027" s="103" t="s">
        <v>1025</v>
      </c>
      <c r="E1027" s="103" t="s">
        <v>578</v>
      </c>
      <c r="G1027" s="103" t="s">
        <v>503</v>
      </c>
      <c r="H1027" s="103" t="s">
        <v>1908</v>
      </c>
    </row>
    <row r="1028" ht="22.5" customHeight="1">
      <c r="A1028" s="102">
        <v>45980.666605763894</v>
      </c>
      <c r="B1028" s="103" t="s">
        <v>104</v>
      </c>
      <c r="C1028" s="103" t="s">
        <v>522</v>
      </c>
      <c r="D1028" s="103" t="s">
        <v>523</v>
      </c>
      <c r="E1028" s="103" t="s">
        <v>420</v>
      </c>
      <c r="G1028" s="103" t="s">
        <v>98</v>
      </c>
      <c r="H1028" s="103" t="s">
        <v>1909</v>
      </c>
    </row>
    <row r="1029" ht="22.5" customHeight="1">
      <c r="A1029" s="102">
        <v>45980.666617002316</v>
      </c>
      <c r="B1029" s="103" t="s">
        <v>154</v>
      </c>
      <c r="C1029" s="103" t="s">
        <v>546</v>
      </c>
      <c r="D1029" s="103" t="s">
        <v>435</v>
      </c>
      <c r="E1029" s="103" t="s">
        <v>494</v>
      </c>
      <c r="G1029" s="103" t="s">
        <v>148</v>
      </c>
      <c r="H1029" s="103" t="s">
        <v>1910</v>
      </c>
    </row>
    <row r="1030" ht="22.5" customHeight="1">
      <c r="A1030" s="102">
        <v>45980.66662533565</v>
      </c>
      <c r="B1030" s="103" t="s">
        <v>385</v>
      </c>
      <c r="C1030" s="103" t="s">
        <v>465</v>
      </c>
      <c r="D1030" s="103" t="s">
        <v>466</v>
      </c>
      <c r="E1030" s="103" t="s">
        <v>639</v>
      </c>
      <c r="G1030" s="103" t="s">
        <v>474</v>
      </c>
      <c r="H1030" s="103" t="s">
        <v>1911</v>
      </c>
    </row>
    <row r="1031" ht="22.5" customHeight="1">
      <c r="A1031" s="102">
        <v>45980.66663731482</v>
      </c>
      <c r="B1031" s="103" t="s">
        <v>187</v>
      </c>
      <c r="C1031" s="103" t="s">
        <v>751</v>
      </c>
      <c r="D1031" s="103" t="s">
        <v>647</v>
      </c>
      <c r="E1031" s="103" t="s">
        <v>578</v>
      </c>
      <c r="G1031" s="103" t="s">
        <v>503</v>
      </c>
      <c r="H1031" s="103" t="s">
        <v>1912</v>
      </c>
    </row>
    <row r="1032" ht="22.5" customHeight="1">
      <c r="A1032" s="102">
        <v>45980.66664806713</v>
      </c>
      <c r="B1032" s="103" t="s">
        <v>147</v>
      </c>
      <c r="C1032" s="103" t="s">
        <v>780</v>
      </c>
      <c r="D1032" s="103" t="s">
        <v>781</v>
      </c>
      <c r="E1032" s="103" t="s">
        <v>578</v>
      </c>
      <c r="G1032" s="103" t="s">
        <v>782</v>
      </c>
      <c r="H1032" s="103" t="s">
        <v>1913</v>
      </c>
    </row>
    <row r="1033" ht="22.5" customHeight="1">
      <c r="A1033" s="102">
        <v>45980.66665306713</v>
      </c>
      <c r="B1033" s="103" t="s">
        <v>75</v>
      </c>
      <c r="C1033" s="103" t="s">
        <v>707</v>
      </c>
      <c r="D1033" s="103" t="s">
        <v>689</v>
      </c>
      <c r="E1033" s="103" t="s">
        <v>420</v>
      </c>
      <c r="G1033" s="103" t="s">
        <v>71</v>
      </c>
      <c r="H1033" s="103" t="s">
        <v>1914</v>
      </c>
    </row>
    <row r="1034" ht="22.5" customHeight="1">
      <c r="A1034" s="102">
        <v>45980.66664820602</v>
      </c>
      <c r="B1034" s="103" t="s">
        <v>204</v>
      </c>
      <c r="C1034" s="103" t="s">
        <v>745</v>
      </c>
      <c r="D1034" s="103" t="s">
        <v>689</v>
      </c>
      <c r="E1034" s="103" t="s">
        <v>420</v>
      </c>
      <c r="G1034" s="103" t="s">
        <v>198</v>
      </c>
      <c r="H1034" s="103" t="s">
        <v>1915</v>
      </c>
    </row>
    <row r="1035" ht="22.5" customHeight="1">
      <c r="A1035" s="102">
        <v>45980.66667061343</v>
      </c>
      <c r="B1035" s="103" t="s">
        <v>46</v>
      </c>
      <c r="C1035" s="103" t="s">
        <v>797</v>
      </c>
      <c r="D1035" s="103" t="s">
        <v>1916</v>
      </c>
      <c r="E1035" s="103" t="s">
        <v>420</v>
      </c>
      <c r="G1035" s="103" t="s">
        <v>1029</v>
      </c>
      <c r="H1035" s="103" t="s">
        <v>1917</v>
      </c>
    </row>
    <row r="1036" ht="22.5" customHeight="1">
      <c r="A1036" s="102">
        <v>45980.6666712963</v>
      </c>
      <c r="B1036" s="103" t="s">
        <v>35</v>
      </c>
      <c r="C1036" s="103" t="s">
        <v>1356</v>
      </c>
      <c r="D1036" s="103" t="s">
        <v>1067</v>
      </c>
      <c r="E1036" s="103" t="s">
        <v>420</v>
      </c>
      <c r="G1036" s="103" t="s">
        <v>912</v>
      </c>
      <c r="H1036" s="103" t="s">
        <v>1918</v>
      </c>
    </row>
    <row r="1037" ht="22.5" customHeight="1">
      <c r="A1037" s="102">
        <v>45980.6666956713</v>
      </c>
      <c r="B1037" s="103" t="s">
        <v>77</v>
      </c>
      <c r="C1037" s="103" t="s">
        <v>701</v>
      </c>
      <c r="D1037" s="103" t="s">
        <v>458</v>
      </c>
      <c r="E1037" s="103" t="s">
        <v>420</v>
      </c>
      <c r="G1037" s="103" t="s">
        <v>71</v>
      </c>
      <c r="H1037" s="103" t="s">
        <v>1919</v>
      </c>
    </row>
    <row r="1038" ht="22.5" customHeight="1">
      <c r="A1038" s="102">
        <v>45980.66670321759</v>
      </c>
      <c r="B1038" s="103" t="s">
        <v>152</v>
      </c>
      <c r="C1038" s="103" t="s">
        <v>962</v>
      </c>
      <c r="D1038" s="103" t="s">
        <v>769</v>
      </c>
      <c r="E1038" s="103" t="s">
        <v>578</v>
      </c>
      <c r="G1038" s="103" t="s">
        <v>148</v>
      </c>
      <c r="H1038" s="103" t="s">
        <v>1920</v>
      </c>
    </row>
    <row r="1039" ht="22.5" customHeight="1">
      <c r="A1039" s="102">
        <v>45980.66672861111</v>
      </c>
      <c r="B1039" s="103" t="s">
        <v>1192</v>
      </c>
      <c r="C1039" s="103" t="s">
        <v>1454</v>
      </c>
      <c r="D1039" s="103" t="s">
        <v>709</v>
      </c>
      <c r="E1039" s="103" t="s">
        <v>494</v>
      </c>
      <c r="G1039" s="103" t="s">
        <v>997</v>
      </c>
      <c r="H1039" s="103" t="s">
        <v>1921</v>
      </c>
    </row>
    <row r="1040" ht="22.5" customHeight="1">
      <c r="A1040" s="102">
        <v>45980.666729652774</v>
      </c>
      <c r="B1040" s="103" t="s">
        <v>102</v>
      </c>
      <c r="C1040" s="103" t="s">
        <v>508</v>
      </c>
      <c r="D1040" s="103" t="s">
        <v>509</v>
      </c>
      <c r="E1040" s="103" t="s">
        <v>420</v>
      </c>
      <c r="G1040" s="103" t="s">
        <v>527</v>
      </c>
      <c r="H1040" s="103" t="s">
        <v>1922</v>
      </c>
    </row>
    <row r="1041" ht="22.5" customHeight="1">
      <c r="A1041" s="102">
        <v>45980.6667609375</v>
      </c>
      <c r="B1041" s="103" t="s">
        <v>223</v>
      </c>
      <c r="C1041" s="103" t="s">
        <v>741</v>
      </c>
      <c r="D1041" s="103" t="s">
        <v>506</v>
      </c>
      <c r="E1041" s="103" t="s">
        <v>578</v>
      </c>
      <c r="G1041" s="103" t="s">
        <v>669</v>
      </c>
      <c r="H1041" s="103" t="s">
        <v>1923</v>
      </c>
    </row>
    <row r="1042" ht="22.5" customHeight="1">
      <c r="A1042" s="102">
        <v>45980.66678247685</v>
      </c>
      <c r="B1042" s="103" t="s">
        <v>126</v>
      </c>
      <c r="C1042" s="103" t="s">
        <v>1224</v>
      </c>
      <c r="D1042" s="103" t="s">
        <v>1266</v>
      </c>
      <c r="E1042" s="103" t="s">
        <v>494</v>
      </c>
      <c r="G1042" s="103" t="s">
        <v>1225</v>
      </c>
      <c r="H1042" s="103" t="s">
        <v>1924</v>
      </c>
    </row>
    <row r="1043" ht="22.5" customHeight="1">
      <c r="A1043" s="102">
        <v>45980.66679530093</v>
      </c>
      <c r="B1043" s="103" t="s">
        <v>121</v>
      </c>
      <c r="C1043" s="103" t="s">
        <v>940</v>
      </c>
      <c r="D1043" s="103" t="s">
        <v>458</v>
      </c>
      <c r="E1043" s="103" t="s">
        <v>494</v>
      </c>
      <c r="G1043" s="103" t="s">
        <v>113</v>
      </c>
      <c r="H1043" s="103" t="s">
        <v>1925</v>
      </c>
    </row>
    <row r="1044" ht="22.5" customHeight="1">
      <c r="A1044" s="102">
        <v>45980.66680881944</v>
      </c>
      <c r="B1044" s="103" t="s">
        <v>59</v>
      </c>
      <c r="C1044" s="103" t="s">
        <v>919</v>
      </c>
      <c r="D1044" s="103" t="s">
        <v>548</v>
      </c>
      <c r="E1044" s="103" t="s">
        <v>494</v>
      </c>
      <c r="G1044" s="103" t="s">
        <v>1926</v>
      </c>
      <c r="H1044" s="103" t="s">
        <v>1927</v>
      </c>
    </row>
    <row r="1045" ht="22.5" customHeight="1">
      <c r="A1045" s="102">
        <v>45980.66684262731</v>
      </c>
      <c r="B1045" s="103" t="s">
        <v>169</v>
      </c>
      <c r="C1045" s="103" t="s">
        <v>676</v>
      </c>
      <c r="D1045" s="103" t="s">
        <v>677</v>
      </c>
      <c r="E1045" s="103" t="s">
        <v>420</v>
      </c>
      <c r="G1045" s="103" t="s">
        <v>1852</v>
      </c>
      <c r="H1045" s="103" t="s">
        <v>1928</v>
      </c>
    </row>
    <row r="1046" ht="22.5" customHeight="1">
      <c r="A1046" s="102">
        <v>45980.66688238426</v>
      </c>
      <c r="B1046" s="103" t="s">
        <v>16</v>
      </c>
      <c r="C1046" s="103" t="s">
        <v>771</v>
      </c>
      <c r="D1046" s="103" t="s">
        <v>772</v>
      </c>
      <c r="E1046" s="103" t="s">
        <v>494</v>
      </c>
      <c r="G1046" s="103" t="s">
        <v>10</v>
      </c>
      <c r="H1046" s="103" t="s">
        <v>1929</v>
      </c>
    </row>
    <row r="1047" ht="22.5" customHeight="1">
      <c r="A1047" s="102">
        <v>45980.66688527778</v>
      </c>
      <c r="B1047" s="103" t="s">
        <v>117</v>
      </c>
      <c r="C1047" s="103" t="s">
        <v>778</v>
      </c>
      <c r="D1047" s="103" t="s">
        <v>779</v>
      </c>
      <c r="E1047" s="103" t="s">
        <v>420</v>
      </c>
      <c r="G1047" s="103" t="s">
        <v>113</v>
      </c>
      <c r="H1047" s="103" t="s">
        <v>1930</v>
      </c>
    </row>
    <row r="1048" ht="22.5" customHeight="1">
      <c r="A1048" s="102">
        <v>45980.666904178244</v>
      </c>
      <c r="B1048" s="103" t="s">
        <v>33</v>
      </c>
      <c r="C1048" s="103" t="s">
        <v>743</v>
      </c>
      <c r="D1048" s="103" t="s">
        <v>458</v>
      </c>
      <c r="E1048" s="103" t="s">
        <v>494</v>
      </c>
      <c r="G1048" s="103" t="s">
        <v>23</v>
      </c>
      <c r="H1048" s="103" t="s">
        <v>1931</v>
      </c>
    </row>
    <row r="1049" ht="22.5" customHeight="1">
      <c r="A1049" s="102">
        <v>45980.66701822917</v>
      </c>
      <c r="B1049" s="103" t="s">
        <v>70</v>
      </c>
      <c r="C1049" s="103" t="s">
        <v>725</v>
      </c>
      <c r="D1049" s="103" t="s">
        <v>726</v>
      </c>
      <c r="E1049" s="103" t="s">
        <v>494</v>
      </c>
      <c r="G1049" s="103" t="s">
        <v>71</v>
      </c>
      <c r="H1049" s="103" t="s">
        <v>1932</v>
      </c>
    </row>
    <row r="1050" ht="22.5" customHeight="1">
      <c r="A1050" s="102">
        <v>45980.6670437037</v>
      </c>
      <c r="B1050" s="103" t="s">
        <v>86</v>
      </c>
      <c r="C1050" s="103" t="s">
        <v>530</v>
      </c>
      <c r="D1050" s="103" t="s">
        <v>531</v>
      </c>
      <c r="E1050" s="103" t="s">
        <v>494</v>
      </c>
      <c r="G1050" s="103" t="s">
        <v>1406</v>
      </c>
      <c r="H1050" s="103" t="s">
        <v>1933</v>
      </c>
    </row>
    <row r="1051" ht="22.5" customHeight="1">
      <c r="A1051" s="102">
        <v>45980.66706086806</v>
      </c>
      <c r="B1051" s="103" t="s">
        <v>119</v>
      </c>
      <c r="C1051" s="103" t="s">
        <v>814</v>
      </c>
      <c r="D1051" s="103" t="s">
        <v>493</v>
      </c>
      <c r="E1051" s="103" t="s">
        <v>450</v>
      </c>
      <c r="G1051" s="103" t="s">
        <v>113</v>
      </c>
      <c r="H1051" s="103" t="s">
        <v>1934</v>
      </c>
    </row>
    <row r="1052" ht="22.5" customHeight="1">
      <c r="A1052" s="102">
        <v>45980.6670863426</v>
      </c>
      <c r="B1052" s="103" t="s">
        <v>20</v>
      </c>
      <c r="C1052" s="103" t="s">
        <v>754</v>
      </c>
      <c r="D1052" s="103" t="s">
        <v>755</v>
      </c>
      <c r="E1052" s="103" t="s">
        <v>494</v>
      </c>
      <c r="G1052" s="103" t="s">
        <v>1859</v>
      </c>
      <c r="H1052" s="103" t="s">
        <v>1935</v>
      </c>
    </row>
    <row r="1053" ht="22.5" customHeight="1">
      <c r="A1053" s="102">
        <v>45980.667104328706</v>
      </c>
      <c r="B1053" s="103" t="s">
        <v>97</v>
      </c>
      <c r="C1053" s="103" t="s">
        <v>580</v>
      </c>
      <c r="D1053" s="103" t="s">
        <v>581</v>
      </c>
      <c r="E1053" s="103" t="s">
        <v>420</v>
      </c>
      <c r="G1053" s="103" t="s">
        <v>98</v>
      </c>
      <c r="H1053" s="103" t="s">
        <v>1936</v>
      </c>
    </row>
    <row r="1054" ht="22.5" customHeight="1">
      <c r="A1054" s="102">
        <v>45980.66711841435</v>
      </c>
      <c r="B1054" s="103" t="s">
        <v>145</v>
      </c>
      <c r="C1054" s="103" t="s">
        <v>783</v>
      </c>
      <c r="D1054" s="103" t="s">
        <v>545</v>
      </c>
      <c r="E1054" s="103" t="s">
        <v>494</v>
      </c>
      <c r="G1054" s="103" t="s">
        <v>137</v>
      </c>
      <c r="H1054" s="103" t="s">
        <v>1937</v>
      </c>
    </row>
    <row r="1055" ht="22.5" customHeight="1">
      <c r="A1055" s="102">
        <v>45980.66713884259</v>
      </c>
      <c r="B1055" s="103" t="s">
        <v>354</v>
      </c>
      <c r="C1055" s="103" t="s">
        <v>1938</v>
      </c>
      <c r="D1055" s="103" t="s">
        <v>1939</v>
      </c>
      <c r="E1055" s="103" t="s">
        <v>494</v>
      </c>
      <c r="G1055" s="103" t="s">
        <v>495</v>
      </c>
      <c r="H1055" s="103" t="s">
        <v>1940</v>
      </c>
    </row>
    <row r="1056" ht="22.5" customHeight="1">
      <c r="A1056" s="102">
        <v>45980.66717559028</v>
      </c>
      <c r="B1056" s="103" t="s">
        <v>230</v>
      </c>
      <c r="C1056" s="103" t="s">
        <v>911</v>
      </c>
      <c r="D1056" s="103" t="s">
        <v>573</v>
      </c>
      <c r="E1056" s="103" t="s">
        <v>578</v>
      </c>
      <c r="G1056" s="103" t="s">
        <v>224</v>
      </c>
      <c r="H1056" s="103" t="s">
        <v>1941</v>
      </c>
    </row>
    <row r="1057" ht="22.5" customHeight="1">
      <c r="A1057" s="102">
        <v>45980.66718105324</v>
      </c>
      <c r="B1057" s="103" t="s">
        <v>100</v>
      </c>
      <c r="C1057" s="103" t="s">
        <v>1203</v>
      </c>
      <c r="D1057" s="103" t="s">
        <v>597</v>
      </c>
      <c r="E1057" s="103" t="s">
        <v>420</v>
      </c>
      <c r="G1057" s="103" t="s">
        <v>527</v>
      </c>
      <c r="H1057" s="103" t="s">
        <v>1942</v>
      </c>
    </row>
    <row r="1058" ht="22.5" customHeight="1">
      <c r="A1058" s="102">
        <v>45980.667234374996</v>
      </c>
      <c r="B1058" s="103" t="s">
        <v>228</v>
      </c>
      <c r="C1058" s="103" t="s">
        <v>905</v>
      </c>
      <c r="D1058" s="103" t="s">
        <v>573</v>
      </c>
      <c r="E1058" s="103" t="s">
        <v>578</v>
      </c>
      <c r="G1058" s="103" t="s">
        <v>1163</v>
      </c>
      <c r="H1058" s="103" t="s">
        <v>1943</v>
      </c>
    </row>
    <row r="1059" ht="22.5" customHeight="1">
      <c r="A1059" s="102">
        <v>45980.66750795139</v>
      </c>
      <c r="B1059" s="103" t="s">
        <v>40</v>
      </c>
      <c r="C1059" s="103" t="s">
        <v>1470</v>
      </c>
      <c r="D1059" s="103" t="s">
        <v>748</v>
      </c>
      <c r="E1059" s="103" t="s">
        <v>494</v>
      </c>
      <c r="G1059" s="103" t="s">
        <v>38</v>
      </c>
      <c r="H1059" s="103" t="s">
        <v>1944</v>
      </c>
    </row>
    <row r="1060" ht="22.5" customHeight="1">
      <c r="A1060" s="102">
        <v>45980.66753047454</v>
      </c>
      <c r="B1060" s="103" t="s">
        <v>141</v>
      </c>
      <c r="C1060" s="103" t="s">
        <v>1945</v>
      </c>
      <c r="D1060" s="103" t="s">
        <v>804</v>
      </c>
      <c r="E1060" s="103" t="s">
        <v>420</v>
      </c>
      <c r="G1060" s="103" t="s">
        <v>1477</v>
      </c>
      <c r="H1060" s="103" t="s">
        <v>1946</v>
      </c>
    </row>
    <row r="1061" ht="22.5" customHeight="1">
      <c r="A1061" s="102">
        <v>45980.66763668982</v>
      </c>
      <c r="B1061" s="103" t="s">
        <v>68</v>
      </c>
      <c r="C1061" s="103" t="s">
        <v>825</v>
      </c>
      <c r="D1061" s="103" t="s">
        <v>515</v>
      </c>
      <c r="E1061" s="103" t="s">
        <v>420</v>
      </c>
      <c r="G1061" s="103" t="s">
        <v>62</v>
      </c>
      <c r="H1061" s="103" t="s">
        <v>1947</v>
      </c>
    </row>
    <row r="1062" ht="22.5" customHeight="1">
      <c r="A1062" s="102">
        <v>45980.66771491898</v>
      </c>
      <c r="B1062" s="103" t="s">
        <v>83</v>
      </c>
      <c r="C1062" s="103" t="s">
        <v>942</v>
      </c>
      <c r="D1062" s="103" t="s">
        <v>560</v>
      </c>
      <c r="E1062" s="103" t="s">
        <v>494</v>
      </c>
      <c r="G1062" s="103" t="s">
        <v>84</v>
      </c>
      <c r="H1062" s="103" t="s">
        <v>1948</v>
      </c>
    </row>
    <row r="1063" ht="22.5" customHeight="1">
      <c r="A1063" s="102">
        <v>45980.66785465278</v>
      </c>
      <c r="B1063" s="103" t="s">
        <v>31</v>
      </c>
      <c r="C1063" s="103" t="s">
        <v>569</v>
      </c>
      <c r="D1063" s="103" t="s">
        <v>694</v>
      </c>
      <c r="E1063" s="103" t="s">
        <v>494</v>
      </c>
      <c r="G1063" s="103" t="s">
        <v>23</v>
      </c>
      <c r="H1063" s="103" t="s">
        <v>1949</v>
      </c>
    </row>
    <row r="1064" ht="22.5" customHeight="1">
      <c r="A1064" s="102">
        <v>45980.66810476852</v>
      </c>
      <c r="B1064" s="103" t="s">
        <v>402</v>
      </c>
      <c r="C1064" s="103" t="s">
        <v>834</v>
      </c>
      <c r="D1064" s="103" t="s">
        <v>835</v>
      </c>
      <c r="E1064" s="103" t="s">
        <v>578</v>
      </c>
      <c r="G1064" s="103" t="s">
        <v>585</v>
      </c>
      <c r="H1064" s="103" t="s">
        <v>1950</v>
      </c>
    </row>
    <row r="1065" ht="22.5" customHeight="1">
      <c r="A1065" s="102">
        <v>45980.668259513885</v>
      </c>
      <c r="B1065" s="103" t="s">
        <v>182</v>
      </c>
      <c r="C1065" s="103" t="s">
        <v>1203</v>
      </c>
      <c r="D1065" s="103" t="s">
        <v>1330</v>
      </c>
      <c r="E1065" s="103" t="s">
        <v>639</v>
      </c>
      <c r="G1065" s="103" t="s">
        <v>1951</v>
      </c>
      <c r="H1065" s="103" t="s">
        <v>1952</v>
      </c>
    </row>
    <row r="1066" ht="22.5" customHeight="1">
      <c r="A1066" s="102">
        <v>45980.668566782406</v>
      </c>
      <c r="B1066" s="103" t="s">
        <v>221</v>
      </c>
      <c r="C1066" s="103" t="s">
        <v>220</v>
      </c>
      <c r="D1066" s="103" t="s">
        <v>651</v>
      </c>
      <c r="E1066" s="103" t="s">
        <v>578</v>
      </c>
      <c r="G1066" s="103" t="s">
        <v>820</v>
      </c>
      <c r="H1066" s="103" t="s">
        <v>1953</v>
      </c>
    </row>
    <row r="1067" ht="22.5" customHeight="1">
      <c r="A1067" s="102">
        <v>45980.669082928245</v>
      </c>
      <c r="B1067" s="103" t="s">
        <v>244</v>
      </c>
      <c r="C1067" s="103" t="s">
        <v>1160</v>
      </c>
      <c r="D1067" s="103" t="s">
        <v>1161</v>
      </c>
      <c r="E1067" s="103" t="s">
        <v>578</v>
      </c>
      <c r="G1067" s="103" t="s">
        <v>615</v>
      </c>
      <c r="H1067" s="103" t="s">
        <v>1844</v>
      </c>
    </row>
    <row r="1068" ht="22.5" customHeight="1">
      <c r="A1068" s="102">
        <v>45980.669163252314</v>
      </c>
      <c r="B1068" s="103" t="s">
        <v>14</v>
      </c>
      <c r="C1068" s="103" t="s">
        <v>718</v>
      </c>
      <c r="D1068" s="103" t="s">
        <v>719</v>
      </c>
      <c r="E1068" s="103" t="s">
        <v>494</v>
      </c>
      <c r="G1068" s="103" t="s">
        <v>1006</v>
      </c>
      <c r="H1068" s="103" t="s">
        <v>1954</v>
      </c>
    </row>
    <row r="1069" ht="22.5" customHeight="1">
      <c r="A1069" s="102">
        <v>45980.66930857638</v>
      </c>
      <c r="B1069" s="103" t="s">
        <v>237</v>
      </c>
      <c r="C1069" s="103" t="s">
        <v>861</v>
      </c>
      <c r="D1069" s="103" t="s">
        <v>862</v>
      </c>
      <c r="E1069" s="103" t="s">
        <v>578</v>
      </c>
      <c r="G1069" s="103" t="s">
        <v>892</v>
      </c>
      <c r="H1069" s="103" t="s">
        <v>1955</v>
      </c>
    </row>
    <row r="1070" ht="22.5" customHeight="1">
      <c r="A1070" s="102">
        <v>45980.669895300925</v>
      </c>
      <c r="B1070" s="103" t="s">
        <v>343</v>
      </c>
      <c r="C1070" s="103" t="s">
        <v>1346</v>
      </c>
      <c r="D1070" s="103" t="s">
        <v>632</v>
      </c>
      <c r="E1070" s="103" t="s">
        <v>639</v>
      </c>
      <c r="G1070" s="103" t="s">
        <v>335</v>
      </c>
      <c r="H1070" s="103" t="s">
        <v>1844</v>
      </c>
    </row>
    <row r="1071" ht="22.5" customHeight="1">
      <c r="A1071" s="102">
        <v>45980.67152484954</v>
      </c>
      <c r="B1071" s="103" t="s">
        <v>382</v>
      </c>
      <c r="C1071" s="103" t="s">
        <v>468</v>
      </c>
      <c r="D1071" s="103" t="s">
        <v>469</v>
      </c>
      <c r="E1071" s="103" t="s">
        <v>494</v>
      </c>
      <c r="G1071" s="103" t="s">
        <v>1676</v>
      </c>
      <c r="H1071" s="103" t="s">
        <v>1956</v>
      </c>
    </row>
    <row r="1072" ht="22.5" customHeight="1">
      <c r="A1072" s="102">
        <v>45980.672418263886</v>
      </c>
      <c r="B1072" s="103" t="s">
        <v>324</v>
      </c>
      <c r="C1072" s="103" t="s">
        <v>590</v>
      </c>
      <c r="D1072" s="103" t="s">
        <v>591</v>
      </c>
      <c r="E1072" s="103" t="s">
        <v>639</v>
      </c>
      <c r="G1072" s="103" t="s">
        <v>699</v>
      </c>
      <c r="H1072" s="103" t="s">
        <v>1957</v>
      </c>
    </row>
    <row r="1073" ht="22.5" customHeight="1">
      <c r="A1073" s="102">
        <v>45980.67243922454</v>
      </c>
      <c r="B1073" s="103" t="s">
        <v>322</v>
      </c>
      <c r="C1073" s="103" t="s">
        <v>631</v>
      </c>
      <c r="D1073" s="103" t="s">
        <v>632</v>
      </c>
      <c r="E1073" s="103" t="s">
        <v>450</v>
      </c>
      <c r="G1073" s="103" t="s">
        <v>699</v>
      </c>
      <c r="H1073" s="103" t="s">
        <v>1958</v>
      </c>
    </row>
    <row r="1074" ht="22.5" customHeight="1">
      <c r="A1074" s="102">
        <v>45980.67244684028</v>
      </c>
      <c r="B1074" s="103" t="s">
        <v>369</v>
      </c>
      <c r="C1074" s="103" t="s">
        <v>457</v>
      </c>
      <c r="D1074" s="103" t="s">
        <v>458</v>
      </c>
      <c r="E1074" s="103" t="s">
        <v>639</v>
      </c>
      <c r="G1074" s="103" t="s">
        <v>442</v>
      </c>
      <c r="H1074" s="103" t="s">
        <v>1958</v>
      </c>
    </row>
    <row r="1075" ht="22.5" customHeight="1">
      <c r="A1075" s="102">
        <v>45980.67251939815</v>
      </c>
      <c r="B1075" s="103" t="s">
        <v>350</v>
      </c>
      <c r="C1075" s="103" t="s">
        <v>807</v>
      </c>
      <c r="D1075" s="103" t="s">
        <v>808</v>
      </c>
      <c r="E1075" s="103" t="s">
        <v>450</v>
      </c>
      <c r="G1075" s="103" t="s">
        <v>495</v>
      </c>
      <c r="H1075" s="103" t="s">
        <v>1959</v>
      </c>
    </row>
    <row r="1076" ht="22.5" customHeight="1">
      <c r="A1076" s="102">
        <v>45980.67253324074</v>
      </c>
      <c r="B1076" s="103" t="s">
        <v>315</v>
      </c>
      <c r="C1076" s="103" t="s">
        <v>1960</v>
      </c>
      <c r="D1076" s="103" t="s">
        <v>1961</v>
      </c>
      <c r="E1076" s="103" t="s">
        <v>639</v>
      </c>
      <c r="G1076" s="103" t="s">
        <v>1873</v>
      </c>
      <c r="H1076" s="103" t="s">
        <v>1962</v>
      </c>
    </row>
    <row r="1077" ht="22.5" customHeight="1">
      <c r="A1077" s="102">
        <v>45980.6725509838</v>
      </c>
      <c r="B1077" s="103" t="s">
        <v>298</v>
      </c>
      <c r="C1077" s="103" t="s">
        <v>460</v>
      </c>
      <c r="D1077" s="103" t="s">
        <v>461</v>
      </c>
      <c r="E1077" s="103" t="s">
        <v>639</v>
      </c>
      <c r="G1077" s="103" t="s">
        <v>462</v>
      </c>
      <c r="H1077" s="103" t="s">
        <v>1963</v>
      </c>
    </row>
    <row r="1078" ht="22.5" customHeight="1">
      <c r="A1078" s="102">
        <v>45980.67255163194</v>
      </c>
      <c r="B1078" s="103" t="s">
        <v>265</v>
      </c>
      <c r="C1078" s="103" t="s">
        <v>733</v>
      </c>
      <c r="D1078" s="103" t="s">
        <v>734</v>
      </c>
      <c r="E1078" s="103" t="s">
        <v>450</v>
      </c>
      <c r="G1078" s="103" t="s">
        <v>604</v>
      </c>
      <c r="H1078" s="103" t="s">
        <v>1964</v>
      </c>
    </row>
    <row r="1079" ht="22.5" customHeight="1">
      <c r="A1079" s="102">
        <v>45980.67255474537</v>
      </c>
      <c r="B1079" s="103" t="s">
        <v>268</v>
      </c>
      <c r="C1079" s="103" t="s">
        <v>722</v>
      </c>
      <c r="D1079" s="103" t="s">
        <v>723</v>
      </c>
      <c r="E1079" s="103" t="s">
        <v>450</v>
      </c>
      <c r="G1079" s="103" t="s">
        <v>604</v>
      </c>
      <c r="H1079" s="103" t="s">
        <v>1965</v>
      </c>
    </row>
    <row r="1080" ht="22.5" customHeight="1">
      <c r="A1080" s="102">
        <v>45980.67255931713</v>
      </c>
      <c r="B1080" s="103" t="s">
        <v>332</v>
      </c>
      <c r="C1080" s="103" t="s">
        <v>445</v>
      </c>
      <c r="D1080" s="103" t="s">
        <v>739</v>
      </c>
      <c r="E1080" s="103" t="s">
        <v>450</v>
      </c>
      <c r="G1080" s="103" t="s">
        <v>1966</v>
      </c>
      <c r="H1080" s="103" t="s">
        <v>1967</v>
      </c>
    </row>
    <row r="1081" ht="22.5" customHeight="1">
      <c r="A1081" s="102">
        <v>45980.67256890047</v>
      </c>
      <c r="B1081" s="103" t="s">
        <v>339</v>
      </c>
      <c r="C1081" s="103" t="s">
        <v>1968</v>
      </c>
      <c r="D1081" s="103" t="s">
        <v>1969</v>
      </c>
      <c r="E1081" s="103" t="s">
        <v>639</v>
      </c>
      <c r="G1081" s="103" t="s">
        <v>1970</v>
      </c>
      <c r="H1081" s="103" t="s">
        <v>1971</v>
      </c>
    </row>
    <row r="1082" ht="22.5" customHeight="1">
      <c r="A1082" s="102">
        <v>45980.672576365745</v>
      </c>
      <c r="B1082" s="103" t="s">
        <v>289</v>
      </c>
      <c r="C1082" s="103" t="s">
        <v>735</v>
      </c>
      <c r="D1082" s="103" t="s">
        <v>736</v>
      </c>
      <c r="E1082" s="103" t="s">
        <v>450</v>
      </c>
      <c r="G1082" s="103" t="s">
        <v>428</v>
      </c>
      <c r="H1082" s="103" t="s">
        <v>1972</v>
      </c>
    </row>
    <row r="1083" ht="22.5" customHeight="1">
      <c r="A1083" s="102">
        <v>45980.67257958333</v>
      </c>
      <c r="B1083" s="103" t="s">
        <v>283</v>
      </c>
      <c r="C1083" s="103" t="s">
        <v>425</v>
      </c>
      <c r="D1083" s="103" t="s">
        <v>426</v>
      </c>
      <c r="E1083" s="103" t="s">
        <v>450</v>
      </c>
      <c r="G1083" s="103" t="s">
        <v>428</v>
      </c>
      <c r="H1083" s="103" t="s">
        <v>1973</v>
      </c>
    </row>
    <row r="1084" ht="22.5" customHeight="1">
      <c r="A1084" s="102">
        <v>45980.67259923611</v>
      </c>
      <c r="B1084" s="103" t="s">
        <v>280</v>
      </c>
      <c r="C1084" s="103" t="s">
        <v>476</v>
      </c>
      <c r="D1084" s="103" t="s">
        <v>477</v>
      </c>
      <c r="E1084" s="103" t="s">
        <v>450</v>
      </c>
      <c r="G1084" s="103" t="s">
        <v>478</v>
      </c>
      <c r="H1084" s="103" t="s">
        <v>1974</v>
      </c>
    </row>
    <row r="1085" ht="22.5" customHeight="1">
      <c r="A1085" s="102">
        <v>45980.67265224537</v>
      </c>
      <c r="B1085" s="103" t="s">
        <v>319</v>
      </c>
      <c r="C1085" s="103" t="s">
        <v>1452</v>
      </c>
      <c r="D1085" s="103" t="s">
        <v>692</v>
      </c>
      <c r="E1085" s="103" t="s">
        <v>450</v>
      </c>
      <c r="G1085" s="103" t="s">
        <v>699</v>
      </c>
      <c r="H1085" s="103" t="s">
        <v>1975</v>
      </c>
    </row>
    <row r="1086" ht="22.5" customHeight="1">
      <c r="A1086" s="102">
        <v>45980.672666238424</v>
      </c>
      <c r="B1086" s="103" t="s">
        <v>363</v>
      </c>
      <c r="C1086" s="103" t="s">
        <v>1242</v>
      </c>
      <c r="D1086" s="103" t="s">
        <v>431</v>
      </c>
      <c r="E1086" s="103" t="s">
        <v>450</v>
      </c>
      <c r="G1086" s="103" t="s">
        <v>359</v>
      </c>
      <c r="H1086" s="103" t="s">
        <v>1976</v>
      </c>
    </row>
    <row r="1087" ht="22.5" customHeight="1">
      <c r="A1087" s="102">
        <v>45980.67267061342</v>
      </c>
      <c r="B1087" s="103" t="s">
        <v>328</v>
      </c>
      <c r="C1087" s="103" t="s">
        <v>826</v>
      </c>
      <c r="D1087" s="103" t="s">
        <v>827</v>
      </c>
      <c r="E1087" s="103" t="s">
        <v>450</v>
      </c>
      <c r="G1087" s="103" t="s">
        <v>1966</v>
      </c>
      <c r="H1087" s="103" t="s">
        <v>1977</v>
      </c>
    </row>
    <row r="1088" ht="22.5" customHeight="1">
      <c r="A1088" s="102">
        <v>45980.67269122685</v>
      </c>
      <c r="B1088" s="103" t="s">
        <v>378</v>
      </c>
      <c r="C1088" s="103" t="s">
        <v>1205</v>
      </c>
      <c r="D1088" s="103" t="s">
        <v>883</v>
      </c>
      <c r="E1088" s="103" t="s">
        <v>420</v>
      </c>
      <c r="G1088" s="103" t="s">
        <v>1207</v>
      </c>
      <c r="H1088" s="103" t="s">
        <v>1978</v>
      </c>
    </row>
    <row r="1089" ht="22.5" customHeight="1">
      <c r="A1089" s="102">
        <v>45980.67270517361</v>
      </c>
      <c r="B1089" s="103" t="s">
        <v>400</v>
      </c>
      <c r="C1089" s="103" t="s">
        <v>445</v>
      </c>
      <c r="D1089" s="103" t="s">
        <v>1302</v>
      </c>
      <c r="E1089" s="103" t="s">
        <v>639</v>
      </c>
      <c r="G1089" s="103" t="s">
        <v>585</v>
      </c>
      <c r="H1089" s="103" t="s">
        <v>1958</v>
      </c>
    </row>
    <row r="1090" ht="22.5" customHeight="1">
      <c r="A1090" s="102">
        <v>45980.6727284838</v>
      </c>
      <c r="B1090" s="103" t="s">
        <v>326</v>
      </c>
      <c r="C1090" s="103" t="s">
        <v>1148</v>
      </c>
      <c r="D1090" s="103" t="s">
        <v>698</v>
      </c>
      <c r="E1090" s="103" t="s">
        <v>639</v>
      </c>
      <c r="G1090" s="103" t="s">
        <v>320</v>
      </c>
      <c r="H1090" s="103" t="s">
        <v>1979</v>
      </c>
    </row>
    <row r="1091" ht="22.5" customHeight="1">
      <c r="A1091" s="102">
        <v>45980.6727430787</v>
      </c>
      <c r="B1091" s="103" t="s">
        <v>278</v>
      </c>
      <c r="C1091" s="103" t="s">
        <v>622</v>
      </c>
      <c r="D1091" s="103" t="s">
        <v>623</v>
      </c>
      <c r="E1091" s="103" t="s">
        <v>639</v>
      </c>
      <c r="G1091" s="103" t="s">
        <v>604</v>
      </c>
      <c r="H1091" s="103" t="s">
        <v>1980</v>
      </c>
    </row>
    <row r="1092" ht="22.5" customHeight="1">
      <c r="A1092" s="102">
        <v>45980.672766250005</v>
      </c>
      <c r="B1092" s="103" t="s">
        <v>404</v>
      </c>
      <c r="C1092" s="103" t="s">
        <v>583</v>
      </c>
      <c r="D1092" s="103" t="s">
        <v>1981</v>
      </c>
      <c r="E1092" s="103" t="s">
        <v>639</v>
      </c>
      <c r="G1092" s="103" t="s">
        <v>568</v>
      </c>
      <c r="H1092" s="103" t="s">
        <v>1982</v>
      </c>
    </row>
    <row r="1093" ht="22.5" customHeight="1">
      <c r="A1093" s="102">
        <v>45980.67281236111</v>
      </c>
      <c r="B1093" s="103" t="s">
        <v>270</v>
      </c>
      <c r="C1093" s="103" t="s">
        <v>1080</v>
      </c>
      <c r="D1093" s="103" t="s">
        <v>1640</v>
      </c>
      <c r="E1093" s="103" t="s">
        <v>639</v>
      </c>
      <c r="G1093" s="103" t="s">
        <v>648</v>
      </c>
      <c r="H1093" s="103" t="s">
        <v>1983</v>
      </c>
    </row>
    <row r="1094" ht="22.5" customHeight="1">
      <c r="A1094" s="102">
        <v>45980.672817997685</v>
      </c>
      <c r="B1094" s="103" t="s">
        <v>352</v>
      </c>
      <c r="C1094" s="103" t="s">
        <v>555</v>
      </c>
      <c r="D1094" s="103" t="s">
        <v>556</v>
      </c>
      <c r="E1094" s="103" t="s">
        <v>450</v>
      </c>
      <c r="G1094" s="103" t="s">
        <v>495</v>
      </c>
      <c r="H1094" s="103" t="s">
        <v>1984</v>
      </c>
    </row>
    <row r="1095" ht="22.5" customHeight="1">
      <c r="A1095" s="102">
        <v>45980.67282283565</v>
      </c>
      <c r="B1095" s="103" t="s">
        <v>396</v>
      </c>
      <c r="C1095" s="103" t="s">
        <v>593</v>
      </c>
      <c r="D1095" s="103" t="s">
        <v>594</v>
      </c>
      <c r="E1095" s="103" t="s">
        <v>450</v>
      </c>
      <c r="G1095" s="103" t="s">
        <v>1985</v>
      </c>
      <c r="H1095" s="103" t="s">
        <v>1986</v>
      </c>
    </row>
    <row r="1096" ht="22.5" customHeight="1">
      <c r="A1096" s="102">
        <v>45980.672851469906</v>
      </c>
      <c r="B1096" s="103" t="s">
        <v>361</v>
      </c>
      <c r="C1096" s="103" t="s">
        <v>625</v>
      </c>
      <c r="D1096" s="103" t="s">
        <v>626</v>
      </c>
      <c r="E1096" s="103" t="s">
        <v>639</v>
      </c>
      <c r="G1096" s="103" t="s">
        <v>359</v>
      </c>
      <c r="H1096" s="103" t="s">
        <v>1987</v>
      </c>
    </row>
    <row r="1097" ht="22.5" customHeight="1">
      <c r="A1097" s="102">
        <v>45980.67290520833</v>
      </c>
      <c r="B1097" s="103" t="s">
        <v>356</v>
      </c>
      <c r="C1097" s="103" t="s">
        <v>544</v>
      </c>
      <c r="D1097" s="103" t="s">
        <v>545</v>
      </c>
      <c r="E1097" s="103" t="s">
        <v>450</v>
      </c>
      <c r="G1097" s="103" t="s">
        <v>346</v>
      </c>
      <c r="H1097" s="103" t="s">
        <v>1988</v>
      </c>
    </row>
    <row r="1098" ht="22.5" customHeight="1">
      <c r="A1098" s="102">
        <v>45980.672941956014</v>
      </c>
      <c r="B1098" s="103" t="s">
        <v>398</v>
      </c>
      <c r="C1098" s="103" t="s">
        <v>751</v>
      </c>
      <c r="D1098" s="103" t="s">
        <v>752</v>
      </c>
      <c r="E1098" s="103" t="s">
        <v>639</v>
      </c>
      <c r="G1098" s="103" t="s">
        <v>568</v>
      </c>
      <c r="H1098" s="103" t="s">
        <v>1989</v>
      </c>
    </row>
    <row r="1099" ht="22.5" customHeight="1">
      <c r="A1099" s="102">
        <v>45980.67297753472</v>
      </c>
      <c r="B1099" s="103" t="s">
        <v>285</v>
      </c>
      <c r="C1099" s="103" t="s">
        <v>790</v>
      </c>
      <c r="D1099" s="103" t="s">
        <v>1704</v>
      </c>
      <c r="E1099" s="103" t="s">
        <v>639</v>
      </c>
      <c r="G1099" s="103" t="s">
        <v>478</v>
      </c>
      <c r="H1099" s="103" t="s">
        <v>1990</v>
      </c>
    </row>
    <row r="1100" ht="22.5" customHeight="1">
      <c r="A1100" s="102">
        <v>45980.67301478009</v>
      </c>
      <c r="B1100" s="103" t="s">
        <v>406</v>
      </c>
      <c r="C1100" s="103" t="s">
        <v>650</v>
      </c>
      <c r="D1100" s="103" t="s">
        <v>651</v>
      </c>
      <c r="E1100" s="103" t="s">
        <v>639</v>
      </c>
      <c r="G1100" s="103" t="s">
        <v>568</v>
      </c>
      <c r="H1100" s="103" t="s">
        <v>1991</v>
      </c>
    </row>
    <row r="1101" ht="22.5" customHeight="1">
      <c r="A1101" s="102">
        <v>45980.67301534722</v>
      </c>
      <c r="B1101" s="103" t="s">
        <v>293</v>
      </c>
      <c r="C1101" s="103" t="s">
        <v>448</v>
      </c>
      <c r="D1101" s="103" t="s">
        <v>449</v>
      </c>
      <c r="E1101" s="103" t="s">
        <v>450</v>
      </c>
      <c r="G1101" s="103" t="s">
        <v>294</v>
      </c>
      <c r="H1101" s="103" t="s">
        <v>1992</v>
      </c>
    </row>
    <row r="1102" ht="22.5" customHeight="1">
      <c r="A1102" s="102">
        <v>45980.67301599537</v>
      </c>
      <c r="B1102" s="103" t="s">
        <v>300</v>
      </c>
      <c r="C1102" s="103" t="s">
        <v>480</v>
      </c>
      <c r="D1102" s="103" t="s">
        <v>1381</v>
      </c>
      <c r="E1102" s="103" t="s">
        <v>450</v>
      </c>
      <c r="G1102" s="103" t="s">
        <v>462</v>
      </c>
      <c r="H1102" s="103" t="s">
        <v>1993</v>
      </c>
    </row>
    <row r="1103" ht="22.5" customHeight="1">
      <c r="A1103" s="102">
        <v>45980.67305298611</v>
      </c>
      <c r="B1103" s="103" t="s">
        <v>389</v>
      </c>
      <c r="C1103" s="103" t="s">
        <v>731</v>
      </c>
      <c r="D1103" s="103" t="s">
        <v>666</v>
      </c>
      <c r="E1103" s="103" t="s">
        <v>450</v>
      </c>
      <c r="G1103" s="103" t="s">
        <v>1745</v>
      </c>
      <c r="H1103" s="103" t="s">
        <v>1956</v>
      </c>
    </row>
    <row r="1104" ht="22.5" customHeight="1">
      <c r="A1104" s="102">
        <v>45980.67306450232</v>
      </c>
      <c r="B1104" s="103" t="s">
        <v>263</v>
      </c>
      <c r="C1104" s="103" t="s">
        <v>505</v>
      </c>
      <c r="D1104" s="103" t="s">
        <v>506</v>
      </c>
      <c r="E1104" s="103" t="s">
        <v>450</v>
      </c>
      <c r="G1104" s="103" t="s">
        <v>1344</v>
      </c>
      <c r="H1104" s="103" t="s">
        <v>1994</v>
      </c>
    </row>
    <row r="1105" ht="22.5" customHeight="1">
      <c r="A1105" s="102">
        <v>45980.67316486111</v>
      </c>
      <c r="B1105" s="103" t="s">
        <v>254</v>
      </c>
      <c r="C1105" s="103" t="s">
        <v>565</v>
      </c>
      <c r="D1105" s="103" t="s">
        <v>566</v>
      </c>
      <c r="E1105" s="103" t="s">
        <v>450</v>
      </c>
      <c r="G1105" s="103" t="s">
        <v>809</v>
      </c>
      <c r="H1105" s="103" t="s">
        <v>1995</v>
      </c>
    </row>
    <row r="1106" ht="22.5" customHeight="1">
      <c r="A1106" s="102">
        <v>45980.67317142361</v>
      </c>
      <c r="B1106" s="103" t="s">
        <v>330</v>
      </c>
      <c r="C1106" s="103" t="s">
        <v>662</v>
      </c>
      <c r="D1106" s="103" t="s">
        <v>663</v>
      </c>
      <c r="E1106" s="103" t="s">
        <v>450</v>
      </c>
      <c r="G1106" s="103" t="s">
        <v>320</v>
      </c>
      <c r="H1106" s="103" t="s">
        <v>1996</v>
      </c>
    </row>
    <row r="1107" ht="22.5" customHeight="1">
      <c r="A1107" s="102">
        <v>45980.67323326389</v>
      </c>
      <c r="B1107" s="103" t="s">
        <v>358</v>
      </c>
      <c r="C1107" s="103" t="s">
        <v>1085</v>
      </c>
      <c r="D1107" s="103" t="s">
        <v>801</v>
      </c>
      <c r="E1107" s="103" t="s">
        <v>639</v>
      </c>
      <c r="G1107" s="103" t="s">
        <v>359</v>
      </c>
      <c r="H1107" s="103" t="s">
        <v>1997</v>
      </c>
    </row>
    <row r="1108" ht="22.5" customHeight="1">
      <c r="A1108" s="102">
        <v>45980.673251898144</v>
      </c>
      <c r="B1108" s="103" t="s">
        <v>387</v>
      </c>
      <c r="C1108" s="103" t="s">
        <v>1998</v>
      </c>
      <c r="D1108" s="103" t="s">
        <v>666</v>
      </c>
      <c r="E1108" s="103" t="s">
        <v>639</v>
      </c>
      <c r="G1108" s="103" t="s">
        <v>474</v>
      </c>
      <c r="H1108" s="103" t="s">
        <v>1956</v>
      </c>
    </row>
    <row r="1109" ht="22.5" customHeight="1">
      <c r="A1109" s="102">
        <v>45980.67326038194</v>
      </c>
      <c r="B1109" s="103" t="s">
        <v>296</v>
      </c>
      <c r="C1109" s="103" t="s">
        <v>853</v>
      </c>
      <c r="D1109" s="103" t="s">
        <v>1999</v>
      </c>
      <c r="E1109" s="103" t="s">
        <v>450</v>
      </c>
      <c r="G1109" s="103" t="s">
        <v>462</v>
      </c>
      <c r="H1109" s="103" t="s">
        <v>2000</v>
      </c>
    </row>
    <row r="1110" ht="22.5" customHeight="1">
      <c r="A1110" s="102">
        <v>45980.67330015046</v>
      </c>
      <c r="B1110" s="103" t="s">
        <v>317</v>
      </c>
      <c r="C1110" s="103" t="s">
        <v>615</v>
      </c>
      <c r="D1110" s="103" t="s">
        <v>1166</v>
      </c>
      <c r="E1110" s="103" t="s">
        <v>450</v>
      </c>
      <c r="G1110" s="103" t="s">
        <v>1498</v>
      </c>
      <c r="H1110" s="103" t="s">
        <v>2001</v>
      </c>
    </row>
    <row r="1111" ht="22.5" customHeight="1">
      <c r="A1111" s="102">
        <v>45980.67352827547</v>
      </c>
      <c r="B1111" s="103" t="s">
        <v>291</v>
      </c>
      <c r="C1111" s="103" t="s">
        <v>682</v>
      </c>
      <c r="D1111" s="103" t="s">
        <v>2002</v>
      </c>
      <c r="E1111" s="103" t="s">
        <v>450</v>
      </c>
      <c r="G1111" s="103" t="s">
        <v>428</v>
      </c>
      <c r="H1111" s="103" t="s">
        <v>2003</v>
      </c>
    </row>
    <row r="1112" ht="22.5" customHeight="1">
      <c r="A1112" s="102">
        <v>45980.67354239583</v>
      </c>
      <c r="B1112" s="103" t="s">
        <v>287</v>
      </c>
      <c r="C1112" s="103" t="s">
        <v>2004</v>
      </c>
      <c r="D1112" s="103" t="s">
        <v>466</v>
      </c>
      <c r="E1112" s="103" t="s">
        <v>494</v>
      </c>
      <c r="G1112" s="103" t="s">
        <v>478</v>
      </c>
      <c r="H1112" s="103" t="s">
        <v>2005</v>
      </c>
    </row>
    <row r="1113" ht="22.5" customHeight="1">
      <c r="A1113" s="102">
        <v>45980.673554583336</v>
      </c>
      <c r="B1113" s="103" t="s">
        <v>274</v>
      </c>
      <c r="C1113" s="103" t="s">
        <v>602</v>
      </c>
      <c r="D1113" s="103" t="s">
        <v>603</v>
      </c>
      <c r="E1113" s="103" t="s">
        <v>639</v>
      </c>
      <c r="G1113" s="103" t="s">
        <v>1548</v>
      </c>
      <c r="H1113" s="103" t="s">
        <v>2006</v>
      </c>
    </row>
    <row r="1114" ht="22.5" customHeight="1">
      <c r="A1114" s="102">
        <v>45980.67359928241</v>
      </c>
      <c r="B1114" s="103" t="s">
        <v>367</v>
      </c>
      <c r="C1114" s="103" t="s">
        <v>959</v>
      </c>
      <c r="D1114" s="103" t="s">
        <v>758</v>
      </c>
      <c r="E1114" s="103" t="s">
        <v>639</v>
      </c>
      <c r="G1114" s="103" t="s">
        <v>759</v>
      </c>
      <c r="H1114" s="103" t="s">
        <v>2007</v>
      </c>
    </row>
    <row r="1115" ht="22.5" customHeight="1">
      <c r="A1115" s="102">
        <v>45980.6736071412</v>
      </c>
      <c r="B1115" s="103" t="s">
        <v>380</v>
      </c>
      <c r="C1115" s="103" t="s">
        <v>439</v>
      </c>
      <c r="D1115" s="103" t="s">
        <v>440</v>
      </c>
      <c r="E1115" s="103" t="s">
        <v>639</v>
      </c>
      <c r="G1115" s="103" t="s">
        <v>442</v>
      </c>
      <c r="H1115" s="103" t="s">
        <v>2008</v>
      </c>
    </row>
    <row r="1116" ht="22.5" customHeight="1">
      <c r="A1116" s="102">
        <v>45980.67387542824</v>
      </c>
      <c r="B1116" s="103" t="s">
        <v>376</v>
      </c>
      <c r="C1116" s="103" t="s">
        <v>877</v>
      </c>
      <c r="D1116" s="103" t="s">
        <v>878</v>
      </c>
      <c r="E1116" s="103" t="s">
        <v>639</v>
      </c>
      <c r="G1116" s="103" t="s">
        <v>442</v>
      </c>
      <c r="H1116" s="103" t="s">
        <v>2009</v>
      </c>
    </row>
    <row r="1117" ht="22.5" customHeight="1">
      <c r="A1117" s="102">
        <v>45980.67405004629</v>
      </c>
      <c r="B1117" s="103" t="s">
        <v>276</v>
      </c>
      <c r="C1117" s="103" t="s">
        <v>714</v>
      </c>
      <c r="D1117" s="103" t="s">
        <v>715</v>
      </c>
      <c r="E1117" s="103" t="s">
        <v>450</v>
      </c>
      <c r="G1117" s="103" t="s">
        <v>604</v>
      </c>
      <c r="H1117" s="103" t="s">
        <v>2010</v>
      </c>
    </row>
    <row r="1118" ht="22.5" customHeight="1">
      <c r="A1118" s="102">
        <v>45980.674257824074</v>
      </c>
      <c r="B1118" s="103" t="s">
        <v>261</v>
      </c>
      <c r="C1118" s="103" t="s">
        <v>1210</v>
      </c>
      <c r="D1118" s="103" t="s">
        <v>1211</v>
      </c>
      <c r="E1118" s="103" t="s">
        <v>494</v>
      </c>
      <c r="G1118" s="103" t="s">
        <v>809</v>
      </c>
      <c r="H1118" s="103" t="s">
        <v>2011</v>
      </c>
    </row>
    <row r="1119" ht="22.5" customHeight="1">
      <c r="A1119" s="102">
        <v>45980.674523865746</v>
      </c>
      <c r="B1119" s="103" t="s">
        <v>208</v>
      </c>
      <c r="C1119" s="103" t="s">
        <v>701</v>
      </c>
      <c r="D1119" s="103" t="s">
        <v>1022</v>
      </c>
      <c r="E1119" s="103" t="s">
        <v>578</v>
      </c>
      <c r="G1119" s="103" t="s">
        <v>1647</v>
      </c>
      <c r="H1119" s="103" t="s">
        <v>2012</v>
      </c>
    </row>
    <row r="1120" ht="22.5" customHeight="1">
      <c r="A1120" s="102">
        <v>45980.67582954861</v>
      </c>
      <c r="B1120" s="103" t="s">
        <v>341</v>
      </c>
      <c r="C1120" s="103" t="s">
        <v>1047</v>
      </c>
      <c r="D1120" s="103" t="s">
        <v>1048</v>
      </c>
      <c r="E1120" s="103" t="s">
        <v>639</v>
      </c>
      <c r="G1120" s="103" t="s">
        <v>335</v>
      </c>
      <c r="H1120" s="103" t="s">
        <v>2013</v>
      </c>
    </row>
    <row r="1121" ht="22.5" customHeight="1">
      <c r="A1121" s="102">
        <v>45980.68529708333</v>
      </c>
      <c r="B1121" s="103" t="s">
        <v>128</v>
      </c>
      <c r="C1121" s="103" t="s">
        <v>561</v>
      </c>
      <c r="D1121" s="103" t="s">
        <v>830</v>
      </c>
      <c r="E1121" s="103" t="s">
        <v>494</v>
      </c>
      <c r="G1121" s="103" t="s">
        <v>124</v>
      </c>
      <c r="H1121" s="103" t="s">
        <v>2014</v>
      </c>
    </row>
    <row r="1122" ht="22.5" customHeight="1">
      <c r="A1122" s="102">
        <v>45980.687045081024</v>
      </c>
      <c r="B1122" s="103" t="s">
        <v>88</v>
      </c>
      <c r="C1122" s="103" t="s">
        <v>843</v>
      </c>
      <c r="D1122" s="103" t="s">
        <v>844</v>
      </c>
      <c r="E1122" s="103" t="s">
        <v>494</v>
      </c>
      <c r="G1122" s="103" t="s">
        <v>532</v>
      </c>
      <c r="H1122" s="103" t="s">
        <v>2015</v>
      </c>
    </row>
    <row r="1123" ht="22.5" customHeight="1">
      <c r="A1123" s="102">
        <v>45980.70150659722</v>
      </c>
      <c r="B1123" s="103" t="s">
        <v>250</v>
      </c>
      <c r="C1123" s="103" t="s">
        <v>2016</v>
      </c>
      <c r="D1123" s="103" t="s">
        <v>2017</v>
      </c>
      <c r="E1123" s="103" t="s">
        <v>494</v>
      </c>
      <c r="G1123" s="103" t="s">
        <v>2018</v>
      </c>
      <c r="H1123" s="103" t="s">
        <v>2019</v>
      </c>
    </row>
    <row r="1124" ht="22.5" customHeight="1">
      <c r="A1124" s="102">
        <v>45980.71627583333</v>
      </c>
      <c r="B1124" s="103" t="s">
        <v>337</v>
      </c>
      <c r="C1124" s="103" t="s">
        <v>561</v>
      </c>
      <c r="D1124" s="103" t="s">
        <v>466</v>
      </c>
      <c r="E1124" s="103" t="s">
        <v>427</v>
      </c>
      <c r="G1124" s="103" t="s">
        <v>1717</v>
      </c>
      <c r="H1124" s="103" t="s">
        <v>2020</v>
      </c>
    </row>
    <row r="1125" ht="22.5" customHeight="1">
      <c r="A1125" s="102">
        <v>45994.66048622685</v>
      </c>
      <c r="B1125" s="103" t="s">
        <v>163</v>
      </c>
      <c r="C1125" s="103" t="s">
        <v>2021</v>
      </c>
      <c r="D1125" s="103" t="s">
        <v>895</v>
      </c>
      <c r="E1125" s="103" t="s">
        <v>450</v>
      </c>
      <c r="G1125" s="103" t="s">
        <v>1399</v>
      </c>
      <c r="H1125" s="103" t="s">
        <v>2022</v>
      </c>
    </row>
    <row r="1126" ht="22.5" customHeight="1">
      <c r="A1126" s="102">
        <v>45994.66114372685</v>
      </c>
      <c r="B1126" s="103" t="s">
        <v>145</v>
      </c>
      <c r="C1126" s="103" t="s">
        <v>1425</v>
      </c>
      <c r="D1126" s="103" t="s">
        <v>545</v>
      </c>
      <c r="E1126" s="103" t="s">
        <v>494</v>
      </c>
      <c r="G1126" s="103" t="s">
        <v>784</v>
      </c>
      <c r="H1126" s="103" t="s">
        <v>2023</v>
      </c>
    </row>
    <row r="1127" ht="22.5" customHeight="1">
      <c r="A1127" s="102">
        <v>45994.66268729167</v>
      </c>
      <c r="B1127" s="103" t="s">
        <v>361</v>
      </c>
      <c r="C1127" s="103" t="s">
        <v>625</v>
      </c>
      <c r="D1127" s="103" t="s">
        <v>626</v>
      </c>
      <c r="E1127" s="103" t="s">
        <v>639</v>
      </c>
      <c r="G1127" s="103" t="s">
        <v>359</v>
      </c>
      <c r="H1127" s="103" t="s">
        <v>2024</v>
      </c>
    </row>
    <row r="1128" ht="22.5" customHeight="1">
      <c r="A1128" s="102">
        <v>45994.662835787036</v>
      </c>
      <c r="B1128" s="103" t="s">
        <v>171</v>
      </c>
      <c r="C1128" s="103" t="s">
        <v>609</v>
      </c>
      <c r="D1128" s="103" t="s">
        <v>610</v>
      </c>
      <c r="E1128" s="103" t="s">
        <v>450</v>
      </c>
      <c r="G1128" s="103" t="s">
        <v>172</v>
      </c>
      <c r="H1128" s="103" t="s">
        <v>2025</v>
      </c>
    </row>
    <row r="1129" ht="22.5" customHeight="1">
      <c r="A1129" s="102">
        <v>45994.663364224536</v>
      </c>
      <c r="B1129" s="103" t="s">
        <v>263</v>
      </c>
      <c r="C1129" s="103" t="s">
        <v>505</v>
      </c>
      <c r="D1129" s="103" t="s">
        <v>506</v>
      </c>
      <c r="E1129" s="103" t="s">
        <v>450</v>
      </c>
      <c r="G1129" s="103" t="s">
        <v>255</v>
      </c>
      <c r="H1129" s="103" t="s">
        <v>2026</v>
      </c>
    </row>
    <row r="1130" ht="22.5" customHeight="1">
      <c r="A1130" s="102">
        <v>45994.66338641204</v>
      </c>
      <c r="B1130" s="103" t="s">
        <v>66</v>
      </c>
      <c r="C1130" s="103" t="s">
        <v>668</v>
      </c>
      <c r="D1130" s="103" t="s">
        <v>689</v>
      </c>
      <c r="E1130" s="103" t="s">
        <v>427</v>
      </c>
      <c r="G1130" s="103" t="s">
        <v>62</v>
      </c>
      <c r="H1130" s="103" t="s">
        <v>2027</v>
      </c>
    </row>
    <row r="1131" ht="22.5" customHeight="1">
      <c r="A1131" s="102">
        <v>45994.663446516206</v>
      </c>
      <c r="B1131" s="103" t="s">
        <v>90</v>
      </c>
      <c r="C1131" s="103" t="s">
        <v>418</v>
      </c>
      <c r="D1131" s="103" t="s">
        <v>419</v>
      </c>
      <c r="E1131" s="103" t="s">
        <v>450</v>
      </c>
      <c r="G1131" s="103" t="s">
        <v>84</v>
      </c>
      <c r="H1131" s="103" t="s">
        <v>2028</v>
      </c>
    </row>
    <row r="1132" ht="22.5" customHeight="1">
      <c r="A1132" s="102">
        <v>45994.66352811342</v>
      </c>
      <c r="B1132" s="103" t="s">
        <v>158</v>
      </c>
      <c r="C1132" s="103" t="s">
        <v>540</v>
      </c>
      <c r="D1132" s="103" t="s">
        <v>541</v>
      </c>
      <c r="E1132" s="103" t="s">
        <v>450</v>
      </c>
      <c r="G1132" s="103" t="s">
        <v>148</v>
      </c>
      <c r="H1132" s="103" t="s">
        <v>2029</v>
      </c>
    </row>
    <row r="1133" ht="22.5" customHeight="1">
      <c r="A1133" s="102">
        <v>45994.66362666667</v>
      </c>
      <c r="B1133" s="103" t="s">
        <v>139</v>
      </c>
      <c r="C1133" s="103" t="s">
        <v>1428</v>
      </c>
      <c r="D1133" s="103" t="s">
        <v>1429</v>
      </c>
      <c r="E1133" s="103" t="s">
        <v>427</v>
      </c>
      <c r="G1133" s="103" t="s">
        <v>137</v>
      </c>
      <c r="H1133" s="103" t="s">
        <v>2030</v>
      </c>
    </row>
    <row r="1134" ht="22.5" customHeight="1">
      <c r="A1134" s="102">
        <v>45994.663778877315</v>
      </c>
      <c r="B1134" s="103" t="s">
        <v>102</v>
      </c>
      <c r="C1134" s="103" t="s">
        <v>508</v>
      </c>
      <c r="D1134" s="103" t="s">
        <v>509</v>
      </c>
      <c r="E1134" s="103" t="s">
        <v>639</v>
      </c>
      <c r="G1134" s="103" t="s">
        <v>527</v>
      </c>
      <c r="H1134" s="103" t="s">
        <v>2031</v>
      </c>
    </row>
    <row r="1135" ht="22.5" customHeight="1">
      <c r="A1135" s="102">
        <v>45994.66388869213</v>
      </c>
      <c r="B1135" s="103" t="s">
        <v>385</v>
      </c>
      <c r="C1135" s="103" t="s">
        <v>1402</v>
      </c>
      <c r="D1135" s="103" t="s">
        <v>466</v>
      </c>
      <c r="E1135" s="103" t="s">
        <v>450</v>
      </c>
      <c r="G1135" s="103" t="s">
        <v>474</v>
      </c>
      <c r="H1135" s="103" t="s">
        <v>2032</v>
      </c>
    </row>
    <row r="1136" ht="22.5" customHeight="1">
      <c r="A1136" s="102">
        <v>45994.66402081019</v>
      </c>
      <c r="B1136" s="103" t="s">
        <v>20</v>
      </c>
      <c r="C1136" s="103" t="s">
        <v>754</v>
      </c>
      <c r="D1136" s="103" t="s">
        <v>755</v>
      </c>
      <c r="E1136" s="103" t="s">
        <v>450</v>
      </c>
      <c r="G1136" s="103" t="s">
        <v>1859</v>
      </c>
      <c r="H1136" s="103" t="s">
        <v>2033</v>
      </c>
    </row>
    <row r="1137" ht="22.5" customHeight="1">
      <c r="A1137" s="102">
        <v>45994.66419872685</v>
      </c>
      <c r="B1137" s="103" t="s">
        <v>200</v>
      </c>
      <c r="C1137" s="103" t="s">
        <v>1645</v>
      </c>
      <c r="D1137" s="103" t="s">
        <v>588</v>
      </c>
      <c r="E1137" s="103" t="s">
        <v>450</v>
      </c>
      <c r="G1137" s="103" t="s">
        <v>198</v>
      </c>
      <c r="H1137" s="103" t="s">
        <v>2034</v>
      </c>
    </row>
    <row r="1138" ht="22.5" customHeight="1">
      <c r="A1138" s="102">
        <v>45994.66421326389</v>
      </c>
      <c r="B1138" s="103" t="s">
        <v>268</v>
      </c>
      <c r="C1138" s="103" t="s">
        <v>722</v>
      </c>
      <c r="D1138" s="103" t="s">
        <v>723</v>
      </c>
      <c r="E1138" s="103" t="s">
        <v>450</v>
      </c>
      <c r="G1138" s="103" t="s">
        <v>2035</v>
      </c>
      <c r="H1138" s="103" t="s">
        <v>2036</v>
      </c>
    </row>
    <row r="1139" ht="22.5" customHeight="1">
      <c r="A1139" s="102">
        <v>45994.664232916664</v>
      </c>
      <c r="B1139" s="103" t="s">
        <v>278</v>
      </c>
      <c r="C1139" s="103" t="s">
        <v>622</v>
      </c>
      <c r="D1139" s="103" t="s">
        <v>623</v>
      </c>
      <c r="E1139" s="103" t="s">
        <v>450</v>
      </c>
      <c r="G1139" s="103" t="s">
        <v>604</v>
      </c>
      <c r="H1139" s="103" t="s">
        <v>2037</v>
      </c>
    </row>
    <row r="1140" ht="22.5" customHeight="1">
      <c r="A1140" s="102">
        <v>45994.66471244213</v>
      </c>
      <c r="B1140" s="103" t="s">
        <v>197</v>
      </c>
      <c r="C1140" s="103" t="s">
        <v>618</v>
      </c>
      <c r="D1140" s="103" t="s">
        <v>2038</v>
      </c>
      <c r="E1140" s="103" t="s">
        <v>450</v>
      </c>
      <c r="G1140" s="103" t="s">
        <v>198</v>
      </c>
      <c r="H1140" s="103" t="s">
        <v>2039</v>
      </c>
    </row>
    <row r="1141" ht="22.5" customHeight="1">
      <c r="A1141" s="102">
        <v>45994.665246874996</v>
      </c>
      <c r="B1141" s="103" t="s">
        <v>228</v>
      </c>
      <c r="C1141" s="103" t="s">
        <v>1691</v>
      </c>
      <c r="D1141" s="103" t="s">
        <v>573</v>
      </c>
      <c r="E1141" s="103" t="s">
        <v>578</v>
      </c>
      <c r="G1141" s="103" t="s">
        <v>1882</v>
      </c>
      <c r="H1141" s="103" t="s">
        <v>2040</v>
      </c>
    </row>
    <row r="1142" ht="22.5" customHeight="1">
      <c r="A1142" s="102">
        <v>45994.66537027778</v>
      </c>
      <c r="B1142" s="103" t="s">
        <v>270</v>
      </c>
      <c r="C1142" s="103" t="s">
        <v>1080</v>
      </c>
      <c r="D1142" s="103" t="s">
        <v>647</v>
      </c>
      <c r="E1142" s="103" t="s">
        <v>450</v>
      </c>
      <c r="G1142" s="103" t="s">
        <v>648</v>
      </c>
      <c r="H1142" s="103" t="s">
        <v>2041</v>
      </c>
    </row>
    <row r="1143" ht="22.5" customHeight="1">
      <c r="A1143" s="102">
        <v>45994.66580483796</v>
      </c>
      <c r="B1143" s="103" t="s">
        <v>31</v>
      </c>
      <c r="C1143" s="103" t="s">
        <v>569</v>
      </c>
      <c r="D1143" s="103" t="s">
        <v>694</v>
      </c>
      <c r="E1143" s="103" t="s">
        <v>450</v>
      </c>
      <c r="G1143" s="103" t="s">
        <v>912</v>
      </c>
      <c r="H1143" s="103" t="s">
        <v>2042</v>
      </c>
    </row>
    <row r="1144" ht="22.5" customHeight="1">
      <c r="A1144" s="102">
        <v>45994.66598950232</v>
      </c>
      <c r="B1144" s="103" t="s">
        <v>265</v>
      </c>
      <c r="C1144" s="103" t="s">
        <v>733</v>
      </c>
      <c r="D1144" s="103" t="s">
        <v>734</v>
      </c>
      <c r="E1144" s="103" t="s">
        <v>450</v>
      </c>
      <c r="G1144" s="103" t="s">
        <v>604</v>
      </c>
      <c r="H1144" s="103" t="s">
        <v>2043</v>
      </c>
    </row>
    <row r="1145" ht="22.5" customHeight="1">
      <c r="A1145" s="102">
        <v>46001.6568393287</v>
      </c>
      <c r="B1145" s="103" t="s">
        <v>139</v>
      </c>
      <c r="C1145" s="103" t="s">
        <v>1428</v>
      </c>
      <c r="D1145" s="103" t="s">
        <v>1429</v>
      </c>
      <c r="E1145" s="103" t="s">
        <v>578</v>
      </c>
      <c r="G1145" s="103" t="s">
        <v>137</v>
      </c>
      <c r="H1145" s="103">
        <v>22133.0</v>
      </c>
    </row>
    <row r="1146" ht="22.5" customHeight="1">
      <c r="A1146" s="102">
        <v>46001.65686311343</v>
      </c>
      <c r="B1146" s="103" t="s">
        <v>244</v>
      </c>
      <c r="C1146" s="103" t="s">
        <v>1160</v>
      </c>
      <c r="D1146" s="103" t="s">
        <v>1161</v>
      </c>
      <c r="E1146" s="103" t="s">
        <v>420</v>
      </c>
      <c r="G1146" s="103" t="s">
        <v>615</v>
      </c>
      <c r="H1146" s="103">
        <v>21661.0</v>
      </c>
    </row>
    <row r="1147" ht="22.5" customHeight="1">
      <c r="A1147" s="102">
        <v>46001.656880208335</v>
      </c>
      <c r="B1147" s="103" t="s">
        <v>145</v>
      </c>
      <c r="C1147" s="103" t="s">
        <v>783</v>
      </c>
      <c r="D1147" s="103" t="s">
        <v>545</v>
      </c>
      <c r="E1147" s="103" t="s">
        <v>494</v>
      </c>
      <c r="G1147" s="103" t="s">
        <v>1176</v>
      </c>
      <c r="H1147" s="103">
        <v>20434.0</v>
      </c>
    </row>
    <row r="1148" ht="22.5" customHeight="1">
      <c r="A1148" s="102">
        <v>46001.65688833334</v>
      </c>
      <c r="B1148" s="103" t="s">
        <v>169</v>
      </c>
      <c r="C1148" s="103" t="s">
        <v>676</v>
      </c>
      <c r="D1148" s="103" t="s">
        <v>677</v>
      </c>
      <c r="E1148" s="103" t="s">
        <v>639</v>
      </c>
      <c r="G1148" s="103" t="s">
        <v>445</v>
      </c>
      <c r="H1148" s="103" t="s">
        <v>676</v>
      </c>
    </row>
    <row r="1149" ht="22.5" customHeight="1">
      <c r="A1149" s="102">
        <v>46001.65690714121</v>
      </c>
      <c r="B1149" s="103" t="s">
        <v>210</v>
      </c>
      <c r="C1149" s="103" t="s">
        <v>711</v>
      </c>
      <c r="D1149" s="103" t="s">
        <v>712</v>
      </c>
      <c r="E1149" s="103" t="s">
        <v>578</v>
      </c>
      <c r="G1149" s="103" t="s">
        <v>1715</v>
      </c>
      <c r="H1149" s="103">
        <v>23660.0</v>
      </c>
    </row>
    <row r="1150" ht="22.5" customHeight="1">
      <c r="A1150" s="102">
        <v>46001.6569349537</v>
      </c>
      <c r="B1150" s="103" t="s">
        <v>304</v>
      </c>
      <c r="C1150" s="103" t="s">
        <v>2044</v>
      </c>
      <c r="D1150" s="103" t="s">
        <v>888</v>
      </c>
      <c r="E1150" s="103" t="s">
        <v>494</v>
      </c>
      <c r="G1150" s="103" t="s">
        <v>1275</v>
      </c>
      <c r="H1150" s="103" t="s">
        <v>2045</v>
      </c>
    </row>
    <row r="1151" ht="22.5" customHeight="1">
      <c r="A1151" s="102">
        <v>46001.65711140046</v>
      </c>
      <c r="B1151" s="103" t="s">
        <v>165</v>
      </c>
      <c r="C1151" s="103" t="s">
        <v>847</v>
      </c>
      <c r="D1151" s="103" t="s">
        <v>848</v>
      </c>
      <c r="E1151" s="103" t="s">
        <v>494</v>
      </c>
      <c r="G1151" s="103" t="s">
        <v>445</v>
      </c>
      <c r="H1151" s="103">
        <v>1.31567258E8</v>
      </c>
    </row>
    <row r="1152" ht="22.5" customHeight="1">
      <c r="A1152" s="102">
        <v>46001.65723328704</v>
      </c>
      <c r="B1152" s="103" t="s">
        <v>221</v>
      </c>
      <c r="C1152" s="103" t="s">
        <v>787</v>
      </c>
      <c r="D1152" s="103" t="s">
        <v>651</v>
      </c>
      <c r="E1152" s="103" t="s">
        <v>450</v>
      </c>
      <c r="G1152" s="103" t="s">
        <v>820</v>
      </c>
      <c r="H1152" s="103">
        <v>1.31683979E8</v>
      </c>
    </row>
    <row r="1153" ht="22.5" customHeight="1">
      <c r="A1153" s="102">
        <v>46001.65724729167</v>
      </c>
      <c r="B1153" s="103" t="s">
        <v>215</v>
      </c>
      <c r="C1153" s="103" t="s">
        <v>452</v>
      </c>
      <c r="D1153" s="103" t="s">
        <v>453</v>
      </c>
      <c r="E1153" s="103" t="s">
        <v>578</v>
      </c>
      <c r="G1153" s="103" t="s">
        <v>820</v>
      </c>
      <c r="H1153" s="103">
        <v>24189.0</v>
      </c>
    </row>
    <row r="1154" ht="22.5" customHeight="1">
      <c r="A1154" s="102">
        <v>46001.65728695602</v>
      </c>
      <c r="B1154" s="103" t="s">
        <v>132</v>
      </c>
      <c r="C1154" s="103" t="s">
        <v>657</v>
      </c>
      <c r="D1154" s="103" t="s">
        <v>660</v>
      </c>
      <c r="E1154" s="103" t="s">
        <v>420</v>
      </c>
      <c r="G1154" s="103" t="s">
        <v>124</v>
      </c>
      <c r="H1154" s="103">
        <v>1.31683972E8</v>
      </c>
    </row>
    <row r="1155" ht="22.5" customHeight="1">
      <c r="A1155" s="102">
        <v>46001.657306319445</v>
      </c>
      <c r="B1155" s="103" t="s">
        <v>59</v>
      </c>
      <c r="C1155" s="103" t="s">
        <v>919</v>
      </c>
      <c r="D1155" s="103" t="s">
        <v>548</v>
      </c>
      <c r="E1155" s="103" t="s">
        <v>494</v>
      </c>
      <c r="G1155" s="103" t="s">
        <v>49</v>
      </c>
      <c r="H1155" s="103">
        <v>1.31567299E8</v>
      </c>
    </row>
    <row r="1156" ht="22.5" customHeight="1">
      <c r="A1156" s="102">
        <v>46001.65732921296</v>
      </c>
      <c r="B1156" s="103" t="s">
        <v>123</v>
      </c>
      <c r="C1156" s="103" t="s">
        <v>1602</v>
      </c>
      <c r="D1156" s="103" t="s">
        <v>654</v>
      </c>
      <c r="E1156" s="103" t="s">
        <v>420</v>
      </c>
      <c r="G1156" s="103" t="s">
        <v>124</v>
      </c>
      <c r="H1156" s="103">
        <v>1.31683977E8</v>
      </c>
    </row>
    <row r="1157" ht="22.5" customHeight="1">
      <c r="A1157" s="102">
        <v>46001.65735283565</v>
      </c>
      <c r="B1157" s="103" t="s">
        <v>160</v>
      </c>
      <c r="C1157" s="103" t="s">
        <v>631</v>
      </c>
      <c r="D1157" s="103" t="s">
        <v>870</v>
      </c>
      <c r="E1157" s="103" t="s">
        <v>420</v>
      </c>
      <c r="G1157" s="103" t="s">
        <v>161</v>
      </c>
      <c r="H1157" s="103">
        <v>1.31357401E8</v>
      </c>
    </row>
    <row r="1158" ht="22.5" customHeight="1">
      <c r="A1158" s="102">
        <v>46001.657370057874</v>
      </c>
      <c r="B1158" s="103" t="s">
        <v>18</v>
      </c>
      <c r="C1158" s="103" t="s">
        <v>811</v>
      </c>
      <c r="D1158" s="103" t="s">
        <v>812</v>
      </c>
      <c r="E1158" s="103" t="s">
        <v>494</v>
      </c>
      <c r="G1158" s="103" t="s">
        <v>1859</v>
      </c>
      <c r="H1158" s="103">
        <v>1.31700102E8</v>
      </c>
    </row>
    <row r="1159" ht="22.5" customHeight="1">
      <c r="A1159" s="102">
        <v>46001.65739587963</v>
      </c>
      <c r="B1159" s="103" t="s">
        <v>27</v>
      </c>
      <c r="C1159" s="103" t="s">
        <v>1098</v>
      </c>
      <c r="D1159" s="103" t="s">
        <v>947</v>
      </c>
      <c r="E1159" s="103" t="s">
        <v>578</v>
      </c>
      <c r="G1159" s="103" t="s">
        <v>912</v>
      </c>
      <c r="H1159" s="103">
        <v>1.31567307E8</v>
      </c>
    </row>
    <row r="1160" ht="22.5" customHeight="1">
      <c r="A1160" s="102">
        <v>46001.65740148148</v>
      </c>
      <c r="B1160" s="103" t="s">
        <v>79</v>
      </c>
      <c r="C1160" s="103" t="s">
        <v>444</v>
      </c>
      <c r="D1160" s="103" t="s">
        <v>430</v>
      </c>
      <c r="E1160" s="103" t="s">
        <v>420</v>
      </c>
      <c r="G1160" s="103" t="s">
        <v>71</v>
      </c>
      <c r="H1160" s="103">
        <v>1.31567312E8</v>
      </c>
    </row>
    <row r="1161" ht="22.5" customHeight="1">
      <c r="A1161" s="102">
        <v>46001.657406134254</v>
      </c>
      <c r="B1161" s="103" t="s">
        <v>20</v>
      </c>
      <c r="C1161" s="103" t="s">
        <v>754</v>
      </c>
      <c r="D1161" s="103" t="s">
        <v>755</v>
      </c>
      <c r="E1161" s="103" t="s">
        <v>494</v>
      </c>
      <c r="G1161" s="103" t="s">
        <v>957</v>
      </c>
      <c r="H1161" s="103">
        <v>1.31684013E8</v>
      </c>
    </row>
    <row r="1162" ht="22.5" customHeight="1">
      <c r="A1162" s="102">
        <v>46001.65740653935</v>
      </c>
      <c r="B1162" s="103" t="s">
        <v>128</v>
      </c>
      <c r="C1162" s="103" t="s">
        <v>561</v>
      </c>
      <c r="D1162" s="103" t="s">
        <v>830</v>
      </c>
      <c r="E1162" s="103" t="s">
        <v>420</v>
      </c>
      <c r="G1162" s="103" t="s">
        <v>124</v>
      </c>
      <c r="H1162" s="103">
        <v>1.31683978E8</v>
      </c>
    </row>
    <row r="1163" ht="22.5" customHeight="1">
      <c r="A1163" s="102">
        <v>46001.657424861114</v>
      </c>
      <c r="B1163" s="103" t="s">
        <v>42</v>
      </c>
      <c r="C1163" s="103" t="s">
        <v>1186</v>
      </c>
      <c r="D1163" s="103" t="s">
        <v>1187</v>
      </c>
      <c r="E1163" s="103" t="s">
        <v>494</v>
      </c>
      <c r="G1163" s="103" t="s">
        <v>1386</v>
      </c>
      <c r="H1163" s="103">
        <v>1.31567306E8</v>
      </c>
    </row>
    <row r="1164" ht="22.5" customHeight="1">
      <c r="A1164" s="102">
        <v>46001.657444375</v>
      </c>
      <c r="B1164" s="103" t="s">
        <v>31</v>
      </c>
      <c r="C1164" s="103" t="s">
        <v>569</v>
      </c>
      <c r="D1164" s="103" t="s">
        <v>1772</v>
      </c>
      <c r="E1164" s="103" t="s">
        <v>494</v>
      </c>
      <c r="G1164" s="103" t="s">
        <v>23</v>
      </c>
      <c r="H1164" s="103">
        <v>1.31683974E8</v>
      </c>
    </row>
    <row r="1165" ht="22.5" customHeight="1">
      <c r="A1165" s="102">
        <v>46001.657446006946</v>
      </c>
      <c r="B1165" s="103" t="s">
        <v>339</v>
      </c>
      <c r="C1165" s="103" t="s">
        <v>858</v>
      </c>
      <c r="D1165" s="103" t="s">
        <v>726</v>
      </c>
      <c r="E1165" s="103" t="s">
        <v>494</v>
      </c>
      <c r="G1165" s="103" t="s">
        <v>2046</v>
      </c>
      <c r="H1165" s="103">
        <v>1.3135751E8</v>
      </c>
    </row>
    <row r="1166" ht="22.5" customHeight="1">
      <c r="A1166" s="102">
        <v>46001.657460682865</v>
      </c>
      <c r="B1166" s="103" t="s">
        <v>337</v>
      </c>
      <c r="C1166" s="103" t="s">
        <v>561</v>
      </c>
      <c r="D1166" s="103" t="s">
        <v>466</v>
      </c>
      <c r="E1166" s="103" t="s">
        <v>494</v>
      </c>
      <c r="G1166" s="103" t="s">
        <v>1717</v>
      </c>
      <c r="H1166" s="103">
        <v>1.31567318E8</v>
      </c>
    </row>
    <row r="1167" ht="22.5" customHeight="1">
      <c r="A1167" s="102">
        <v>46001.6575090625</v>
      </c>
      <c r="B1167" s="103" t="s">
        <v>22</v>
      </c>
      <c r="C1167" s="103" t="s">
        <v>596</v>
      </c>
      <c r="D1167" s="103" t="s">
        <v>597</v>
      </c>
      <c r="E1167" s="103" t="s">
        <v>494</v>
      </c>
      <c r="G1167" s="103" t="s">
        <v>2047</v>
      </c>
      <c r="H1167" s="103">
        <v>1.31357551E8</v>
      </c>
    </row>
    <row r="1168" ht="22.5" customHeight="1">
      <c r="A1168" s="102">
        <v>46001.65752497685</v>
      </c>
      <c r="B1168" s="103" t="s">
        <v>193</v>
      </c>
      <c r="C1168" s="103" t="s">
        <v>1530</v>
      </c>
      <c r="D1168" s="103" t="s">
        <v>550</v>
      </c>
      <c r="E1168" s="103" t="s">
        <v>494</v>
      </c>
      <c r="G1168" s="103" t="s">
        <v>551</v>
      </c>
      <c r="H1168" s="103">
        <v>1.31588876E8</v>
      </c>
    </row>
    <row r="1169" ht="22.5" customHeight="1">
      <c r="A1169" s="102">
        <v>46001.6575293287</v>
      </c>
      <c r="B1169" s="103" t="s">
        <v>57</v>
      </c>
      <c r="C1169" s="103" t="s">
        <v>553</v>
      </c>
      <c r="D1169" s="103" t="s">
        <v>554</v>
      </c>
      <c r="E1169" s="103" t="s">
        <v>494</v>
      </c>
      <c r="G1169" s="103" t="s">
        <v>1620</v>
      </c>
      <c r="H1169" s="103">
        <v>1.31683986E8</v>
      </c>
    </row>
    <row r="1170" ht="22.5" customHeight="1">
      <c r="A1170" s="102">
        <v>46001.65753143519</v>
      </c>
      <c r="B1170" s="103" t="s">
        <v>110</v>
      </c>
      <c r="C1170" s="103" t="s">
        <v>514</v>
      </c>
      <c r="D1170" s="103" t="s">
        <v>515</v>
      </c>
      <c r="E1170" s="103" t="s">
        <v>420</v>
      </c>
      <c r="G1170" s="103" t="s">
        <v>944</v>
      </c>
      <c r="H1170" s="103">
        <v>1.3170091E8</v>
      </c>
    </row>
    <row r="1171" ht="22.5" customHeight="1">
      <c r="A1171" s="102">
        <v>46001.65754986111</v>
      </c>
      <c r="B1171" s="103" t="s">
        <v>53</v>
      </c>
      <c r="C1171" s="103" t="s">
        <v>1519</v>
      </c>
      <c r="D1171" s="103" t="s">
        <v>968</v>
      </c>
      <c r="E1171" s="103" t="s">
        <v>494</v>
      </c>
      <c r="G1171" s="103" t="s">
        <v>537</v>
      </c>
      <c r="H1171" s="103">
        <v>1.31700896E8</v>
      </c>
    </row>
    <row r="1172" ht="22.5" customHeight="1">
      <c r="A1172" s="102">
        <v>46001.65756045139</v>
      </c>
      <c r="B1172" s="103" t="s">
        <v>163</v>
      </c>
      <c r="C1172" s="103" t="s">
        <v>425</v>
      </c>
      <c r="D1172" s="103" t="s">
        <v>895</v>
      </c>
      <c r="E1172" s="103" t="s">
        <v>494</v>
      </c>
      <c r="G1172" s="103" t="s">
        <v>1399</v>
      </c>
      <c r="H1172" s="103">
        <v>1.31567257E8</v>
      </c>
    </row>
    <row r="1173" ht="22.5" customHeight="1">
      <c r="A1173" s="102">
        <v>46001.65756125</v>
      </c>
      <c r="B1173" s="103" t="s">
        <v>213</v>
      </c>
      <c r="C1173" s="103" t="s">
        <v>728</v>
      </c>
      <c r="D1173" s="103" t="s">
        <v>729</v>
      </c>
      <c r="E1173" s="103" t="s">
        <v>578</v>
      </c>
      <c r="G1173" s="103" t="s">
        <v>211</v>
      </c>
      <c r="H1173" s="103">
        <v>1.31700847E8</v>
      </c>
    </row>
    <row r="1174" ht="22.5" customHeight="1">
      <c r="A1174" s="102">
        <v>46001.65756841435</v>
      </c>
      <c r="B1174" s="103" t="s">
        <v>195</v>
      </c>
      <c r="C1174" s="103" t="s">
        <v>501</v>
      </c>
      <c r="D1174" s="103" t="s">
        <v>1025</v>
      </c>
      <c r="E1174" s="103" t="s">
        <v>578</v>
      </c>
      <c r="G1174" s="103" t="s">
        <v>503</v>
      </c>
      <c r="H1174" s="103">
        <v>1.31706788E8</v>
      </c>
    </row>
    <row r="1175" ht="22.5" customHeight="1">
      <c r="A1175" s="102">
        <v>46001.657595324075</v>
      </c>
      <c r="B1175" s="103" t="s">
        <v>200</v>
      </c>
      <c r="C1175" s="103" t="s">
        <v>950</v>
      </c>
      <c r="D1175" s="103" t="s">
        <v>588</v>
      </c>
      <c r="E1175" s="103" t="s">
        <v>494</v>
      </c>
      <c r="G1175" s="103" t="s">
        <v>198</v>
      </c>
      <c r="H1175" s="103">
        <v>1.31700884E8</v>
      </c>
    </row>
    <row r="1176" ht="22.5" customHeight="1">
      <c r="A1176" s="102">
        <v>46001.657607256944</v>
      </c>
      <c r="B1176" s="103" t="s">
        <v>55</v>
      </c>
      <c r="C1176" s="103" t="s">
        <v>1532</v>
      </c>
      <c r="D1176" s="103" t="s">
        <v>983</v>
      </c>
      <c r="E1176" s="103" t="s">
        <v>494</v>
      </c>
      <c r="G1176" s="103" t="s">
        <v>537</v>
      </c>
      <c r="H1176" s="103">
        <v>1.31567259E8</v>
      </c>
    </row>
    <row r="1177" ht="22.5" customHeight="1">
      <c r="A1177" s="102">
        <v>46001.65760961805</v>
      </c>
      <c r="B1177" s="103" t="s">
        <v>1192</v>
      </c>
      <c r="C1177" s="103" t="s">
        <v>1454</v>
      </c>
      <c r="D1177" s="103" t="s">
        <v>709</v>
      </c>
      <c r="E1177" s="103" t="s">
        <v>494</v>
      </c>
      <c r="G1177" s="103" t="s">
        <v>1386</v>
      </c>
      <c r="H1177" s="103">
        <v>1.31357479E8</v>
      </c>
    </row>
    <row r="1178" ht="22.5" customHeight="1">
      <c r="A1178" s="102">
        <v>46001.65761900463</v>
      </c>
      <c r="B1178" s="103" t="s">
        <v>150</v>
      </c>
      <c r="C1178" s="103" t="s">
        <v>774</v>
      </c>
      <c r="D1178" s="103" t="s">
        <v>775</v>
      </c>
      <c r="E1178" s="103" t="s">
        <v>420</v>
      </c>
      <c r="G1178" s="103" t="s">
        <v>148</v>
      </c>
      <c r="H1178" s="103" t="s">
        <v>2048</v>
      </c>
    </row>
    <row r="1179" ht="22.5" customHeight="1">
      <c r="A1179" s="102">
        <v>46001.65763356481</v>
      </c>
      <c r="B1179" s="103" t="s">
        <v>167</v>
      </c>
      <c r="C1179" s="103" t="s">
        <v>599</v>
      </c>
      <c r="D1179" s="103" t="s">
        <v>600</v>
      </c>
      <c r="E1179" s="103" t="s">
        <v>420</v>
      </c>
      <c r="G1179" s="103" t="s">
        <v>445</v>
      </c>
      <c r="H1179" s="103">
        <v>1.3156731E8</v>
      </c>
    </row>
    <row r="1180" ht="22.5" customHeight="1">
      <c r="A1180" s="102">
        <v>46001.65763540509</v>
      </c>
      <c r="B1180" s="103" t="s">
        <v>75</v>
      </c>
      <c r="C1180" s="103" t="s">
        <v>707</v>
      </c>
      <c r="D1180" s="103" t="s">
        <v>689</v>
      </c>
      <c r="E1180" s="103" t="s">
        <v>494</v>
      </c>
      <c r="G1180" s="103" t="s">
        <v>71</v>
      </c>
      <c r="H1180" s="103">
        <v>1.31357447E8</v>
      </c>
    </row>
    <row r="1181" ht="22.5" customHeight="1">
      <c r="A1181" s="102">
        <v>46001.657651574074</v>
      </c>
      <c r="B1181" s="103" t="s">
        <v>210</v>
      </c>
      <c r="C1181" s="103" t="s">
        <v>711</v>
      </c>
      <c r="D1181" s="103" t="s">
        <v>712</v>
      </c>
      <c r="E1181" s="103" t="s">
        <v>578</v>
      </c>
      <c r="G1181" s="103" t="s">
        <v>1715</v>
      </c>
      <c r="H1181" s="103">
        <v>1.31700852E8</v>
      </c>
    </row>
    <row r="1182" ht="22.5" customHeight="1">
      <c r="A1182" s="102">
        <v>46001.65765415509</v>
      </c>
      <c r="B1182" s="103" t="s">
        <v>64</v>
      </c>
      <c r="C1182" s="103" t="s">
        <v>1089</v>
      </c>
      <c r="D1182" s="103" t="s">
        <v>1090</v>
      </c>
      <c r="E1182" s="103" t="s">
        <v>494</v>
      </c>
      <c r="G1182" s="103" t="s">
        <v>62</v>
      </c>
      <c r="H1182" s="103">
        <v>1.31567313E8</v>
      </c>
    </row>
    <row r="1183" ht="22.5" customHeight="1">
      <c r="A1183" s="102">
        <v>46001.657712002314</v>
      </c>
      <c r="B1183" s="103" t="s">
        <v>184</v>
      </c>
      <c r="C1183" s="103" t="s">
        <v>865</v>
      </c>
      <c r="D1183" s="103" t="s">
        <v>866</v>
      </c>
      <c r="E1183" s="103" t="s">
        <v>578</v>
      </c>
      <c r="G1183" s="103" t="s">
        <v>503</v>
      </c>
      <c r="H1183" s="103">
        <v>1.31700845E8</v>
      </c>
    </row>
    <row r="1184" ht="22.5" customHeight="1">
      <c r="A1184" s="102">
        <v>46001.657735</v>
      </c>
      <c r="B1184" s="103" t="s">
        <v>9</v>
      </c>
      <c r="C1184" s="103" t="s">
        <v>576</v>
      </c>
      <c r="D1184" s="103" t="s">
        <v>577</v>
      </c>
      <c r="E1184" s="103" t="s">
        <v>578</v>
      </c>
      <c r="G1184" s="103" t="s">
        <v>10</v>
      </c>
      <c r="H1184" s="103">
        <v>1.31683981E8</v>
      </c>
    </row>
    <row r="1185" ht="22.5" customHeight="1">
      <c r="A1185" s="102">
        <v>46001.65776436342</v>
      </c>
      <c r="B1185" s="103" t="s">
        <v>154</v>
      </c>
      <c r="C1185" s="103" t="s">
        <v>546</v>
      </c>
      <c r="D1185" s="103" t="s">
        <v>435</v>
      </c>
      <c r="E1185" s="103" t="s">
        <v>420</v>
      </c>
      <c r="G1185" s="103" t="s">
        <v>148</v>
      </c>
      <c r="H1185" s="103">
        <v>1.31683998E8</v>
      </c>
    </row>
    <row r="1186" ht="22.5" customHeight="1">
      <c r="A1186" s="102">
        <v>46001.657770185186</v>
      </c>
      <c r="B1186" s="103" t="s">
        <v>197</v>
      </c>
      <c r="C1186" s="103" t="s">
        <v>618</v>
      </c>
      <c r="D1186" s="103" t="s">
        <v>619</v>
      </c>
      <c r="E1186" s="103" t="s">
        <v>450</v>
      </c>
      <c r="G1186" s="103" t="s">
        <v>1647</v>
      </c>
      <c r="H1186" s="103">
        <v>1.31700069E8</v>
      </c>
    </row>
    <row r="1187" ht="22.5" customHeight="1">
      <c r="A1187" s="102">
        <v>46001.65777855324</v>
      </c>
      <c r="B1187" s="103" t="s">
        <v>77</v>
      </c>
      <c r="C1187" s="103" t="s">
        <v>701</v>
      </c>
      <c r="D1187" s="103" t="s">
        <v>458</v>
      </c>
      <c r="E1187" s="103" t="s">
        <v>494</v>
      </c>
      <c r="G1187" s="103" t="s">
        <v>71</v>
      </c>
      <c r="H1187" s="103">
        <v>1.31567321E8</v>
      </c>
    </row>
    <row r="1188" ht="22.5" customHeight="1">
      <c r="A1188" s="102">
        <v>46001.65778003472</v>
      </c>
      <c r="B1188" s="103" t="s">
        <v>158</v>
      </c>
      <c r="C1188" s="103" t="s">
        <v>540</v>
      </c>
      <c r="D1188" s="103" t="s">
        <v>541</v>
      </c>
      <c r="E1188" s="103" t="s">
        <v>494</v>
      </c>
      <c r="G1188" s="103" t="s">
        <v>148</v>
      </c>
      <c r="H1188" s="103">
        <v>1.31683997E8</v>
      </c>
    </row>
    <row r="1189" ht="22.5" customHeight="1">
      <c r="A1189" s="102">
        <v>46001.657786655094</v>
      </c>
      <c r="B1189" s="103" t="s">
        <v>204</v>
      </c>
      <c r="C1189" s="103" t="s">
        <v>745</v>
      </c>
      <c r="D1189" s="103" t="s">
        <v>689</v>
      </c>
      <c r="E1189" s="103" t="s">
        <v>494</v>
      </c>
      <c r="G1189" s="103" t="s">
        <v>198</v>
      </c>
      <c r="H1189" s="103">
        <v>1.31683982E8</v>
      </c>
    </row>
    <row r="1190" ht="22.5" customHeight="1">
      <c r="A1190" s="102">
        <v>46001.657808993055</v>
      </c>
      <c r="B1190" s="103" t="s">
        <v>104</v>
      </c>
      <c r="C1190" s="103" t="s">
        <v>522</v>
      </c>
      <c r="D1190" s="103" t="s">
        <v>523</v>
      </c>
      <c r="E1190" s="103" t="s">
        <v>420</v>
      </c>
      <c r="G1190" s="103" t="s">
        <v>98</v>
      </c>
      <c r="H1190" s="103" t="s">
        <v>2049</v>
      </c>
    </row>
    <row r="1191" ht="22.5" customHeight="1">
      <c r="A1191" s="102">
        <v>46001.65781517361</v>
      </c>
      <c r="B1191" s="103" t="s">
        <v>382</v>
      </c>
      <c r="C1191" s="103" t="s">
        <v>2050</v>
      </c>
      <c r="D1191" s="103" t="s">
        <v>469</v>
      </c>
      <c r="E1191" s="103" t="s">
        <v>494</v>
      </c>
      <c r="G1191" s="103" t="s">
        <v>1676</v>
      </c>
      <c r="H1191" s="103">
        <v>1.31700111E8</v>
      </c>
    </row>
    <row r="1192" ht="22.5" customHeight="1">
      <c r="A1192" s="102">
        <v>46001.65781965278</v>
      </c>
      <c r="B1192" s="103" t="s">
        <v>248</v>
      </c>
      <c r="C1192" s="103" t="s">
        <v>1896</v>
      </c>
      <c r="D1192" s="103" t="s">
        <v>1897</v>
      </c>
      <c r="E1192" s="103" t="s">
        <v>578</v>
      </c>
      <c r="G1192" s="103" t="s">
        <v>240</v>
      </c>
      <c r="H1192" s="103">
        <v>21945.0</v>
      </c>
    </row>
    <row r="1193" ht="22.5" customHeight="1">
      <c r="A1193" s="102">
        <v>46001.65783408565</v>
      </c>
      <c r="B1193" s="103" t="s">
        <v>191</v>
      </c>
      <c r="C1193" s="103" t="s">
        <v>512</v>
      </c>
      <c r="D1193" s="103" t="s">
        <v>513</v>
      </c>
      <c r="E1193" s="103" t="s">
        <v>578</v>
      </c>
      <c r="G1193" s="103" t="s">
        <v>185</v>
      </c>
      <c r="H1193" s="103">
        <v>1.31700883E8</v>
      </c>
    </row>
    <row r="1194" ht="22.5" customHeight="1">
      <c r="A1194" s="102">
        <v>46001.65783949074</v>
      </c>
      <c r="B1194" s="103" t="s">
        <v>100</v>
      </c>
      <c r="C1194" s="103" t="s">
        <v>1203</v>
      </c>
      <c r="D1194" s="103" t="s">
        <v>597</v>
      </c>
      <c r="E1194" s="103" t="s">
        <v>494</v>
      </c>
      <c r="G1194" s="103" t="s">
        <v>527</v>
      </c>
      <c r="H1194" s="103">
        <v>1.31567331E8</v>
      </c>
    </row>
    <row r="1195" ht="22.5" customHeight="1">
      <c r="A1195" s="102">
        <v>46001.657845243055</v>
      </c>
      <c r="B1195" s="103" t="s">
        <v>259</v>
      </c>
      <c r="C1195" s="103" t="s">
        <v>606</v>
      </c>
      <c r="D1195" s="103" t="s">
        <v>607</v>
      </c>
      <c r="E1195" s="103" t="s">
        <v>639</v>
      </c>
      <c r="G1195" s="103" t="s">
        <v>809</v>
      </c>
      <c r="H1195" s="103">
        <v>18939.0</v>
      </c>
    </row>
    <row r="1196" ht="22.5" customHeight="1">
      <c r="A1196" s="102">
        <v>46001.65785560185</v>
      </c>
      <c r="B1196" s="103" t="s">
        <v>70</v>
      </c>
      <c r="C1196" s="103" t="s">
        <v>725</v>
      </c>
      <c r="D1196" s="103" t="s">
        <v>726</v>
      </c>
      <c r="E1196" s="103" t="s">
        <v>639</v>
      </c>
      <c r="G1196" s="103" t="s">
        <v>71</v>
      </c>
      <c r="H1196" s="103">
        <v>1.31683967E8</v>
      </c>
    </row>
    <row r="1197" ht="22.5" customHeight="1">
      <c r="A1197" s="102">
        <v>46001.65790855324</v>
      </c>
      <c r="B1197" s="103" t="s">
        <v>174</v>
      </c>
      <c r="C1197" s="103" t="s">
        <v>903</v>
      </c>
      <c r="D1197" s="103" t="s">
        <v>638</v>
      </c>
      <c r="E1197" s="103" t="s">
        <v>639</v>
      </c>
      <c r="G1197" s="103" t="s">
        <v>172</v>
      </c>
      <c r="H1197" s="103">
        <v>1.31567322E8</v>
      </c>
    </row>
    <row r="1198" ht="22.5" customHeight="1">
      <c r="A1198" s="102">
        <v>46001.657908946756</v>
      </c>
      <c r="B1198" s="103" t="s">
        <v>115</v>
      </c>
      <c r="C1198" s="103" t="s">
        <v>489</v>
      </c>
      <c r="D1198" s="103" t="s">
        <v>490</v>
      </c>
      <c r="E1198" s="103" t="s">
        <v>494</v>
      </c>
      <c r="G1198" s="103" t="s">
        <v>1364</v>
      </c>
      <c r="H1198" s="103">
        <v>1.31567296E8</v>
      </c>
    </row>
    <row r="1199" ht="22.5" customHeight="1">
      <c r="A1199" s="102">
        <v>46001.65789736111</v>
      </c>
      <c r="B1199" s="103" t="s">
        <v>33</v>
      </c>
      <c r="C1199" s="103" t="s">
        <v>743</v>
      </c>
      <c r="D1199" s="103" t="s">
        <v>458</v>
      </c>
      <c r="E1199" s="103" t="s">
        <v>420</v>
      </c>
      <c r="G1199" s="103" t="s">
        <v>23</v>
      </c>
      <c r="H1199" s="103">
        <v>1.31683995E8</v>
      </c>
    </row>
    <row r="1200" ht="22.5" customHeight="1">
      <c r="A1200" s="102">
        <v>46001.657946631945</v>
      </c>
      <c r="B1200" s="103" t="s">
        <v>48</v>
      </c>
      <c r="C1200" s="103" t="s">
        <v>832</v>
      </c>
      <c r="D1200" s="103" t="s">
        <v>833</v>
      </c>
      <c r="E1200" s="103" t="s">
        <v>494</v>
      </c>
      <c r="G1200" s="103" t="s">
        <v>49</v>
      </c>
      <c r="H1200" s="103">
        <v>1.31357394E8</v>
      </c>
    </row>
    <row r="1201" ht="22.5" customHeight="1">
      <c r="A1201" s="102">
        <v>46001.657963958336</v>
      </c>
      <c r="B1201" s="103" t="s">
        <v>61</v>
      </c>
      <c r="C1201" s="103" t="s">
        <v>741</v>
      </c>
      <c r="D1201" s="103" t="s">
        <v>761</v>
      </c>
      <c r="E1201" s="103" t="s">
        <v>494</v>
      </c>
      <c r="G1201" s="103" t="s">
        <v>2051</v>
      </c>
      <c r="H1201" s="103">
        <v>1.31567314E8</v>
      </c>
    </row>
    <row r="1202" ht="22.5" customHeight="1">
      <c r="A1202" s="102">
        <v>46001.657973090274</v>
      </c>
      <c r="B1202" s="103" t="s">
        <v>230</v>
      </c>
      <c r="C1202" s="103" t="s">
        <v>911</v>
      </c>
      <c r="D1202" s="103" t="s">
        <v>573</v>
      </c>
      <c r="E1202" s="103" t="s">
        <v>578</v>
      </c>
      <c r="G1202" s="103" t="s">
        <v>224</v>
      </c>
      <c r="H1202" s="103">
        <v>1.31567326E8</v>
      </c>
    </row>
    <row r="1203" ht="22.5" customHeight="1">
      <c r="A1203" s="102">
        <v>46001.65797344907</v>
      </c>
      <c r="B1203" s="103" t="s">
        <v>16</v>
      </c>
      <c r="C1203" s="103" t="s">
        <v>771</v>
      </c>
      <c r="D1203" s="103" t="s">
        <v>772</v>
      </c>
      <c r="E1203" s="103" t="s">
        <v>494</v>
      </c>
      <c r="G1203" s="103" t="s">
        <v>957</v>
      </c>
      <c r="H1203" s="103">
        <v>1.31700914E8</v>
      </c>
    </row>
    <row r="1204" ht="22.5" customHeight="1">
      <c r="A1204" s="102">
        <v>46001.657984108795</v>
      </c>
      <c r="B1204" s="103" t="s">
        <v>232</v>
      </c>
      <c r="C1204" s="103" t="s">
        <v>1178</v>
      </c>
      <c r="D1204" s="103" t="s">
        <v>1179</v>
      </c>
      <c r="E1204" s="103" t="s">
        <v>578</v>
      </c>
      <c r="G1204" s="103" t="s">
        <v>1180</v>
      </c>
      <c r="H1204" s="103">
        <v>1.3135739E8</v>
      </c>
    </row>
    <row r="1205" ht="22.5" customHeight="1">
      <c r="A1205" s="102">
        <v>46001.65799545139</v>
      </c>
      <c r="B1205" s="103" t="s">
        <v>51</v>
      </c>
      <c r="C1205" s="103" t="s">
        <v>572</v>
      </c>
      <c r="D1205" s="103" t="s">
        <v>573</v>
      </c>
      <c r="E1205" s="103" t="s">
        <v>494</v>
      </c>
      <c r="G1205" s="103" t="s">
        <v>574</v>
      </c>
      <c r="H1205" s="103">
        <v>1.31357535E8</v>
      </c>
    </row>
    <row r="1206" ht="22.5" customHeight="1">
      <c r="A1206" s="102">
        <v>46001.65802283565</v>
      </c>
      <c r="B1206" s="103" t="s">
        <v>208</v>
      </c>
      <c r="C1206" s="103" t="s">
        <v>701</v>
      </c>
      <c r="D1206" s="103" t="s">
        <v>1022</v>
      </c>
      <c r="E1206" s="103" t="s">
        <v>578</v>
      </c>
      <c r="G1206" s="103" t="s">
        <v>2052</v>
      </c>
      <c r="H1206" s="103">
        <v>1.31567302E8</v>
      </c>
    </row>
    <row r="1207" ht="22.5" customHeight="1">
      <c r="A1207" s="102">
        <v>46001.65802708334</v>
      </c>
      <c r="B1207" s="103" t="s">
        <v>235</v>
      </c>
      <c r="C1207" s="103" t="s">
        <v>1139</v>
      </c>
      <c r="D1207" s="103" t="s">
        <v>891</v>
      </c>
      <c r="E1207" s="103" t="s">
        <v>420</v>
      </c>
      <c r="G1207" s="103" t="s">
        <v>1286</v>
      </c>
      <c r="H1207" s="103">
        <v>1.31567335E8</v>
      </c>
    </row>
    <row r="1208" ht="22.5" customHeight="1">
      <c r="A1208" s="102">
        <v>46001.65805344908</v>
      </c>
      <c r="B1208" s="103" t="s">
        <v>228</v>
      </c>
      <c r="C1208" s="103" t="s">
        <v>905</v>
      </c>
      <c r="D1208" s="103" t="s">
        <v>573</v>
      </c>
      <c r="E1208" s="103" t="s">
        <v>494</v>
      </c>
      <c r="G1208" s="103" t="s">
        <v>669</v>
      </c>
      <c r="H1208" s="103">
        <v>1.31567325E8</v>
      </c>
    </row>
    <row r="1209" ht="22.5" customHeight="1">
      <c r="A1209" s="102">
        <v>46001.658082511574</v>
      </c>
      <c r="B1209" s="103" t="s">
        <v>46</v>
      </c>
      <c r="C1209" s="103" t="s">
        <v>797</v>
      </c>
      <c r="D1209" s="103" t="s">
        <v>798</v>
      </c>
      <c r="E1209" s="103" t="s">
        <v>420</v>
      </c>
      <c r="G1209" s="103" t="s">
        <v>38</v>
      </c>
      <c r="H1209" s="103">
        <v>1.31683966E8</v>
      </c>
    </row>
    <row r="1210" ht="22.5" customHeight="1">
      <c r="A1210" s="102">
        <v>46001.65812078703</v>
      </c>
      <c r="B1210" s="103" t="s">
        <v>143</v>
      </c>
      <c r="C1210" s="103" t="s">
        <v>1436</v>
      </c>
      <c r="D1210" s="103" t="s">
        <v>1437</v>
      </c>
      <c r="E1210" s="103" t="s">
        <v>494</v>
      </c>
      <c r="G1210" s="103" t="s">
        <v>2053</v>
      </c>
      <c r="H1210" s="103">
        <v>1.31706781E8</v>
      </c>
    </row>
    <row r="1211" ht="22.5" customHeight="1">
      <c r="A1211" s="102">
        <v>46001.65812987268</v>
      </c>
      <c r="B1211" s="103" t="s">
        <v>130</v>
      </c>
      <c r="C1211" s="103" t="s">
        <v>557</v>
      </c>
      <c r="D1211" s="103" t="s">
        <v>558</v>
      </c>
      <c r="E1211" s="103" t="s">
        <v>420</v>
      </c>
      <c r="G1211" s="103" t="s">
        <v>124</v>
      </c>
      <c r="H1211" s="103">
        <v>1.31700854E8</v>
      </c>
    </row>
    <row r="1212" ht="22.5" customHeight="1">
      <c r="A1212" s="102">
        <v>46001.658147291666</v>
      </c>
      <c r="B1212" s="103" t="s">
        <v>40</v>
      </c>
      <c r="C1212" s="103" t="s">
        <v>1470</v>
      </c>
      <c r="D1212" s="103" t="s">
        <v>748</v>
      </c>
      <c r="E1212" s="103" t="s">
        <v>494</v>
      </c>
      <c r="G1212" s="103" t="s">
        <v>38</v>
      </c>
      <c r="H1212" s="103">
        <v>1.3182261E8</v>
      </c>
    </row>
    <row r="1213" ht="22.5" customHeight="1">
      <c r="A1213" s="102">
        <v>46001.65816877315</v>
      </c>
      <c r="B1213" s="103" t="s">
        <v>126</v>
      </c>
      <c r="C1213" s="103" t="s">
        <v>2054</v>
      </c>
      <c r="D1213" s="103" t="s">
        <v>1266</v>
      </c>
      <c r="E1213" s="103" t="s">
        <v>494</v>
      </c>
      <c r="G1213" s="103" t="s">
        <v>1225</v>
      </c>
      <c r="H1213" s="103">
        <v>1.31700066E8</v>
      </c>
    </row>
    <row r="1214" ht="22.5" customHeight="1">
      <c r="A1214" s="102">
        <v>46001.658170462964</v>
      </c>
      <c r="B1214" s="103" t="s">
        <v>385</v>
      </c>
      <c r="C1214" s="103" t="s">
        <v>2055</v>
      </c>
      <c r="D1214" s="103" t="s">
        <v>466</v>
      </c>
      <c r="E1214" s="103" t="s">
        <v>494</v>
      </c>
      <c r="G1214" s="103" t="s">
        <v>474</v>
      </c>
      <c r="H1214" s="103">
        <v>1.31683968E8</v>
      </c>
    </row>
    <row r="1215" ht="22.5" customHeight="1">
      <c r="A1215" s="102">
        <v>46001.65817393518</v>
      </c>
      <c r="B1215" s="103" t="s">
        <v>343</v>
      </c>
      <c r="C1215" s="103" t="s">
        <v>1346</v>
      </c>
      <c r="D1215" s="103" t="s">
        <v>632</v>
      </c>
      <c r="E1215" s="103" t="s">
        <v>639</v>
      </c>
      <c r="G1215" s="103" t="s">
        <v>695</v>
      </c>
      <c r="H1215" s="103">
        <v>1.31567268E8</v>
      </c>
    </row>
    <row r="1216" ht="22.5" customHeight="1">
      <c r="A1216" s="102">
        <v>46001.658199756945</v>
      </c>
      <c r="B1216" s="103" t="s">
        <v>141</v>
      </c>
      <c r="C1216" s="103" t="s">
        <v>803</v>
      </c>
      <c r="D1216" s="103" t="s">
        <v>804</v>
      </c>
      <c r="E1216" s="103" t="s">
        <v>420</v>
      </c>
      <c r="G1216" s="103" t="s">
        <v>1477</v>
      </c>
      <c r="H1216" s="103">
        <v>1.31683988E8</v>
      </c>
    </row>
    <row r="1217" ht="22.5" customHeight="1">
      <c r="A1217" s="102">
        <v>46001.658225520834</v>
      </c>
      <c r="B1217" s="103" t="s">
        <v>176</v>
      </c>
      <c r="C1217" s="103" t="s">
        <v>1431</v>
      </c>
      <c r="D1217" s="103" t="s">
        <v>658</v>
      </c>
      <c r="E1217" s="103" t="s">
        <v>578</v>
      </c>
      <c r="G1217" s="103" t="s">
        <v>2056</v>
      </c>
      <c r="H1217" s="103">
        <v>21702.0</v>
      </c>
    </row>
    <row r="1218" ht="22.5" customHeight="1">
      <c r="A1218" s="102">
        <v>46001.658303125005</v>
      </c>
      <c r="B1218" s="103" t="s">
        <v>237</v>
      </c>
      <c r="C1218" s="103" t="s">
        <v>861</v>
      </c>
      <c r="D1218" s="103" t="s">
        <v>862</v>
      </c>
      <c r="E1218" s="103" t="s">
        <v>494</v>
      </c>
      <c r="G1218" s="103" t="s">
        <v>892</v>
      </c>
      <c r="H1218" s="103">
        <v>1.31567333E8</v>
      </c>
    </row>
    <row r="1219" ht="22.5" customHeight="1">
      <c r="A1219" s="102">
        <v>46001.6583965162</v>
      </c>
      <c r="B1219" s="103" t="s">
        <v>134</v>
      </c>
      <c r="C1219" s="103" t="s">
        <v>643</v>
      </c>
      <c r="D1219" s="103" t="s">
        <v>644</v>
      </c>
      <c r="E1219" s="103" t="s">
        <v>420</v>
      </c>
      <c r="G1219" s="103" t="s">
        <v>124</v>
      </c>
      <c r="H1219" s="103">
        <v>1.31683972E8</v>
      </c>
    </row>
    <row r="1220" ht="22.5" customHeight="1">
      <c r="A1220" s="102">
        <v>46001.658408449075</v>
      </c>
      <c r="B1220" s="103" t="s">
        <v>90</v>
      </c>
      <c r="C1220" s="103" t="s">
        <v>418</v>
      </c>
      <c r="D1220" s="103" t="s">
        <v>419</v>
      </c>
      <c r="E1220" s="103" t="s">
        <v>494</v>
      </c>
      <c r="G1220" s="103" t="s">
        <v>84</v>
      </c>
      <c r="H1220" s="103" t="s">
        <v>2057</v>
      </c>
    </row>
    <row r="1221" ht="22.5" customHeight="1">
      <c r="A1221" s="102">
        <v>46001.65843018518</v>
      </c>
      <c r="B1221" s="103" t="s">
        <v>73</v>
      </c>
      <c r="C1221" s="103" t="s">
        <v>557</v>
      </c>
      <c r="D1221" s="103" t="s">
        <v>2058</v>
      </c>
      <c r="E1221" s="103" t="s">
        <v>420</v>
      </c>
      <c r="G1221" s="103" t="s">
        <v>1573</v>
      </c>
      <c r="H1221" s="103">
        <v>1.81357477E8</v>
      </c>
    </row>
    <row r="1222" ht="22.5" customHeight="1">
      <c r="A1222" s="102">
        <v>46001.65843069444</v>
      </c>
      <c r="B1222" s="103" t="s">
        <v>189</v>
      </c>
      <c r="C1222" s="103" t="s">
        <v>561</v>
      </c>
      <c r="D1222" s="103" t="s">
        <v>431</v>
      </c>
      <c r="E1222" s="103" t="s">
        <v>494</v>
      </c>
      <c r="G1222" s="103" t="s">
        <v>503</v>
      </c>
      <c r="H1222" s="103">
        <v>1.31357486E8</v>
      </c>
    </row>
    <row r="1223" ht="22.5" customHeight="1">
      <c r="A1223" s="102">
        <v>46001.658527928244</v>
      </c>
      <c r="B1223" s="103" t="s">
        <v>108</v>
      </c>
      <c r="C1223" s="103" t="s">
        <v>525</v>
      </c>
      <c r="D1223" s="103" t="s">
        <v>526</v>
      </c>
      <c r="E1223" s="103" t="s">
        <v>494</v>
      </c>
      <c r="G1223" s="103" t="s">
        <v>527</v>
      </c>
      <c r="H1223" s="103">
        <v>1.31700077E8</v>
      </c>
    </row>
    <row r="1224" ht="22.5" customHeight="1">
      <c r="A1224" s="102">
        <v>46001.658635960644</v>
      </c>
      <c r="B1224" s="103" t="s">
        <v>252</v>
      </c>
      <c r="C1224" s="103" t="s">
        <v>901</v>
      </c>
      <c r="D1224" s="103" t="s">
        <v>614</v>
      </c>
      <c r="E1224" s="103" t="s">
        <v>578</v>
      </c>
      <c r="G1224" s="103" t="s">
        <v>615</v>
      </c>
      <c r="H1224" s="103">
        <v>1.31567293E8</v>
      </c>
    </row>
    <row r="1225" ht="22.5" customHeight="1">
      <c r="A1225" s="102">
        <v>46001.65869552083</v>
      </c>
      <c r="B1225" s="103" t="s">
        <v>112</v>
      </c>
      <c r="C1225" s="103" t="s">
        <v>434</v>
      </c>
      <c r="D1225" s="103" t="s">
        <v>435</v>
      </c>
      <c r="E1225" s="103" t="s">
        <v>420</v>
      </c>
      <c r="G1225" s="103" t="s">
        <v>113</v>
      </c>
      <c r="H1225" s="103">
        <v>1.31567284E8</v>
      </c>
    </row>
    <row r="1226" ht="22.5" customHeight="1">
      <c r="A1226" s="102">
        <v>46001.65870762731</v>
      </c>
      <c r="B1226" s="103" t="s">
        <v>117</v>
      </c>
      <c r="C1226" s="103" t="s">
        <v>1086</v>
      </c>
      <c r="D1226" s="103" t="s">
        <v>779</v>
      </c>
      <c r="E1226" s="103" t="s">
        <v>420</v>
      </c>
      <c r="G1226" s="103" t="s">
        <v>113</v>
      </c>
      <c r="H1226" s="103">
        <v>1.3168397E8</v>
      </c>
    </row>
    <row r="1227" ht="22.5" customHeight="1">
      <c r="A1227" s="102">
        <v>46001.658709027775</v>
      </c>
      <c r="B1227" s="103" t="s">
        <v>246</v>
      </c>
      <c r="C1227" s="103" t="s">
        <v>1482</v>
      </c>
      <c r="D1227" s="103" t="s">
        <v>704</v>
      </c>
      <c r="E1227" s="103" t="s">
        <v>578</v>
      </c>
      <c r="G1227" s="103" t="s">
        <v>615</v>
      </c>
      <c r="H1227" s="103">
        <v>1.31567256E8</v>
      </c>
    </row>
    <row r="1228" ht="22.5" customHeight="1">
      <c r="A1228" s="102">
        <v>46001.658760949074</v>
      </c>
      <c r="B1228" s="103" t="s">
        <v>396</v>
      </c>
      <c r="C1228" s="103" t="s">
        <v>2059</v>
      </c>
      <c r="D1228" s="103" t="s">
        <v>594</v>
      </c>
      <c r="E1228" s="103" t="s">
        <v>639</v>
      </c>
      <c r="G1228" s="103" t="s">
        <v>568</v>
      </c>
      <c r="H1228" s="103">
        <v>1.31700176E8</v>
      </c>
    </row>
    <row r="1229" ht="22.5" customHeight="1">
      <c r="A1229" s="102">
        <v>46001.65881504629</v>
      </c>
      <c r="B1229" s="103" t="s">
        <v>315</v>
      </c>
      <c r="C1229" s="103" t="s">
        <v>1960</v>
      </c>
      <c r="D1229" s="103" t="s">
        <v>1961</v>
      </c>
      <c r="E1229" s="103" t="s">
        <v>639</v>
      </c>
      <c r="G1229" s="103" t="s">
        <v>1873</v>
      </c>
      <c r="H1229" s="103">
        <v>1.31357519E8</v>
      </c>
    </row>
    <row r="1230" ht="22.5" customHeight="1">
      <c r="A1230" s="102">
        <v>46001.65882564815</v>
      </c>
      <c r="B1230" s="103" t="s">
        <v>376</v>
      </c>
      <c r="C1230" s="103" t="s">
        <v>877</v>
      </c>
      <c r="D1230" s="103" t="s">
        <v>878</v>
      </c>
      <c r="E1230" s="103" t="s">
        <v>639</v>
      </c>
      <c r="G1230" s="103" t="s">
        <v>442</v>
      </c>
      <c r="H1230" s="103" t="s">
        <v>2060</v>
      </c>
    </row>
    <row r="1231" ht="22.5" customHeight="1">
      <c r="A1231" s="102">
        <v>46001.65883344907</v>
      </c>
      <c r="B1231" s="103" t="s">
        <v>328</v>
      </c>
      <c r="C1231" s="103" t="s">
        <v>826</v>
      </c>
      <c r="D1231" s="103" t="s">
        <v>827</v>
      </c>
      <c r="E1231" s="103" t="s">
        <v>639</v>
      </c>
      <c r="G1231" s="103" t="s">
        <v>699</v>
      </c>
      <c r="H1231" s="103">
        <v>1.31683984E8</v>
      </c>
    </row>
    <row r="1232" ht="22.5" customHeight="1">
      <c r="A1232" s="102">
        <v>46001.65883634259</v>
      </c>
      <c r="B1232" s="103" t="s">
        <v>293</v>
      </c>
      <c r="C1232" s="103" t="s">
        <v>448</v>
      </c>
      <c r="D1232" s="103" t="s">
        <v>449</v>
      </c>
      <c r="E1232" s="103" t="s">
        <v>450</v>
      </c>
      <c r="G1232" s="103" t="s">
        <v>294</v>
      </c>
      <c r="H1232" s="103">
        <v>1.31567264E8</v>
      </c>
    </row>
    <row r="1233" ht="22.5" customHeight="1">
      <c r="A1233" s="102">
        <v>46001.65891303241</v>
      </c>
      <c r="B1233" s="103" t="s">
        <v>332</v>
      </c>
      <c r="C1233" s="103" t="s">
        <v>445</v>
      </c>
      <c r="D1233" s="103" t="s">
        <v>739</v>
      </c>
      <c r="E1233" s="103" t="s">
        <v>450</v>
      </c>
      <c r="G1233" s="103" t="s">
        <v>699</v>
      </c>
      <c r="H1233" s="103">
        <v>1.31567324E8</v>
      </c>
    </row>
    <row r="1234" ht="22.5" customHeight="1">
      <c r="A1234" s="102">
        <v>46001.65896020833</v>
      </c>
      <c r="B1234" s="103" t="s">
        <v>156</v>
      </c>
      <c r="C1234" s="103" t="s">
        <v>528</v>
      </c>
      <c r="D1234" s="103" t="s">
        <v>529</v>
      </c>
      <c r="E1234" s="103" t="s">
        <v>639</v>
      </c>
      <c r="G1234" s="103" t="s">
        <v>148</v>
      </c>
      <c r="H1234" s="103">
        <v>1.3168399E8</v>
      </c>
    </row>
    <row r="1235" ht="22.5" customHeight="1">
      <c r="A1235" s="102">
        <v>46001.658961134264</v>
      </c>
      <c r="B1235" s="103" t="s">
        <v>285</v>
      </c>
      <c r="C1235" s="103" t="s">
        <v>2061</v>
      </c>
      <c r="D1235" s="103" t="s">
        <v>791</v>
      </c>
      <c r="E1235" s="103" t="s">
        <v>450</v>
      </c>
      <c r="G1235" s="103" t="s">
        <v>478</v>
      </c>
      <c r="H1235" s="103">
        <v>1.31700899E8</v>
      </c>
    </row>
    <row r="1236" ht="22.5" customHeight="1">
      <c r="A1236" s="102">
        <v>46001.658961354166</v>
      </c>
      <c r="B1236" s="103" t="s">
        <v>270</v>
      </c>
      <c r="C1236" s="103" t="s">
        <v>1080</v>
      </c>
      <c r="D1236" s="103" t="s">
        <v>1640</v>
      </c>
      <c r="E1236" s="103" t="s">
        <v>639</v>
      </c>
      <c r="G1236" s="103" t="s">
        <v>648</v>
      </c>
      <c r="H1236" s="103">
        <v>1.31567269E8</v>
      </c>
    </row>
    <row r="1237" ht="22.5" customHeight="1">
      <c r="A1237" s="102">
        <v>46001.658963553244</v>
      </c>
      <c r="B1237" s="103" t="s">
        <v>119</v>
      </c>
      <c r="C1237" s="103" t="s">
        <v>814</v>
      </c>
      <c r="D1237" s="103" t="s">
        <v>493</v>
      </c>
      <c r="E1237" s="103" t="s">
        <v>420</v>
      </c>
      <c r="G1237" s="103" t="s">
        <v>113</v>
      </c>
      <c r="H1237" s="103">
        <v>1.31683983E8</v>
      </c>
    </row>
    <row r="1238" ht="22.5" customHeight="1">
      <c r="A1238" s="102">
        <v>46001.658978506945</v>
      </c>
      <c r="B1238" s="103" t="s">
        <v>317</v>
      </c>
      <c r="C1238" s="103" t="s">
        <v>615</v>
      </c>
      <c r="D1238" s="103" t="s">
        <v>1166</v>
      </c>
      <c r="E1238" s="103" t="s">
        <v>639</v>
      </c>
      <c r="G1238" s="103" t="s">
        <v>1873</v>
      </c>
      <c r="H1238" s="103">
        <v>1.3135741E8</v>
      </c>
    </row>
    <row r="1239" ht="22.5" customHeight="1">
      <c r="A1239" s="102">
        <v>46001.65899431713</v>
      </c>
      <c r="B1239" s="103" t="s">
        <v>319</v>
      </c>
      <c r="C1239" s="103" t="s">
        <v>1452</v>
      </c>
      <c r="D1239" s="103" t="s">
        <v>692</v>
      </c>
      <c r="E1239" s="103" t="s">
        <v>639</v>
      </c>
      <c r="G1239" s="103" t="s">
        <v>699</v>
      </c>
      <c r="H1239" s="103">
        <v>1.31683996E8</v>
      </c>
    </row>
    <row r="1240" ht="22.5" customHeight="1">
      <c r="A1240" s="102">
        <v>46001.65899633102</v>
      </c>
      <c r="B1240" s="103" t="s">
        <v>361</v>
      </c>
      <c r="C1240" s="103" t="s">
        <v>625</v>
      </c>
      <c r="D1240" s="103" t="s">
        <v>626</v>
      </c>
      <c r="E1240" s="103" t="s">
        <v>639</v>
      </c>
      <c r="G1240" s="103" t="s">
        <v>359</v>
      </c>
      <c r="H1240" s="103">
        <v>1.31567281E8</v>
      </c>
    </row>
    <row r="1241" ht="22.5" customHeight="1">
      <c r="A1241" s="102">
        <v>46001.659024340275</v>
      </c>
      <c r="B1241" s="103" t="s">
        <v>345</v>
      </c>
      <c r="C1241" s="103" t="s">
        <v>492</v>
      </c>
      <c r="D1241" s="103" t="s">
        <v>493</v>
      </c>
      <c r="E1241" s="103" t="s">
        <v>450</v>
      </c>
      <c r="G1241" s="103" t="s">
        <v>495</v>
      </c>
      <c r="H1241" s="103">
        <v>1.31357488E8</v>
      </c>
    </row>
    <row r="1242" ht="22.5" customHeight="1">
      <c r="A1242" s="102">
        <v>46001.65904591435</v>
      </c>
      <c r="B1242" s="103" t="s">
        <v>363</v>
      </c>
      <c r="C1242" s="103" t="s">
        <v>1242</v>
      </c>
      <c r="D1242" s="103" t="s">
        <v>431</v>
      </c>
      <c r="E1242" s="103" t="s">
        <v>450</v>
      </c>
      <c r="G1242" s="103" t="s">
        <v>1145</v>
      </c>
      <c r="H1242" s="103">
        <v>1.31357487E8</v>
      </c>
    </row>
    <row r="1243" ht="22.5" customHeight="1">
      <c r="A1243" s="102">
        <v>46001.65904579861</v>
      </c>
      <c r="B1243" s="103" t="s">
        <v>334</v>
      </c>
      <c r="C1243" s="103" t="s">
        <v>1145</v>
      </c>
      <c r="D1243" s="103" t="s">
        <v>1146</v>
      </c>
      <c r="E1243" s="103" t="s">
        <v>578</v>
      </c>
      <c r="G1243" s="103" t="s">
        <v>335</v>
      </c>
      <c r="H1243" s="103">
        <v>1357414.0</v>
      </c>
    </row>
    <row r="1244" ht="22.5" customHeight="1">
      <c r="A1244" s="102">
        <v>46001.659068611116</v>
      </c>
      <c r="B1244" s="103" t="s">
        <v>311</v>
      </c>
      <c r="C1244" s="103" t="s">
        <v>1040</v>
      </c>
      <c r="D1244" s="103" t="s">
        <v>852</v>
      </c>
      <c r="E1244" s="103" t="s">
        <v>639</v>
      </c>
      <c r="G1244" s="103" t="s">
        <v>309</v>
      </c>
      <c r="H1244" s="103">
        <v>19917.0</v>
      </c>
    </row>
    <row r="1245" ht="22.5" customHeight="1">
      <c r="A1245" s="102">
        <v>46001.65910400463</v>
      </c>
      <c r="B1245" s="103" t="s">
        <v>287</v>
      </c>
      <c r="C1245" s="103" t="s">
        <v>989</v>
      </c>
      <c r="D1245" s="103" t="s">
        <v>466</v>
      </c>
      <c r="E1245" s="103" t="s">
        <v>450</v>
      </c>
      <c r="G1245" s="103" t="s">
        <v>478</v>
      </c>
      <c r="H1245" s="103">
        <v>1.31684012E8</v>
      </c>
    </row>
    <row r="1246" ht="22.5" customHeight="1">
      <c r="A1246" s="102">
        <v>46001.65911359954</v>
      </c>
      <c r="B1246" s="103" t="s">
        <v>365</v>
      </c>
      <c r="C1246" s="103" t="s">
        <v>653</v>
      </c>
      <c r="D1246" s="103" t="s">
        <v>654</v>
      </c>
      <c r="E1246" s="103" t="s">
        <v>639</v>
      </c>
      <c r="G1246" s="103" t="s">
        <v>955</v>
      </c>
      <c r="H1246" s="103">
        <v>1.31700064E8</v>
      </c>
    </row>
    <row r="1247" ht="22.5" customHeight="1">
      <c r="A1247" s="102">
        <v>46001.65917063657</v>
      </c>
      <c r="B1247" s="103" t="s">
        <v>406</v>
      </c>
      <c r="C1247" s="103" t="s">
        <v>650</v>
      </c>
      <c r="D1247" s="103" t="s">
        <v>651</v>
      </c>
      <c r="E1247" s="103" t="s">
        <v>450</v>
      </c>
      <c r="G1247" s="103" t="s">
        <v>2062</v>
      </c>
      <c r="H1247" s="103">
        <v>1.313575E8</v>
      </c>
    </row>
    <row r="1248" ht="22.5" customHeight="1">
      <c r="A1248" s="102">
        <v>46001.65919907407</v>
      </c>
      <c r="B1248" s="103" t="s">
        <v>313</v>
      </c>
      <c r="C1248" s="103" t="s">
        <v>2063</v>
      </c>
      <c r="D1248" s="103" t="s">
        <v>2064</v>
      </c>
      <c r="E1248" s="103" t="s">
        <v>639</v>
      </c>
      <c r="G1248" s="103" t="s">
        <v>1498</v>
      </c>
      <c r="H1248" s="103">
        <v>1.31357389E8</v>
      </c>
    </row>
    <row r="1249" ht="22.5" customHeight="1">
      <c r="A1249" s="102">
        <v>46001.659202546296</v>
      </c>
      <c r="B1249" s="103" t="s">
        <v>326</v>
      </c>
      <c r="C1249" s="103" t="s">
        <v>1148</v>
      </c>
      <c r="D1249" s="103" t="s">
        <v>698</v>
      </c>
      <c r="E1249" s="103" t="s">
        <v>639</v>
      </c>
      <c r="G1249" s="103" t="s">
        <v>320</v>
      </c>
      <c r="H1249" s="103">
        <v>1.31700113E8</v>
      </c>
    </row>
    <row r="1250" ht="22.5" customHeight="1">
      <c r="A1250" s="102">
        <v>46001.659214363426</v>
      </c>
      <c r="B1250" s="103" t="s">
        <v>372</v>
      </c>
      <c r="C1250" s="103" t="s">
        <v>486</v>
      </c>
      <c r="D1250" s="103" t="s">
        <v>487</v>
      </c>
      <c r="E1250" s="103" t="s">
        <v>639</v>
      </c>
      <c r="G1250" s="103" t="s">
        <v>442</v>
      </c>
      <c r="H1250" s="103">
        <v>1.3135754E8</v>
      </c>
    </row>
    <row r="1251" ht="22.5" customHeight="1">
      <c r="A1251" s="102">
        <v>46001.65923053241</v>
      </c>
      <c r="B1251" s="103" t="s">
        <v>404</v>
      </c>
      <c r="C1251" s="103" t="s">
        <v>583</v>
      </c>
      <c r="D1251" s="103" t="s">
        <v>584</v>
      </c>
      <c r="E1251" s="103" t="s">
        <v>639</v>
      </c>
      <c r="G1251" s="103" t="s">
        <v>394</v>
      </c>
      <c r="H1251" s="103">
        <v>1.31357417E8</v>
      </c>
    </row>
    <row r="1252" ht="22.5" customHeight="1">
      <c r="A1252" s="102">
        <v>46001.65923896991</v>
      </c>
      <c r="B1252" s="103" t="s">
        <v>330</v>
      </c>
      <c r="C1252" s="103" t="s">
        <v>662</v>
      </c>
      <c r="D1252" s="103" t="s">
        <v>663</v>
      </c>
      <c r="E1252" s="103" t="s">
        <v>450</v>
      </c>
      <c r="G1252" s="103" t="s">
        <v>320</v>
      </c>
      <c r="H1252" s="103">
        <v>1.31700068E8</v>
      </c>
    </row>
    <row r="1253" ht="22.5" customHeight="1">
      <c r="A1253" s="102">
        <v>46001.659251840276</v>
      </c>
      <c r="B1253" s="103" t="s">
        <v>97</v>
      </c>
      <c r="C1253" s="103" t="s">
        <v>580</v>
      </c>
      <c r="D1253" s="103" t="s">
        <v>581</v>
      </c>
      <c r="E1253" s="103" t="s">
        <v>420</v>
      </c>
      <c r="G1253" s="103" t="s">
        <v>510</v>
      </c>
      <c r="H1253" s="103">
        <v>1.31567292E8</v>
      </c>
    </row>
    <row r="1254" ht="22.5" customHeight="1">
      <c r="A1254" s="102">
        <v>46001.659259050924</v>
      </c>
      <c r="B1254" s="103" t="s">
        <v>322</v>
      </c>
      <c r="C1254" s="103" t="s">
        <v>631</v>
      </c>
      <c r="D1254" s="103" t="s">
        <v>632</v>
      </c>
      <c r="E1254" s="103" t="s">
        <v>639</v>
      </c>
      <c r="G1254" s="103" t="s">
        <v>699</v>
      </c>
      <c r="H1254" s="103">
        <v>1.31683987E8</v>
      </c>
    </row>
    <row r="1255" ht="22.5" customHeight="1">
      <c r="A1255" s="102">
        <v>46001.659272060184</v>
      </c>
      <c r="B1255" s="103" t="s">
        <v>102</v>
      </c>
      <c r="C1255" s="103" t="s">
        <v>508</v>
      </c>
      <c r="D1255" s="103" t="s">
        <v>509</v>
      </c>
      <c r="E1255" s="103" t="s">
        <v>420</v>
      </c>
      <c r="G1255" s="103" t="s">
        <v>527</v>
      </c>
      <c r="H1255" s="103" t="s">
        <v>2065</v>
      </c>
    </row>
    <row r="1256" ht="22.5" customHeight="1">
      <c r="A1256" s="102">
        <v>46001.65928365741</v>
      </c>
      <c r="B1256" s="103" t="s">
        <v>324</v>
      </c>
      <c r="C1256" s="103" t="s">
        <v>1320</v>
      </c>
      <c r="D1256" s="103" t="s">
        <v>591</v>
      </c>
      <c r="E1256" s="103" t="s">
        <v>639</v>
      </c>
      <c r="G1256" s="103" t="s">
        <v>699</v>
      </c>
      <c r="H1256" s="103">
        <v>1.31683992E8</v>
      </c>
    </row>
    <row r="1257" ht="22.5" customHeight="1">
      <c r="A1257" s="102">
        <v>46001.65929210648</v>
      </c>
      <c r="B1257" s="103" t="s">
        <v>86</v>
      </c>
      <c r="C1257" s="103" t="s">
        <v>530</v>
      </c>
      <c r="D1257" s="103" t="s">
        <v>531</v>
      </c>
      <c r="E1257" s="103" t="s">
        <v>639</v>
      </c>
      <c r="G1257" s="103" t="s">
        <v>1406</v>
      </c>
      <c r="H1257" s="103">
        <v>1.31700881E8</v>
      </c>
    </row>
    <row r="1258" ht="22.5" customHeight="1">
      <c r="A1258" s="102">
        <v>46001.65935412037</v>
      </c>
      <c r="B1258" s="103" t="s">
        <v>283</v>
      </c>
      <c r="C1258" s="103" t="s">
        <v>425</v>
      </c>
      <c r="D1258" s="103" t="s">
        <v>426</v>
      </c>
      <c r="E1258" s="103" t="s">
        <v>450</v>
      </c>
      <c r="G1258" s="103" t="s">
        <v>478</v>
      </c>
      <c r="H1258" s="103">
        <v>1.31700894E8</v>
      </c>
    </row>
    <row r="1259" ht="22.5" customHeight="1">
      <c r="A1259" s="102">
        <v>46001.65936582176</v>
      </c>
      <c r="B1259" s="103" t="s">
        <v>145</v>
      </c>
      <c r="C1259" s="103" t="s">
        <v>783</v>
      </c>
      <c r="D1259" s="103" t="s">
        <v>545</v>
      </c>
      <c r="E1259" s="103" t="s">
        <v>494</v>
      </c>
      <c r="G1259" s="103" t="s">
        <v>1672</v>
      </c>
      <c r="H1259" s="103">
        <v>1.31567282E8</v>
      </c>
    </row>
    <row r="1260" ht="22.5" customHeight="1">
      <c r="A1260" s="102">
        <v>46001.65936668981</v>
      </c>
      <c r="B1260" s="103" t="s">
        <v>66</v>
      </c>
      <c r="C1260" s="103" t="s">
        <v>668</v>
      </c>
      <c r="D1260" s="103" t="s">
        <v>689</v>
      </c>
      <c r="E1260" s="103" t="s">
        <v>494</v>
      </c>
      <c r="G1260" s="103" t="s">
        <v>762</v>
      </c>
      <c r="H1260" s="103">
        <v>1.31684008E8</v>
      </c>
    </row>
    <row r="1261" ht="22.5" customHeight="1">
      <c r="A1261" s="102">
        <v>46001.659393738424</v>
      </c>
      <c r="B1261" s="103" t="s">
        <v>302</v>
      </c>
      <c r="C1261" s="103" t="s">
        <v>837</v>
      </c>
      <c r="D1261" s="103" t="s">
        <v>838</v>
      </c>
      <c r="E1261" s="103" t="s">
        <v>450</v>
      </c>
      <c r="G1261" s="103" t="s">
        <v>1688</v>
      </c>
      <c r="H1261" s="103">
        <v>1.31567287E8</v>
      </c>
    </row>
    <row r="1262" ht="22.5" customHeight="1">
      <c r="A1262" s="102">
        <v>46001.65941150463</v>
      </c>
      <c r="B1262" s="103" t="s">
        <v>280</v>
      </c>
      <c r="C1262" s="103" t="s">
        <v>476</v>
      </c>
      <c r="D1262" s="103" t="s">
        <v>477</v>
      </c>
      <c r="E1262" s="103" t="s">
        <v>639</v>
      </c>
      <c r="G1262" s="103" t="s">
        <v>478</v>
      </c>
      <c r="H1262" s="103">
        <v>1.31700906E8</v>
      </c>
    </row>
    <row r="1263" ht="22.5" customHeight="1">
      <c r="A1263" s="102">
        <v>46001.65941172454</v>
      </c>
      <c r="B1263" s="103" t="s">
        <v>239</v>
      </c>
      <c r="C1263" s="103" t="s">
        <v>725</v>
      </c>
      <c r="D1263" s="103" t="s">
        <v>1892</v>
      </c>
      <c r="E1263" s="103" t="s">
        <v>578</v>
      </c>
      <c r="G1263" s="103" t="s">
        <v>2066</v>
      </c>
      <c r="H1263" s="103">
        <v>1357396.0</v>
      </c>
    </row>
    <row r="1264" ht="22.5" customHeight="1">
      <c r="A1264" s="102">
        <v>46001.65944210648</v>
      </c>
      <c r="B1264" s="103" t="s">
        <v>272</v>
      </c>
      <c r="C1264" s="103" t="s">
        <v>671</v>
      </c>
      <c r="D1264" s="103" t="s">
        <v>509</v>
      </c>
      <c r="E1264" s="103" t="s">
        <v>450</v>
      </c>
      <c r="G1264" s="103" t="s">
        <v>604</v>
      </c>
      <c r="H1264" s="103" t="s">
        <v>2067</v>
      </c>
    </row>
    <row r="1265" ht="22.5" customHeight="1">
      <c r="A1265" s="102">
        <v>46001.65945731482</v>
      </c>
      <c r="B1265" s="103" t="s">
        <v>393</v>
      </c>
      <c r="C1265" s="103" t="s">
        <v>657</v>
      </c>
      <c r="D1265" s="103" t="s">
        <v>658</v>
      </c>
      <c r="E1265" s="103" t="s">
        <v>450</v>
      </c>
      <c r="G1265" s="103" t="s">
        <v>568</v>
      </c>
      <c r="H1265" s="103">
        <v>1.31684004E8</v>
      </c>
    </row>
    <row r="1266" ht="22.5" customHeight="1">
      <c r="A1266" s="102">
        <v>46001.659481435185</v>
      </c>
      <c r="B1266" s="103" t="s">
        <v>217</v>
      </c>
      <c r="C1266" s="103" t="s">
        <v>816</v>
      </c>
      <c r="D1266" s="103" t="s">
        <v>647</v>
      </c>
      <c r="E1266" s="103" t="s">
        <v>420</v>
      </c>
      <c r="G1266" s="103" t="s">
        <v>820</v>
      </c>
      <c r="H1266" s="103">
        <v>1.31684011E8</v>
      </c>
    </row>
    <row r="1267" ht="22.5" customHeight="1">
      <c r="A1267" s="102">
        <v>46001.65949130787</v>
      </c>
      <c r="B1267" s="103" t="s">
        <v>35</v>
      </c>
      <c r="C1267" s="103" t="s">
        <v>1356</v>
      </c>
      <c r="D1267" s="103" t="s">
        <v>1067</v>
      </c>
      <c r="E1267" s="103" t="s">
        <v>494</v>
      </c>
      <c r="G1267" s="103" t="s">
        <v>23</v>
      </c>
      <c r="H1267" s="103">
        <v>1.31567255E8</v>
      </c>
    </row>
    <row r="1268" ht="22.5" customHeight="1">
      <c r="A1268" s="102">
        <v>46001.659513645835</v>
      </c>
      <c r="B1268" s="103" t="s">
        <v>308</v>
      </c>
      <c r="C1268" s="103" t="s">
        <v>2068</v>
      </c>
      <c r="D1268" s="103" t="s">
        <v>686</v>
      </c>
      <c r="E1268" s="103" t="s">
        <v>494</v>
      </c>
      <c r="G1268" s="103" t="s">
        <v>687</v>
      </c>
      <c r="H1268" s="103">
        <v>18940.0</v>
      </c>
    </row>
    <row r="1269" ht="22.5" customHeight="1">
      <c r="A1269" s="102">
        <v>46001.65965638889</v>
      </c>
      <c r="B1269" s="103" t="s">
        <v>358</v>
      </c>
      <c r="C1269" s="103" t="s">
        <v>800</v>
      </c>
      <c r="D1269" s="103" t="s">
        <v>801</v>
      </c>
      <c r="E1269" s="103" t="s">
        <v>450</v>
      </c>
      <c r="G1269" s="103" t="s">
        <v>359</v>
      </c>
      <c r="H1269" s="103">
        <v>23603.0</v>
      </c>
    </row>
    <row r="1270" ht="22.5" customHeight="1">
      <c r="A1270" s="102">
        <v>46001.65968350694</v>
      </c>
      <c r="B1270" s="103" t="s">
        <v>387</v>
      </c>
      <c r="C1270" s="103" t="s">
        <v>665</v>
      </c>
      <c r="D1270" s="103" t="s">
        <v>666</v>
      </c>
      <c r="E1270" s="103" t="s">
        <v>639</v>
      </c>
      <c r="G1270" s="103" t="s">
        <v>474</v>
      </c>
      <c r="H1270" s="103" t="s">
        <v>2069</v>
      </c>
    </row>
    <row r="1271" ht="22.5" customHeight="1">
      <c r="A1271" s="102">
        <v>46001.6598595949</v>
      </c>
      <c r="B1271" s="103" t="s">
        <v>389</v>
      </c>
      <c r="C1271" s="103" t="s">
        <v>731</v>
      </c>
      <c r="D1271" s="103" t="s">
        <v>666</v>
      </c>
      <c r="E1271" s="103" t="s">
        <v>450</v>
      </c>
      <c r="G1271" s="103" t="s">
        <v>474</v>
      </c>
      <c r="H1271" s="103" t="s">
        <v>2070</v>
      </c>
    </row>
    <row r="1272" ht="22.5" customHeight="1">
      <c r="A1272" s="102">
        <v>46001.65989976852</v>
      </c>
      <c r="B1272" s="103" t="s">
        <v>226</v>
      </c>
      <c r="C1272" s="103" t="s">
        <v>668</v>
      </c>
      <c r="D1272" s="103" t="s">
        <v>581</v>
      </c>
      <c r="E1272" s="103" t="s">
        <v>578</v>
      </c>
      <c r="G1272" s="103" t="s">
        <v>669</v>
      </c>
      <c r="H1272" s="103" t="s">
        <v>2071</v>
      </c>
    </row>
    <row r="1273" ht="22.5" customHeight="1">
      <c r="A1273" s="102">
        <v>46001.659961875004</v>
      </c>
      <c r="B1273" s="103" t="s">
        <v>268</v>
      </c>
      <c r="C1273" s="103" t="s">
        <v>722</v>
      </c>
      <c r="D1273" s="103" t="s">
        <v>723</v>
      </c>
      <c r="E1273" s="103" t="s">
        <v>450</v>
      </c>
      <c r="G1273" s="103" t="s">
        <v>604</v>
      </c>
      <c r="H1273" s="103">
        <v>1.3170678E8</v>
      </c>
    </row>
    <row r="1274" ht="22.5" customHeight="1">
      <c r="A1274" s="102">
        <v>46001.659971388886</v>
      </c>
      <c r="B1274" s="103" t="s">
        <v>106</v>
      </c>
      <c r="C1274" s="103" t="s">
        <v>2072</v>
      </c>
      <c r="D1274" s="103" t="s">
        <v>2073</v>
      </c>
      <c r="E1274" s="103" t="s">
        <v>494</v>
      </c>
      <c r="G1274" s="103" t="s">
        <v>527</v>
      </c>
      <c r="H1274" s="103" t="s">
        <v>2074</v>
      </c>
    </row>
    <row r="1275" ht="22.5" customHeight="1">
      <c r="A1275" s="102">
        <v>46001.66000831018</v>
      </c>
      <c r="B1275" s="103" t="s">
        <v>223</v>
      </c>
      <c r="C1275" s="103" t="s">
        <v>741</v>
      </c>
      <c r="D1275" s="103" t="s">
        <v>506</v>
      </c>
      <c r="E1275" s="103" t="s">
        <v>578</v>
      </c>
      <c r="G1275" s="103" t="s">
        <v>1180</v>
      </c>
      <c r="H1275" s="103">
        <v>1.31357384E8</v>
      </c>
    </row>
    <row r="1276" ht="22.5" customHeight="1">
      <c r="A1276" s="102">
        <v>46001.6600382176</v>
      </c>
      <c r="B1276" s="103" t="s">
        <v>274</v>
      </c>
      <c r="C1276" s="103" t="s">
        <v>602</v>
      </c>
      <c r="D1276" s="103" t="s">
        <v>603</v>
      </c>
      <c r="E1276" s="103" t="s">
        <v>639</v>
      </c>
      <c r="G1276" s="103" t="s">
        <v>1548</v>
      </c>
      <c r="H1276" s="103">
        <v>1.31700916E8</v>
      </c>
    </row>
    <row r="1277" ht="22.5" customHeight="1">
      <c r="A1277" s="102">
        <v>46001.66005078703</v>
      </c>
      <c r="B1277" s="103" t="s">
        <v>14</v>
      </c>
      <c r="C1277" s="103" t="s">
        <v>1004</v>
      </c>
      <c r="D1277" s="103" t="s">
        <v>719</v>
      </c>
      <c r="E1277" s="103" t="s">
        <v>494</v>
      </c>
      <c r="G1277" s="103" t="s">
        <v>1006</v>
      </c>
      <c r="H1277" s="103">
        <v>1.31683973E8</v>
      </c>
    </row>
    <row r="1278" ht="22.5" customHeight="1">
      <c r="A1278" s="102">
        <v>46001.66008354167</v>
      </c>
      <c r="B1278" s="103" t="s">
        <v>265</v>
      </c>
      <c r="C1278" s="103" t="s">
        <v>733</v>
      </c>
      <c r="D1278" s="103" t="s">
        <v>734</v>
      </c>
      <c r="E1278" s="103" t="s">
        <v>639</v>
      </c>
      <c r="G1278" s="103" t="s">
        <v>604</v>
      </c>
      <c r="H1278" s="103">
        <v>1.31684002E8</v>
      </c>
    </row>
    <row r="1279" ht="22.5" customHeight="1">
      <c r="A1279" s="102">
        <v>46001.66013568287</v>
      </c>
      <c r="B1279" s="103" t="s">
        <v>380</v>
      </c>
      <c r="C1279" s="103" t="s">
        <v>439</v>
      </c>
      <c r="D1279" s="103" t="s">
        <v>440</v>
      </c>
      <c r="E1279" s="103" t="s">
        <v>639</v>
      </c>
      <c r="G1279" s="103" t="s">
        <v>1207</v>
      </c>
      <c r="H1279" s="103">
        <v>20178.0</v>
      </c>
    </row>
    <row r="1280" ht="22.5" customHeight="1">
      <c r="A1280" s="102">
        <v>46001.66030724537</v>
      </c>
      <c r="B1280" s="103" t="s">
        <v>350</v>
      </c>
      <c r="C1280" s="103" t="s">
        <v>807</v>
      </c>
      <c r="D1280" s="103" t="s">
        <v>808</v>
      </c>
      <c r="E1280" s="103" t="s">
        <v>639</v>
      </c>
      <c r="G1280" s="103" t="s">
        <v>495</v>
      </c>
      <c r="H1280" s="103">
        <v>1.31357422E8</v>
      </c>
    </row>
    <row r="1281" ht="22.5" customHeight="1">
      <c r="A1281" s="102">
        <v>46001.66039329861</v>
      </c>
      <c r="B1281" s="103" t="s">
        <v>276</v>
      </c>
      <c r="C1281" s="103" t="s">
        <v>2075</v>
      </c>
      <c r="D1281" s="103" t="s">
        <v>715</v>
      </c>
      <c r="E1281" s="103" t="s">
        <v>639</v>
      </c>
      <c r="G1281" s="103" t="s">
        <v>648</v>
      </c>
      <c r="H1281" s="103">
        <v>1.31567271E8</v>
      </c>
    </row>
    <row r="1282" ht="22.5" customHeight="1">
      <c r="A1282" s="102">
        <v>46001.66044832176</v>
      </c>
      <c r="B1282" s="103" t="s">
        <v>352</v>
      </c>
      <c r="C1282" s="103" t="s">
        <v>555</v>
      </c>
      <c r="D1282" s="103" t="s">
        <v>556</v>
      </c>
      <c r="E1282" s="103" t="s">
        <v>450</v>
      </c>
      <c r="G1282" s="103" t="s">
        <v>495</v>
      </c>
      <c r="H1282" s="103">
        <v>1.31700081E8</v>
      </c>
    </row>
    <row r="1283" ht="22.5" customHeight="1">
      <c r="A1283" s="102">
        <v>46001.66054578703</v>
      </c>
      <c r="B1283" s="103" t="s">
        <v>369</v>
      </c>
      <c r="C1283" s="103" t="s">
        <v>457</v>
      </c>
      <c r="D1283" s="103" t="s">
        <v>458</v>
      </c>
      <c r="E1283" s="103" t="s">
        <v>639</v>
      </c>
      <c r="G1283" s="103" t="s">
        <v>442</v>
      </c>
      <c r="H1283" s="103">
        <v>1.3135753E8</v>
      </c>
    </row>
    <row r="1284" ht="22.5" customHeight="1">
      <c r="A1284" s="102">
        <v>46001.66056222223</v>
      </c>
      <c r="B1284" s="103" t="s">
        <v>356</v>
      </c>
      <c r="C1284" s="103" t="s">
        <v>544</v>
      </c>
      <c r="D1284" s="103" t="s">
        <v>545</v>
      </c>
      <c r="E1284" s="103" t="s">
        <v>450</v>
      </c>
      <c r="G1284" s="103" t="s">
        <v>932</v>
      </c>
      <c r="H1284" s="103">
        <v>1.31700081E8</v>
      </c>
    </row>
    <row r="1285" ht="22.5" customHeight="1">
      <c r="A1285" s="102">
        <v>46001.66061071759</v>
      </c>
      <c r="B1285" s="103" t="s">
        <v>296</v>
      </c>
      <c r="C1285" s="103" t="s">
        <v>853</v>
      </c>
      <c r="D1285" s="103" t="s">
        <v>854</v>
      </c>
      <c r="E1285" s="103" t="s">
        <v>639</v>
      </c>
      <c r="G1285" s="103" t="s">
        <v>462</v>
      </c>
      <c r="H1285" s="103">
        <v>1.31567298E8</v>
      </c>
    </row>
    <row r="1286" ht="22.5" customHeight="1">
      <c r="A1286" s="102">
        <v>46001.660903958335</v>
      </c>
      <c r="B1286" s="103" t="s">
        <v>400</v>
      </c>
      <c r="C1286" s="103" t="s">
        <v>445</v>
      </c>
      <c r="D1286" s="103" t="s">
        <v>641</v>
      </c>
      <c r="E1286" s="103" t="s">
        <v>639</v>
      </c>
      <c r="G1286" s="103" t="s">
        <v>585</v>
      </c>
      <c r="H1286" s="103">
        <v>1.31700178E8</v>
      </c>
    </row>
    <row r="1287" ht="22.5" customHeight="1">
      <c r="A1287" s="102">
        <v>46001.660915706016</v>
      </c>
      <c r="B1287" s="103" t="s">
        <v>278</v>
      </c>
      <c r="C1287" s="103" t="s">
        <v>2076</v>
      </c>
      <c r="D1287" s="103" t="s">
        <v>2077</v>
      </c>
      <c r="E1287" s="103" t="s">
        <v>450</v>
      </c>
      <c r="G1287" s="103" t="s">
        <v>1548</v>
      </c>
      <c r="H1287" s="103">
        <v>1.31700911E8</v>
      </c>
    </row>
    <row r="1288" ht="22.5" customHeight="1">
      <c r="A1288" s="102">
        <v>46001.66115912037</v>
      </c>
      <c r="B1288" s="103" t="s">
        <v>88</v>
      </c>
      <c r="C1288" s="103" t="s">
        <v>1117</v>
      </c>
      <c r="D1288" s="103" t="s">
        <v>1118</v>
      </c>
      <c r="E1288" s="103" t="s">
        <v>494</v>
      </c>
      <c r="G1288" s="103" t="s">
        <v>540</v>
      </c>
      <c r="H1288" s="103">
        <v>1.31700861E8</v>
      </c>
    </row>
    <row r="1289" ht="22.5" customHeight="1">
      <c r="A1289" s="102">
        <v>46001.66116228009</v>
      </c>
      <c r="B1289" s="103" t="s">
        <v>95</v>
      </c>
      <c r="C1289" s="103" t="s">
        <v>814</v>
      </c>
      <c r="D1289" s="103" t="s">
        <v>1013</v>
      </c>
      <c r="E1289" s="103" t="s">
        <v>494</v>
      </c>
      <c r="G1289" s="103" t="s">
        <v>84</v>
      </c>
      <c r="H1289" s="103">
        <v>1.31357397E8</v>
      </c>
    </row>
    <row r="1290" ht="22.5" customHeight="1">
      <c r="A1290" s="102">
        <v>46001.66126314815</v>
      </c>
      <c r="B1290" s="103" t="s">
        <v>402</v>
      </c>
      <c r="C1290" s="103" t="s">
        <v>834</v>
      </c>
      <c r="D1290" s="103" t="s">
        <v>835</v>
      </c>
      <c r="E1290" s="103" t="s">
        <v>639</v>
      </c>
      <c r="G1290" s="103" t="s">
        <v>585</v>
      </c>
      <c r="H1290" s="103">
        <v>20479.0</v>
      </c>
    </row>
    <row r="1291" ht="22.5" customHeight="1">
      <c r="A1291" s="102">
        <v>46001.66171849537</v>
      </c>
      <c r="B1291" s="103" t="s">
        <v>398</v>
      </c>
      <c r="C1291" s="103" t="s">
        <v>751</v>
      </c>
      <c r="D1291" s="103" t="s">
        <v>752</v>
      </c>
      <c r="E1291" s="103" t="s">
        <v>639</v>
      </c>
      <c r="G1291" s="103" t="s">
        <v>568</v>
      </c>
      <c r="H1291" s="103">
        <v>1.31700869E8</v>
      </c>
    </row>
    <row r="1292" ht="22.5" customHeight="1">
      <c r="A1292" s="102">
        <v>46001.66179825232</v>
      </c>
      <c r="B1292" s="103" t="s">
        <v>306</v>
      </c>
      <c r="C1292" s="103" t="s">
        <v>994</v>
      </c>
      <c r="D1292" s="103" t="s">
        <v>748</v>
      </c>
      <c r="E1292" s="103" t="s">
        <v>494</v>
      </c>
      <c r="G1292" s="103" t="s">
        <v>462</v>
      </c>
      <c r="H1292" s="103">
        <v>1926573.0</v>
      </c>
    </row>
    <row r="1293" ht="22.5" customHeight="1">
      <c r="A1293" s="102">
        <v>46001.66187334491</v>
      </c>
      <c r="B1293" s="103" t="s">
        <v>242</v>
      </c>
      <c r="C1293" s="103" t="s">
        <v>679</v>
      </c>
      <c r="D1293" s="103" t="s">
        <v>680</v>
      </c>
      <c r="E1293" s="103" t="s">
        <v>578</v>
      </c>
      <c r="G1293" s="103" t="s">
        <v>240</v>
      </c>
      <c r="H1293" s="103">
        <v>1.31567285E8</v>
      </c>
    </row>
    <row r="1294" ht="22.5" customHeight="1">
      <c r="A1294" s="102">
        <v>46001.66191755787</v>
      </c>
      <c r="B1294" s="103" t="s">
        <v>354</v>
      </c>
      <c r="C1294" s="103" t="s">
        <v>2078</v>
      </c>
      <c r="D1294" s="103" t="s">
        <v>2079</v>
      </c>
      <c r="E1294" s="103" t="s">
        <v>639</v>
      </c>
      <c r="G1294" s="103" t="s">
        <v>570</v>
      </c>
      <c r="H1294" s="103">
        <v>1.31700912E8</v>
      </c>
    </row>
    <row r="1295" ht="22.5" customHeight="1">
      <c r="A1295" s="102">
        <v>46001.662015208334</v>
      </c>
      <c r="B1295" s="103" t="s">
        <v>83</v>
      </c>
      <c r="C1295" s="103" t="s">
        <v>942</v>
      </c>
      <c r="D1295" s="103" t="s">
        <v>560</v>
      </c>
      <c r="E1295" s="103" t="s">
        <v>639</v>
      </c>
      <c r="G1295" s="103" t="s">
        <v>84</v>
      </c>
      <c r="H1295" s="103">
        <v>1.3170089E8</v>
      </c>
    </row>
    <row r="1296" ht="22.5" customHeight="1">
      <c r="A1296" s="102">
        <v>46001.66219587963</v>
      </c>
      <c r="B1296" s="103" t="s">
        <v>378</v>
      </c>
      <c r="C1296" s="103" t="s">
        <v>882</v>
      </c>
      <c r="D1296" s="103" t="s">
        <v>883</v>
      </c>
      <c r="E1296" s="103" t="s">
        <v>639</v>
      </c>
      <c r="G1296" s="103" t="s">
        <v>1207</v>
      </c>
      <c r="H1296" s="103">
        <v>1.31357476E8</v>
      </c>
    </row>
    <row r="1297" ht="22.5" customHeight="1">
      <c r="A1297" s="102">
        <v>46001.662593472225</v>
      </c>
      <c r="B1297" s="103" t="s">
        <v>68</v>
      </c>
      <c r="C1297" s="103" t="s">
        <v>2080</v>
      </c>
      <c r="D1297" s="103" t="s">
        <v>2081</v>
      </c>
      <c r="E1297" s="103" t="s">
        <v>494</v>
      </c>
      <c r="G1297" s="103" t="s">
        <v>62</v>
      </c>
      <c r="H1297" s="103">
        <v>1.31567334E8</v>
      </c>
    </row>
    <row r="1298" ht="22.5" customHeight="1">
      <c r="A1298" s="102">
        <v>46001.66329880787</v>
      </c>
      <c r="B1298" s="103" t="s">
        <v>187</v>
      </c>
      <c r="C1298" s="103" t="s">
        <v>751</v>
      </c>
      <c r="D1298" s="103" t="s">
        <v>647</v>
      </c>
      <c r="E1298" s="103" t="s">
        <v>578</v>
      </c>
      <c r="G1298" s="103" t="s">
        <v>503</v>
      </c>
      <c r="H1298" s="103">
        <v>1.31700184E8</v>
      </c>
    </row>
    <row r="1299" ht="22.5" customHeight="1">
      <c r="A1299" s="102">
        <v>46001.66358087963</v>
      </c>
      <c r="B1299" s="103" t="s">
        <v>261</v>
      </c>
      <c r="C1299" s="103" t="s">
        <v>1210</v>
      </c>
      <c r="D1299" s="103" t="s">
        <v>1211</v>
      </c>
      <c r="E1299" s="103" t="s">
        <v>494</v>
      </c>
      <c r="G1299" s="103" t="s">
        <v>809</v>
      </c>
      <c r="H1299" s="103">
        <v>1.31357442E8</v>
      </c>
    </row>
    <row r="1300" ht="22.5" customHeight="1">
      <c r="A1300" s="102">
        <v>46001.66377662037</v>
      </c>
      <c r="B1300" s="103" t="s">
        <v>206</v>
      </c>
      <c r="C1300" s="103" t="s">
        <v>445</v>
      </c>
      <c r="D1300" s="103" t="s">
        <v>1288</v>
      </c>
      <c r="E1300" s="103" t="s">
        <v>578</v>
      </c>
      <c r="G1300" s="103" t="s">
        <v>1019</v>
      </c>
      <c r="H1300" s="103">
        <v>1.31357448E8</v>
      </c>
    </row>
    <row r="1301" ht="22.5" customHeight="1">
      <c r="A1301" s="102">
        <v>46001.67426284723</v>
      </c>
      <c r="B1301" s="103" t="s">
        <v>374</v>
      </c>
      <c r="C1301" s="103" t="s">
        <v>1027</v>
      </c>
      <c r="D1301" s="103" t="s">
        <v>458</v>
      </c>
      <c r="E1301" s="103" t="s">
        <v>639</v>
      </c>
      <c r="G1301" s="103" t="s">
        <v>2082</v>
      </c>
      <c r="H1301" s="103" t="s">
        <v>2083</v>
      </c>
    </row>
    <row r="1302" ht="22.5" customHeight="1">
      <c r="A1302" s="102">
        <v>46001.674689583335</v>
      </c>
      <c r="B1302" s="103" t="s">
        <v>289</v>
      </c>
      <c r="C1302" s="103" t="s">
        <v>735</v>
      </c>
      <c r="D1302" s="103" t="s">
        <v>736</v>
      </c>
      <c r="E1302" s="103" t="s">
        <v>639</v>
      </c>
      <c r="G1302" s="103" t="s">
        <v>428</v>
      </c>
      <c r="H1302" s="103">
        <v>1.31567288E8</v>
      </c>
    </row>
    <row r="1303" ht="22.5" customHeight="1">
      <c r="A1303" s="102">
        <v>46001.677027743055</v>
      </c>
      <c r="B1303" s="103" t="s">
        <v>298</v>
      </c>
      <c r="C1303" s="103" t="s">
        <v>460</v>
      </c>
      <c r="D1303" s="103" t="s">
        <v>461</v>
      </c>
      <c r="E1303" s="103" t="s">
        <v>639</v>
      </c>
      <c r="G1303" s="103" t="s">
        <v>462</v>
      </c>
      <c r="H1303" s="103">
        <v>22017.0</v>
      </c>
    </row>
    <row r="1304" ht="22.5" customHeight="1">
      <c r="A1304" s="102">
        <v>46001.67993067129</v>
      </c>
      <c r="B1304" s="103" t="s">
        <v>14</v>
      </c>
      <c r="C1304" s="103" t="s">
        <v>1004</v>
      </c>
      <c r="D1304" s="103" t="s">
        <v>1005</v>
      </c>
      <c r="E1304" s="103" t="s">
        <v>494</v>
      </c>
      <c r="G1304" s="103" t="s">
        <v>1006</v>
      </c>
      <c r="H1304" s="103">
        <v>1.31683973E8</v>
      </c>
    </row>
    <row r="1305" ht="22.5" customHeight="1">
      <c r="A1305" s="102">
        <v>46001.70663340278</v>
      </c>
      <c r="B1305" s="103" t="s">
        <v>250</v>
      </c>
      <c r="C1305" s="103" t="s">
        <v>2016</v>
      </c>
      <c r="D1305" s="103" t="s">
        <v>2017</v>
      </c>
      <c r="E1305" s="103" t="s">
        <v>578</v>
      </c>
      <c r="G1305" s="103" t="s">
        <v>615</v>
      </c>
      <c r="H1305" s="103">
        <v>1.31357434E8</v>
      </c>
    </row>
    <row r="1306" ht="22.5" customHeight="1">
      <c r="A1306" s="102">
        <v>46001.84061537037</v>
      </c>
      <c r="B1306" s="103" t="s">
        <v>92</v>
      </c>
      <c r="C1306" s="103" t="s">
        <v>1045</v>
      </c>
      <c r="D1306" s="103" t="s">
        <v>1046</v>
      </c>
      <c r="E1306" s="103" t="s">
        <v>639</v>
      </c>
      <c r="G1306" s="103" t="s">
        <v>540</v>
      </c>
      <c r="H1306" s="103">
        <v>22847.0</v>
      </c>
    </row>
    <row r="1307" ht="22.5" customHeight="1">
      <c r="A1307" s="102">
        <v>46050.64881293981</v>
      </c>
      <c r="B1307" s="103" t="s">
        <v>298</v>
      </c>
      <c r="C1307" s="103" t="s">
        <v>460</v>
      </c>
      <c r="D1307" s="103" t="s">
        <v>461</v>
      </c>
      <c r="E1307" s="103" t="s">
        <v>427</v>
      </c>
      <c r="G1307" s="103" t="s">
        <v>2084</v>
      </c>
      <c r="H1307" s="103" t="s">
        <v>2085</v>
      </c>
    </row>
    <row r="1308" ht="22.5" customHeight="1">
      <c r="A1308" s="102">
        <v>46050.64886508102</v>
      </c>
      <c r="B1308" s="103" t="s">
        <v>112</v>
      </c>
      <c r="C1308" s="103" t="s">
        <v>434</v>
      </c>
      <c r="D1308" s="103" t="s">
        <v>435</v>
      </c>
      <c r="E1308" s="103" t="s">
        <v>427</v>
      </c>
      <c r="G1308" s="103" t="s">
        <v>113</v>
      </c>
      <c r="H1308" s="103" t="s">
        <v>2086</v>
      </c>
    </row>
    <row r="1309" ht="22.5" customHeight="1">
      <c r="A1309" s="102">
        <v>46050.648873680555</v>
      </c>
      <c r="B1309" s="103" t="s">
        <v>378</v>
      </c>
      <c r="C1309" s="103" t="s">
        <v>1205</v>
      </c>
      <c r="D1309" s="103" t="s">
        <v>883</v>
      </c>
      <c r="E1309" s="103" t="s">
        <v>427</v>
      </c>
      <c r="G1309" s="103" t="s">
        <v>1207</v>
      </c>
      <c r="H1309" s="103" t="s">
        <v>2087</v>
      </c>
    </row>
    <row r="1310">
      <c r="H1310" s="142"/>
      <c r="U1310" s="133"/>
    </row>
    <row r="1311">
      <c r="H1311" s="142"/>
      <c r="U1311" s="133"/>
    </row>
    <row r="1312">
      <c r="H1312" s="142"/>
      <c r="U1312" s="133"/>
    </row>
    <row r="1313">
      <c r="H1313" s="142"/>
      <c r="U1313" s="133"/>
    </row>
    <row r="1314">
      <c r="H1314" s="142"/>
      <c r="U1314" s="133"/>
    </row>
    <row r="1315">
      <c r="H1315" s="142"/>
      <c r="U1315" s="133"/>
    </row>
    <row r="1316">
      <c r="H1316" s="142"/>
      <c r="U1316" s="133"/>
    </row>
    <row r="1317">
      <c r="H1317" s="142"/>
      <c r="U1317" s="133"/>
    </row>
    <row r="1318">
      <c r="H1318" s="142"/>
      <c r="U1318" s="133"/>
    </row>
    <row r="1319">
      <c r="H1319" s="142"/>
      <c r="U1319" s="133"/>
    </row>
    <row r="1320">
      <c r="H1320" s="142"/>
      <c r="U1320" s="133"/>
    </row>
    <row r="1321">
      <c r="H1321" s="142"/>
      <c r="U1321" s="133"/>
    </row>
    <row r="1322">
      <c r="H1322" s="142"/>
      <c r="U1322" s="133"/>
    </row>
    <row r="1323">
      <c r="H1323" s="142"/>
      <c r="U1323" s="133"/>
    </row>
    <row r="1324">
      <c r="H1324" s="142"/>
      <c r="U1324" s="133"/>
    </row>
    <row r="1325">
      <c r="H1325" s="142"/>
      <c r="U1325" s="133"/>
    </row>
    <row r="1326">
      <c r="H1326" s="142"/>
      <c r="U1326" s="133"/>
    </row>
    <row r="1327">
      <c r="H1327" s="142"/>
      <c r="U1327" s="133"/>
    </row>
    <row r="1328">
      <c r="H1328" s="142"/>
      <c r="U1328" s="133"/>
    </row>
    <row r="1329">
      <c r="H1329" s="142"/>
      <c r="U1329" s="133"/>
    </row>
    <row r="1330">
      <c r="H1330" s="142"/>
      <c r="U1330" s="133"/>
    </row>
    <row r="1331">
      <c r="H1331" s="142"/>
      <c r="U1331" s="133"/>
    </row>
    <row r="1332">
      <c r="H1332" s="142"/>
      <c r="U1332" s="133"/>
    </row>
    <row r="1333">
      <c r="H1333" s="142"/>
      <c r="U1333" s="133"/>
    </row>
    <row r="1334">
      <c r="H1334" s="142"/>
      <c r="U1334" s="133"/>
    </row>
    <row r="1335">
      <c r="H1335" s="142"/>
      <c r="U1335" s="133"/>
    </row>
    <row r="1336">
      <c r="H1336" s="142"/>
      <c r="U1336" s="133"/>
    </row>
    <row r="1337">
      <c r="H1337" s="142"/>
      <c r="U1337" s="133"/>
    </row>
    <row r="1338">
      <c r="H1338" s="142"/>
      <c r="U1338" s="133"/>
    </row>
    <row r="1339">
      <c r="H1339" s="142"/>
      <c r="U1339" s="133"/>
    </row>
    <row r="1340">
      <c r="H1340" s="142"/>
      <c r="U1340" s="133"/>
    </row>
    <row r="1341">
      <c r="H1341" s="142"/>
      <c r="U1341" s="133"/>
    </row>
    <row r="1342">
      <c r="H1342" s="142"/>
      <c r="U1342" s="133"/>
    </row>
    <row r="1343">
      <c r="H1343" s="142"/>
      <c r="U1343" s="133"/>
    </row>
    <row r="1344">
      <c r="H1344" s="142"/>
      <c r="U1344" s="133"/>
    </row>
    <row r="1345">
      <c r="H1345" s="142"/>
      <c r="U1345" s="133"/>
    </row>
    <row r="1346">
      <c r="H1346" s="142"/>
      <c r="U1346" s="133"/>
    </row>
    <row r="1347">
      <c r="H1347" s="142"/>
      <c r="U1347" s="133"/>
    </row>
    <row r="1348">
      <c r="H1348" s="142"/>
      <c r="U1348" s="133"/>
    </row>
    <row r="1349">
      <c r="H1349" s="142"/>
      <c r="U1349" s="133"/>
    </row>
    <row r="1350">
      <c r="H1350" s="142"/>
      <c r="U1350" s="133"/>
    </row>
    <row r="1351">
      <c r="H1351" s="142"/>
      <c r="U1351" s="133"/>
    </row>
    <row r="1352">
      <c r="H1352" s="142"/>
      <c r="U1352" s="133"/>
    </row>
    <row r="1353">
      <c r="U1353" s="133"/>
    </row>
    <row r="1354">
      <c r="U1354" s="133"/>
    </row>
    <row r="1355">
      <c r="U1355" s="133"/>
    </row>
    <row r="1356">
      <c r="U1356" s="133"/>
    </row>
    <row r="1357">
      <c r="U1357" s="133"/>
    </row>
    <row r="1358">
      <c r="U1358" s="133"/>
    </row>
    <row r="1359">
      <c r="U1359" s="133"/>
    </row>
    <row r="1360">
      <c r="U1360" s="133"/>
    </row>
    <row r="1361">
      <c r="U1361" s="133"/>
    </row>
    <row r="1362">
      <c r="U1362" s="133"/>
    </row>
    <row r="1363">
      <c r="U1363" s="133"/>
    </row>
    <row r="1364">
      <c r="U1364" s="133"/>
    </row>
    <row r="1365">
      <c r="U1365" s="133"/>
    </row>
    <row r="1366">
      <c r="U1366" s="133"/>
    </row>
    <row r="1367">
      <c r="U1367" s="133"/>
    </row>
    <row r="1368">
      <c r="U1368" s="133"/>
    </row>
    <row r="1369">
      <c r="U1369" s="133"/>
    </row>
    <row r="1370">
      <c r="U1370" s="133"/>
    </row>
    <row r="1371">
      <c r="U1371" s="133"/>
    </row>
    <row r="1372">
      <c r="U1372" s="133"/>
    </row>
    <row r="1373">
      <c r="U1373" s="133"/>
    </row>
    <row r="1374">
      <c r="U1374" s="133"/>
    </row>
    <row r="1375">
      <c r="U1375" s="133"/>
    </row>
    <row r="1376">
      <c r="U1376" s="133"/>
    </row>
    <row r="1377">
      <c r="U1377" s="133"/>
    </row>
    <row r="1378">
      <c r="U1378" s="133"/>
    </row>
    <row r="1379">
      <c r="U1379" s="133"/>
    </row>
    <row r="1380">
      <c r="U1380" s="133"/>
    </row>
    <row r="1381">
      <c r="U1381" s="133"/>
    </row>
    <row r="1382">
      <c r="U1382" s="133"/>
    </row>
    <row r="1383">
      <c r="U1383" s="133"/>
    </row>
    <row r="1384">
      <c r="U1384" s="133"/>
    </row>
    <row r="1385">
      <c r="U1385" s="133"/>
    </row>
    <row r="1386">
      <c r="U1386" s="133"/>
    </row>
    <row r="1387">
      <c r="U1387" s="133"/>
    </row>
    <row r="1388">
      <c r="U1388" s="133"/>
    </row>
    <row r="1389">
      <c r="U1389" s="133"/>
    </row>
    <row r="1390">
      <c r="U1390" s="133"/>
    </row>
    <row r="1391">
      <c r="U1391" s="133"/>
    </row>
    <row r="1392">
      <c r="U1392" s="133"/>
    </row>
    <row r="1393">
      <c r="U1393" s="133"/>
    </row>
    <row r="1394">
      <c r="U1394" s="133"/>
    </row>
    <row r="1395">
      <c r="U1395" s="133"/>
    </row>
    <row r="1396">
      <c r="U1396" s="133"/>
    </row>
    <row r="1397">
      <c r="U1397" s="133"/>
    </row>
    <row r="1398">
      <c r="U1398" s="133"/>
    </row>
    <row r="1399">
      <c r="U1399" s="133"/>
    </row>
    <row r="1400">
      <c r="U1400" s="133"/>
    </row>
    <row r="1401">
      <c r="U1401" s="133"/>
    </row>
    <row r="1402">
      <c r="U1402" s="133"/>
    </row>
    <row r="1403">
      <c r="U1403" s="133"/>
    </row>
    <row r="1404">
      <c r="U1404" s="133"/>
    </row>
    <row r="1405">
      <c r="U1405" s="133"/>
    </row>
    <row r="1406">
      <c r="U1406" s="133"/>
    </row>
    <row r="1407">
      <c r="U1407" s="133"/>
    </row>
    <row r="1408">
      <c r="U1408" s="133"/>
    </row>
  </sheetData>
  <conditionalFormatting sqref="N2:N196">
    <cfRule type="containsText" dxfId="0" priority="1" operator="containsText" text="N">
      <formula>NOT(ISERROR(SEARCH(("N"),(N2))))</formula>
    </cfRule>
  </conditionalFormatting>
  <conditionalFormatting sqref="N2:N196">
    <cfRule type="containsText" dxfId="1" priority="2" operator="containsText" text="E">
      <formula>NOT(ISERROR(SEARCH(("E"),(N2))))</formula>
    </cfRule>
  </conditionalFormatting>
  <conditionalFormatting sqref="R2:R196 S2:S195 T2:T235 U2:U195">
    <cfRule type="containsText" dxfId="9" priority="3" operator="containsText" text="1">
      <formula>NOT(ISERROR(SEARCH(("1"),(R2))))</formula>
    </cfRule>
  </conditionalFormatting>
  <conditionalFormatting sqref="A1">
    <cfRule type="notContainsBlanks" dxfId="9" priority="4">
      <formula>LEN(TRIM(A1))&gt;0</formula>
    </cfRule>
  </conditionalFormatting>
  <conditionalFormatting sqref="V2:AQ402">
    <cfRule type="containsText" dxfId="9" priority="5" operator="containsText" text="1">
      <formula>NOT(ISERROR(SEARCH(("1"),(V2))))</formula>
    </cfRule>
  </conditionalFormatting>
  <drawing r:id="rId2"/>
  <legacyDrawing r:id="rId3"/>
  <tableParts count="3">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4.25"/>
    <col customWidth="1" min="6" max="6" width="25.0"/>
    <col customWidth="1" min="7" max="7" width="26.25"/>
    <col customWidth="1" min="8" max="8" width="21.0"/>
    <col customWidth="1" min="9" max="10" width="37.63"/>
    <col customWidth="1" min="11" max="16" width="18.88"/>
  </cols>
  <sheetData>
    <row r="1" ht="22.5" customHeight="1">
      <c r="A1" s="84" t="s">
        <v>408</v>
      </c>
      <c r="B1" s="84" t="s">
        <v>409</v>
      </c>
      <c r="C1" s="85" t="s">
        <v>2088</v>
      </c>
      <c r="D1" s="85" t="s">
        <v>2089</v>
      </c>
      <c r="E1" s="84" t="s">
        <v>2090</v>
      </c>
      <c r="F1" s="85" t="s">
        <v>2091</v>
      </c>
      <c r="G1" s="84" t="s">
        <v>2092</v>
      </c>
      <c r="H1" s="84" t="s">
        <v>2093</v>
      </c>
      <c r="I1" s="85" t="s">
        <v>2094</v>
      </c>
      <c r="J1" s="84" t="s">
        <v>2095</v>
      </c>
      <c r="L1" s="10" t="s">
        <v>2096</v>
      </c>
    </row>
    <row r="2" ht="22.5" hidden="1" customHeight="1">
      <c r="A2" s="94">
        <v>45917.543402083335</v>
      </c>
      <c r="B2" s="95" t="s">
        <v>35</v>
      </c>
      <c r="C2" s="95" t="s">
        <v>1356</v>
      </c>
      <c r="D2" s="95" t="s">
        <v>1067</v>
      </c>
      <c r="E2" s="143"/>
      <c r="F2" s="143"/>
      <c r="G2" s="144">
        <v>45917.0</v>
      </c>
      <c r="H2" s="95" t="s">
        <v>2097</v>
      </c>
      <c r="I2" s="95" t="s">
        <v>2098</v>
      </c>
      <c r="J2" s="95" t="s">
        <v>2099</v>
      </c>
      <c r="L2" s="10" t="s">
        <v>2100</v>
      </c>
    </row>
    <row r="3" ht="22.5" hidden="1" customHeight="1">
      <c r="A3" s="102">
        <v>45917.54664153935</v>
      </c>
      <c r="B3" s="103" t="s">
        <v>287</v>
      </c>
      <c r="C3" s="103" t="s">
        <v>989</v>
      </c>
      <c r="D3" s="103" t="s">
        <v>466</v>
      </c>
      <c r="G3" s="145">
        <v>45917.0</v>
      </c>
      <c r="H3" s="103" t="s">
        <v>2097</v>
      </c>
      <c r="I3" s="103" t="s">
        <v>2101</v>
      </c>
      <c r="L3" s="10" t="s">
        <v>2100</v>
      </c>
    </row>
    <row r="4" ht="22.5" hidden="1" customHeight="1">
      <c r="A4" s="102">
        <v>45917.550568645835</v>
      </c>
      <c r="B4" s="103" t="s">
        <v>219</v>
      </c>
      <c r="C4" s="103" t="s">
        <v>818</v>
      </c>
      <c r="D4" s="103" t="s">
        <v>1156</v>
      </c>
      <c r="G4" s="145">
        <v>45917.0</v>
      </c>
      <c r="H4" s="103" t="s">
        <v>2102</v>
      </c>
      <c r="I4" s="103" t="s">
        <v>2103</v>
      </c>
      <c r="L4" s="10" t="s">
        <v>2100</v>
      </c>
    </row>
    <row r="5" ht="22.5" hidden="1" customHeight="1">
      <c r="A5" s="102">
        <v>45917.55261247685</v>
      </c>
      <c r="B5" s="103" t="s">
        <v>126</v>
      </c>
      <c r="C5" s="103" t="s">
        <v>2104</v>
      </c>
      <c r="D5" s="103" t="s">
        <v>1266</v>
      </c>
      <c r="G5" s="145">
        <v>45917.0</v>
      </c>
      <c r="H5" s="103" t="s">
        <v>2097</v>
      </c>
      <c r="I5" s="103" t="s">
        <v>2105</v>
      </c>
      <c r="L5" s="10" t="s">
        <v>2100</v>
      </c>
    </row>
    <row r="6" ht="22.5" hidden="1" customHeight="1">
      <c r="A6" s="102">
        <v>45917.553471817126</v>
      </c>
      <c r="B6" s="103" t="s">
        <v>92</v>
      </c>
      <c r="C6" s="103" t="s">
        <v>1045</v>
      </c>
      <c r="D6" s="103" t="s">
        <v>1046</v>
      </c>
      <c r="G6" s="145">
        <v>45917.0</v>
      </c>
      <c r="H6" s="103" t="s">
        <v>2102</v>
      </c>
      <c r="I6" s="103" t="s">
        <v>2106</v>
      </c>
      <c r="L6" s="10" t="s">
        <v>2107</v>
      </c>
    </row>
    <row r="7" ht="22.5" hidden="1" customHeight="1">
      <c r="A7" s="102">
        <v>45917.55456524306</v>
      </c>
      <c r="B7" s="103" t="s">
        <v>350</v>
      </c>
      <c r="C7" s="103" t="s">
        <v>807</v>
      </c>
      <c r="D7" s="103" t="s">
        <v>808</v>
      </c>
      <c r="G7" s="145">
        <v>45917.0</v>
      </c>
      <c r="H7" s="103" t="s">
        <v>2102</v>
      </c>
      <c r="I7" s="103" t="s">
        <v>2108</v>
      </c>
      <c r="L7" s="10" t="s">
        <v>2107</v>
      </c>
    </row>
    <row r="8" ht="22.5" hidden="1" customHeight="1">
      <c r="A8" s="102">
        <v>45917.597971041665</v>
      </c>
      <c r="B8" s="103" t="s">
        <v>348</v>
      </c>
      <c r="C8" s="103" t="s">
        <v>1505</v>
      </c>
      <c r="D8" s="103" t="s">
        <v>487</v>
      </c>
      <c r="G8" s="145">
        <v>39708.0</v>
      </c>
      <c r="H8" s="103" t="s">
        <v>2109</v>
      </c>
      <c r="I8" s="103" t="s">
        <v>2110</v>
      </c>
      <c r="L8" s="10" t="s">
        <v>2100</v>
      </c>
    </row>
    <row r="9" ht="22.5" hidden="1" customHeight="1">
      <c r="A9" s="102">
        <v>45917.61907744213</v>
      </c>
      <c r="B9" s="103" t="s">
        <v>2111</v>
      </c>
      <c r="C9" s="103" t="s">
        <v>2112</v>
      </c>
      <c r="D9" s="103" t="s">
        <v>2113</v>
      </c>
      <c r="G9" s="145">
        <v>45917.0</v>
      </c>
      <c r="H9" s="146" t="s">
        <v>2102</v>
      </c>
      <c r="I9" s="103" t="s">
        <v>2114</v>
      </c>
      <c r="L9" s="10" t="s">
        <v>2100</v>
      </c>
    </row>
    <row r="10" ht="22.5" hidden="1" customHeight="1">
      <c r="A10" s="102">
        <v>45917.83867424769</v>
      </c>
      <c r="B10" s="103" t="s">
        <v>341</v>
      </c>
      <c r="C10" s="103" t="s">
        <v>1199</v>
      </c>
      <c r="D10" s="103" t="s">
        <v>1048</v>
      </c>
      <c r="G10" s="145">
        <v>45917.0</v>
      </c>
      <c r="H10" s="103" t="s">
        <v>2109</v>
      </c>
      <c r="I10" s="103" t="s">
        <v>2115</v>
      </c>
      <c r="L10" s="10" t="s">
        <v>2100</v>
      </c>
    </row>
    <row r="11" ht="22.5" hidden="1" customHeight="1">
      <c r="A11" s="102">
        <v>45917.94300693287</v>
      </c>
      <c r="B11" s="103" t="s">
        <v>317</v>
      </c>
      <c r="C11" s="103" t="s">
        <v>615</v>
      </c>
      <c r="D11" s="103" t="s">
        <v>2116</v>
      </c>
      <c r="G11" s="145">
        <v>45917.0</v>
      </c>
      <c r="H11" s="103" t="s">
        <v>2102</v>
      </c>
      <c r="I11" s="103" t="s">
        <v>2117</v>
      </c>
      <c r="J11" s="103" t="s">
        <v>2118</v>
      </c>
      <c r="L11" s="10" t="s">
        <v>2100</v>
      </c>
    </row>
    <row r="12" ht="22.5" hidden="1" customHeight="1">
      <c r="A12" s="102">
        <v>45918.4528197801</v>
      </c>
      <c r="B12" s="103" t="s">
        <v>64</v>
      </c>
      <c r="C12" s="103" t="s">
        <v>1089</v>
      </c>
      <c r="D12" s="103" t="s">
        <v>1090</v>
      </c>
      <c r="G12" s="145">
        <v>45917.0</v>
      </c>
      <c r="H12" s="103" t="s">
        <v>2109</v>
      </c>
      <c r="I12" s="103" t="s">
        <v>2119</v>
      </c>
      <c r="J12" s="103" t="s">
        <v>1087</v>
      </c>
      <c r="L12" s="10" t="s">
        <v>2100</v>
      </c>
    </row>
    <row r="13" ht="22.5" hidden="1" customHeight="1">
      <c r="A13" s="102">
        <v>45919.795133680556</v>
      </c>
      <c r="B13" s="103" t="s">
        <v>239</v>
      </c>
      <c r="C13" s="103" t="s">
        <v>725</v>
      </c>
      <c r="D13" s="103" t="s">
        <v>1892</v>
      </c>
      <c r="G13" s="145">
        <v>45917.0</v>
      </c>
      <c r="H13" s="103" t="s">
        <v>2097</v>
      </c>
      <c r="I13" s="103" t="s">
        <v>2120</v>
      </c>
      <c r="L13" s="10" t="s">
        <v>2100</v>
      </c>
    </row>
    <row r="14" ht="22.5" hidden="1" customHeight="1">
      <c r="A14" s="102">
        <v>45923.45144394676</v>
      </c>
      <c r="B14" s="103" t="s">
        <v>393</v>
      </c>
      <c r="C14" s="103" t="s">
        <v>657</v>
      </c>
      <c r="D14" s="103" t="s">
        <v>658</v>
      </c>
      <c r="G14" s="145">
        <v>45924.0</v>
      </c>
      <c r="H14" s="147" t="s">
        <v>2109</v>
      </c>
      <c r="I14" s="103" t="s">
        <v>2121</v>
      </c>
      <c r="J14" s="103" t="s">
        <v>2122</v>
      </c>
      <c r="L14" s="10" t="s">
        <v>2100</v>
      </c>
    </row>
    <row r="15" ht="22.5" hidden="1" customHeight="1">
      <c r="A15" s="102">
        <v>45923.50494302083</v>
      </c>
      <c r="B15" s="103" t="s">
        <v>119</v>
      </c>
      <c r="C15" s="103" t="s">
        <v>814</v>
      </c>
      <c r="D15" s="103" t="s">
        <v>493</v>
      </c>
      <c r="G15" s="145">
        <v>45924.0</v>
      </c>
      <c r="H15" s="103" t="s">
        <v>2109</v>
      </c>
      <c r="I15" s="103" t="s">
        <v>2123</v>
      </c>
      <c r="J15" s="103" t="s">
        <v>2124</v>
      </c>
      <c r="L15" s="10" t="s">
        <v>2100</v>
      </c>
    </row>
    <row r="16" ht="22.5" hidden="1" customHeight="1">
      <c r="A16" s="102">
        <v>45923.82426376158</v>
      </c>
      <c r="B16" s="103" t="s">
        <v>356</v>
      </c>
      <c r="C16" s="103" t="s">
        <v>2125</v>
      </c>
      <c r="D16" s="103" t="s">
        <v>545</v>
      </c>
      <c r="G16" s="145">
        <v>45924.0</v>
      </c>
      <c r="H16" s="103" t="s">
        <v>2109</v>
      </c>
      <c r="I16" s="103" t="s">
        <v>2126</v>
      </c>
      <c r="J16" s="103" t="s">
        <v>2127</v>
      </c>
      <c r="L16" s="10" t="s">
        <v>2100</v>
      </c>
    </row>
    <row r="17" ht="22.5" hidden="1" customHeight="1">
      <c r="A17" s="102">
        <v>45923.84237737268</v>
      </c>
      <c r="B17" s="103" t="s">
        <v>334</v>
      </c>
      <c r="C17" s="103" t="s">
        <v>1145</v>
      </c>
      <c r="D17" s="103" t="s">
        <v>1146</v>
      </c>
      <c r="G17" s="145">
        <v>45924.0</v>
      </c>
      <c r="H17" s="103" t="s">
        <v>2102</v>
      </c>
      <c r="I17" s="103" t="s">
        <v>2128</v>
      </c>
      <c r="L17" s="10" t="s">
        <v>2100</v>
      </c>
    </row>
    <row r="18" ht="22.5" hidden="1" customHeight="1">
      <c r="A18" s="102">
        <v>45923.85214796296</v>
      </c>
      <c r="B18" s="103" t="s">
        <v>250</v>
      </c>
      <c r="C18" s="103" t="s">
        <v>2016</v>
      </c>
      <c r="D18" s="103" t="s">
        <v>2017</v>
      </c>
      <c r="G18" s="145">
        <v>45924.0</v>
      </c>
      <c r="H18" s="103" t="s">
        <v>2109</v>
      </c>
      <c r="I18" s="103" t="s">
        <v>2129</v>
      </c>
      <c r="J18" s="103" t="s">
        <v>2130</v>
      </c>
      <c r="L18" s="10" t="s">
        <v>2100</v>
      </c>
    </row>
    <row r="19" ht="22.5" hidden="1" customHeight="1">
      <c r="A19" s="102">
        <v>45923.85942054398</v>
      </c>
      <c r="B19" s="103" t="s">
        <v>339</v>
      </c>
      <c r="C19" s="103" t="s">
        <v>858</v>
      </c>
      <c r="D19" s="103" t="s">
        <v>726</v>
      </c>
      <c r="G19" s="145">
        <v>45924.0</v>
      </c>
      <c r="H19" s="103" t="s">
        <v>2102</v>
      </c>
      <c r="I19" s="103" t="s">
        <v>2131</v>
      </c>
      <c r="L19" s="10" t="s">
        <v>2100</v>
      </c>
    </row>
    <row r="20" ht="22.5" hidden="1" customHeight="1">
      <c r="A20" s="102">
        <v>45924.338981574074</v>
      </c>
      <c r="B20" s="103" t="s">
        <v>53</v>
      </c>
      <c r="C20" s="103" t="s">
        <v>535</v>
      </c>
      <c r="D20" s="103" t="s">
        <v>968</v>
      </c>
      <c r="G20" s="145">
        <v>45924.0</v>
      </c>
      <c r="H20" s="103" t="s">
        <v>2102</v>
      </c>
      <c r="I20" s="103" t="s">
        <v>2132</v>
      </c>
      <c r="J20" s="103" t="s">
        <v>2133</v>
      </c>
      <c r="L20" s="10" t="s">
        <v>2100</v>
      </c>
    </row>
    <row r="21" ht="22.5" hidden="1" customHeight="1">
      <c r="A21" s="102">
        <v>45924.35437725694</v>
      </c>
      <c r="B21" s="103" t="s">
        <v>73</v>
      </c>
      <c r="C21" s="103" t="s">
        <v>557</v>
      </c>
      <c r="D21" s="103" t="s">
        <v>709</v>
      </c>
      <c r="G21" s="145">
        <v>45924.0</v>
      </c>
      <c r="H21" s="103" t="s">
        <v>2102</v>
      </c>
      <c r="I21" s="103" t="s">
        <v>2134</v>
      </c>
      <c r="L21" s="10" t="s">
        <v>2100</v>
      </c>
    </row>
    <row r="22" ht="22.5" hidden="1" customHeight="1">
      <c r="A22" s="102">
        <v>45924.44446752315</v>
      </c>
      <c r="B22" s="103" t="s">
        <v>248</v>
      </c>
      <c r="C22" s="103" t="s">
        <v>1896</v>
      </c>
      <c r="D22" s="103" t="s">
        <v>1897</v>
      </c>
      <c r="G22" s="145">
        <v>45924.0</v>
      </c>
      <c r="H22" s="103" t="s">
        <v>2097</v>
      </c>
      <c r="I22" s="103" t="s">
        <v>2135</v>
      </c>
      <c r="J22" s="103" t="s">
        <v>2136</v>
      </c>
      <c r="L22" s="10" t="s">
        <v>2100</v>
      </c>
    </row>
    <row r="23" ht="22.5" hidden="1" customHeight="1">
      <c r="A23" s="102">
        <v>45924.5142133912</v>
      </c>
      <c r="B23" s="103" t="s">
        <v>27</v>
      </c>
      <c r="C23" s="103" t="s">
        <v>946</v>
      </c>
      <c r="D23" s="103" t="s">
        <v>947</v>
      </c>
      <c r="G23" s="145">
        <v>45924.0</v>
      </c>
      <c r="H23" s="103" t="s">
        <v>2102</v>
      </c>
      <c r="I23" s="103" t="s">
        <v>2137</v>
      </c>
      <c r="L23" s="10" t="s">
        <v>2100</v>
      </c>
    </row>
    <row r="24" ht="22.5" hidden="1" customHeight="1">
      <c r="A24" s="102">
        <v>45924.54566232639</v>
      </c>
      <c r="B24" s="103" t="s">
        <v>219</v>
      </c>
      <c r="C24" s="103" t="s">
        <v>818</v>
      </c>
      <c r="D24" s="103" t="s">
        <v>1156</v>
      </c>
      <c r="G24" s="145">
        <v>45924.0</v>
      </c>
      <c r="H24" s="103" t="s">
        <v>2109</v>
      </c>
      <c r="I24" s="103" t="s">
        <v>2138</v>
      </c>
      <c r="L24" s="10" t="s">
        <v>2100</v>
      </c>
    </row>
    <row r="25" ht="22.5" hidden="1" customHeight="1">
      <c r="A25" s="102">
        <v>45924.55673542824</v>
      </c>
      <c r="B25" s="103" t="s">
        <v>278</v>
      </c>
      <c r="C25" s="103" t="s">
        <v>622</v>
      </c>
      <c r="D25" s="103" t="s">
        <v>2139</v>
      </c>
      <c r="G25" s="145">
        <v>45924.0</v>
      </c>
      <c r="H25" s="103" t="s">
        <v>2102</v>
      </c>
      <c r="I25" s="103" t="s">
        <v>2140</v>
      </c>
      <c r="L25" s="10" t="s">
        <v>2100</v>
      </c>
    </row>
    <row r="26" ht="22.5" hidden="1" customHeight="1">
      <c r="A26" s="102">
        <v>45924.60109203703</v>
      </c>
      <c r="B26" s="103" t="s">
        <v>88</v>
      </c>
      <c r="C26" s="103" t="s">
        <v>1117</v>
      </c>
      <c r="D26" s="103" t="s">
        <v>1118</v>
      </c>
      <c r="G26" s="145">
        <v>45924.0</v>
      </c>
      <c r="H26" s="103" t="s">
        <v>2097</v>
      </c>
      <c r="I26" s="103" t="s">
        <v>2141</v>
      </c>
      <c r="J26" s="103" t="s">
        <v>2142</v>
      </c>
      <c r="L26" s="10" t="s">
        <v>2100</v>
      </c>
    </row>
    <row r="27" ht="22.5" hidden="1" customHeight="1">
      <c r="A27" s="102">
        <v>45924.628977650464</v>
      </c>
      <c r="B27" s="103" t="s">
        <v>285</v>
      </c>
      <c r="C27" s="103" t="s">
        <v>791</v>
      </c>
      <c r="D27" s="103" t="s">
        <v>790</v>
      </c>
      <c r="G27" s="145">
        <v>45924.0</v>
      </c>
      <c r="H27" s="103" t="s">
        <v>2102</v>
      </c>
      <c r="I27" s="103" t="s">
        <v>2143</v>
      </c>
      <c r="J27" s="103" t="s">
        <v>2144</v>
      </c>
      <c r="L27" s="10" t="s">
        <v>2100</v>
      </c>
    </row>
    <row r="28" ht="22.5" hidden="1" customHeight="1">
      <c r="A28" s="102">
        <v>45924.63863501158</v>
      </c>
      <c r="B28" s="103" t="s">
        <v>86</v>
      </c>
      <c r="C28" s="103" t="s">
        <v>530</v>
      </c>
      <c r="D28" s="103" t="s">
        <v>531</v>
      </c>
      <c r="G28" s="145">
        <v>40203.0</v>
      </c>
      <c r="H28" s="103" t="s">
        <v>2102</v>
      </c>
      <c r="I28" s="103" t="s">
        <v>2145</v>
      </c>
      <c r="L28" s="10" t="s">
        <v>2100</v>
      </c>
    </row>
    <row r="29" ht="22.5" hidden="1" customHeight="1">
      <c r="A29" s="102">
        <v>45924.71949362269</v>
      </c>
      <c r="B29" s="103" t="s">
        <v>363</v>
      </c>
      <c r="C29" s="103" t="s">
        <v>1242</v>
      </c>
      <c r="D29" s="103" t="s">
        <v>2146</v>
      </c>
      <c r="G29" s="145">
        <v>45924.0</v>
      </c>
      <c r="H29" s="103" t="s">
        <v>2097</v>
      </c>
      <c r="I29" s="103" t="s">
        <v>2147</v>
      </c>
      <c r="J29" s="103" t="s">
        <v>2148</v>
      </c>
      <c r="L29" s="10" t="s">
        <v>2100</v>
      </c>
    </row>
    <row r="30" ht="22.5" hidden="1" customHeight="1">
      <c r="A30" s="102">
        <v>45924.77613914352</v>
      </c>
      <c r="B30" s="103" t="s">
        <v>210</v>
      </c>
      <c r="C30" s="103" t="s">
        <v>711</v>
      </c>
      <c r="D30" s="103" t="s">
        <v>712</v>
      </c>
      <c r="G30" s="145">
        <v>45924.0</v>
      </c>
      <c r="H30" s="103" t="s">
        <v>2097</v>
      </c>
      <c r="I30" s="103" t="s">
        <v>2149</v>
      </c>
      <c r="L30" s="10" t="s">
        <v>2100</v>
      </c>
    </row>
    <row r="31" ht="22.5" hidden="1" customHeight="1">
      <c r="A31" s="102">
        <v>45924.89084748842</v>
      </c>
      <c r="B31" s="103" t="s">
        <v>280</v>
      </c>
      <c r="C31" s="103" t="s">
        <v>476</v>
      </c>
      <c r="D31" s="103" t="s">
        <v>477</v>
      </c>
      <c r="G31" s="145">
        <v>45924.0</v>
      </c>
      <c r="H31" s="103" t="s">
        <v>2109</v>
      </c>
      <c r="I31" s="103" t="s">
        <v>2150</v>
      </c>
      <c r="J31" s="103" t="s">
        <v>2151</v>
      </c>
      <c r="L31" s="10" t="s">
        <v>2100</v>
      </c>
    </row>
    <row r="32" ht="22.5" hidden="1" customHeight="1">
      <c r="A32" s="102">
        <v>45924.92637990741</v>
      </c>
      <c r="B32" s="103" t="s">
        <v>317</v>
      </c>
      <c r="C32" s="103" t="s">
        <v>1497</v>
      </c>
      <c r="D32" s="103" t="s">
        <v>1496</v>
      </c>
      <c r="G32" s="145">
        <v>45924.0</v>
      </c>
      <c r="H32" s="103" t="s">
        <v>2109</v>
      </c>
      <c r="I32" s="103" t="s">
        <v>2152</v>
      </c>
      <c r="J32" s="103" t="s">
        <v>2153</v>
      </c>
      <c r="L32" s="10" t="s">
        <v>2100</v>
      </c>
    </row>
    <row r="33" ht="22.5" hidden="1" customHeight="1">
      <c r="A33" s="102">
        <v>45925.310852361115</v>
      </c>
      <c r="B33" s="103" t="s">
        <v>283</v>
      </c>
      <c r="C33" s="103" t="s">
        <v>425</v>
      </c>
      <c r="D33" s="103" t="s">
        <v>2154</v>
      </c>
      <c r="G33" s="145">
        <v>45924.0</v>
      </c>
      <c r="H33" s="103" t="s">
        <v>2109</v>
      </c>
      <c r="I33" s="103" t="s">
        <v>2155</v>
      </c>
      <c r="J33" s="103" t="s">
        <v>2156</v>
      </c>
      <c r="L33" s="10" t="s">
        <v>2100</v>
      </c>
    </row>
    <row r="34" ht="22.5" hidden="1" customHeight="1">
      <c r="A34" s="102">
        <v>45925.41367012732</v>
      </c>
      <c r="B34" s="103" t="s">
        <v>341</v>
      </c>
      <c r="C34" s="103" t="s">
        <v>1199</v>
      </c>
      <c r="D34" s="103" t="s">
        <v>2157</v>
      </c>
      <c r="G34" s="145">
        <v>45931.0</v>
      </c>
      <c r="H34" s="103" t="s">
        <v>2097</v>
      </c>
      <c r="I34" s="103" t="s">
        <v>2158</v>
      </c>
      <c r="L34" s="10" t="s">
        <v>2100</v>
      </c>
    </row>
    <row r="35" ht="22.5" hidden="1" customHeight="1">
      <c r="A35" s="102">
        <v>45926.855591099535</v>
      </c>
      <c r="B35" s="103" t="s">
        <v>83</v>
      </c>
      <c r="C35" s="103" t="s">
        <v>559</v>
      </c>
      <c r="D35" s="103" t="s">
        <v>560</v>
      </c>
      <c r="G35" s="145">
        <v>45926.0</v>
      </c>
      <c r="H35" s="103" t="s">
        <v>2097</v>
      </c>
      <c r="I35" s="103" t="s">
        <v>2159</v>
      </c>
      <c r="L35" s="10" t="s">
        <v>2100</v>
      </c>
    </row>
    <row r="36" ht="22.5" hidden="1" customHeight="1">
      <c r="A36" s="102">
        <v>45930.57094751157</v>
      </c>
      <c r="B36" s="103" t="s">
        <v>287</v>
      </c>
      <c r="C36" s="103" t="s">
        <v>2004</v>
      </c>
      <c r="D36" s="103" t="s">
        <v>466</v>
      </c>
      <c r="G36" s="145">
        <v>45931.0</v>
      </c>
      <c r="H36" s="103" t="s">
        <v>2097</v>
      </c>
      <c r="I36" s="103" t="s">
        <v>2160</v>
      </c>
      <c r="L36" s="10" t="s">
        <v>2100</v>
      </c>
    </row>
    <row r="37" ht="22.5" hidden="1" customHeight="1">
      <c r="A37" s="102">
        <v>45930.72579320602</v>
      </c>
      <c r="B37" s="103" t="s">
        <v>171</v>
      </c>
      <c r="C37" s="103" t="s">
        <v>1486</v>
      </c>
      <c r="D37" s="103" t="s">
        <v>610</v>
      </c>
      <c r="G37" s="145">
        <v>45931.0</v>
      </c>
      <c r="H37" s="103" t="s">
        <v>2097</v>
      </c>
      <c r="I37" s="103" t="s">
        <v>2161</v>
      </c>
      <c r="L37" s="10" t="s">
        <v>2100</v>
      </c>
    </row>
    <row r="38" ht="22.5" hidden="1" customHeight="1">
      <c r="A38" s="102">
        <v>45930.85414357639</v>
      </c>
      <c r="B38" s="103" t="s">
        <v>9</v>
      </c>
      <c r="C38" s="103" t="s">
        <v>576</v>
      </c>
      <c r="D38" s="103" t="s">
        <v>577</v>
      </c>
      <c r="G38" s="145">
        <v>45931.0</v>
      </c>
      <c r="H38" s="103" t="s">
        <v>2097</v>
      </c>
      <c r="I38" s="103" t="s">
        <v>2162</v>
      </c>
      <c r="L38" s="10" t="s">
        <v>2100</v>
      </c>
    </row>
    <row r="39" ht="22.5" hidden="1" customHeight="1">
      <c r="A39" s="102">
        <v>45931.478637430555</v>
      </c>
      <c r="B39" s="103" t="s">
        <v>22</v>
      </c>
      <c r="C39" s="103" t="s">
        <v>596</v>
      </c>
      <c r="D39" s="103" t="s">
        <v>597</v>
      </c>
      <c r="G39" s="145">
        <v>45931.0</v>
      </c>
      <c r="H39" s="103" t="s">
        <v>2102</v>
      </c>
      <c r="I39" s="103" t="s">
        <v>2163</v>
      </c>
      <c r="L39" s="10" t="s">
        <v>2107</v>
      </c>
    </row>
    <row r="40" ht="22.5" hidden="1" customHeight="1">
      <c r="A40" s="102">
        <v>45931.5366143287</v>
      </c>
      <c r="B40" s="103" t="s">
        <v>46</v>
      </c>
      <c r="C40" s="103" t="s">
        <v>797</v>
      </c>
      <c r="D40" s="103" t="s">
        <v>798</v>
      </c>
      <c r="G40" s="145">
        <v>45931.0</v>
      </c>
      <c r="H40" s="103" t="s">
        <v>2109</v>
      </c>
      <c r="I40" s="103" t="s">
        <v>2164</v>
      </c>
      <c r="L40" s="10" t="s">
        <v>2100</v>
      </c>
    </row>
    <row r="41" ht="22.5" hidden="1" customHeight="1">
      <c r="A41" s="102">
        <v>45931.542620532404</v>
      </c>
      <c r="B41" s="103" t="s">
        <v>206</v>
      </c>
      <c r="C41" s="103" t="s">
        <v>445</v>
      </c>
      <c r="D41" s="103" t="s">
        <v>1018</v>
      </c>
      <c r="G41" s="145">
        <v>45931.0</v>
      </c>
      <c r="H41" s="103" t="s">
        <v>2109</v>
      </c>
      <c r="I41" s="103" t="s">
        <v>2165</v>
      </c>
      <c r="L41" s="10" t="s">
        <v>2100</v>
      </c>
    </row>
    <row r="42" ht="22.5" hidden="1" customHeight="1">
      <c r="A42" s="102">
        <v>45931.61252971065</v>
      </c>
      <c r="B42" s="103" t="s">
        <v>57</v>
      </c>
      <c r="C42" s="103" t="s">
        <v>553</v>
      </c>
      <c r="D42" s="103" t="s">
        <v>554</v>
      </c>
      <c r="G42" s="145">
        <v>45931.0</v>
      </c>
      <c r="H42" s="103" t="s">
        <v>2097</v>
      </c>
      <c r="I42" s="103" t="s">
        <v>2166</v>
      </c>
      <c r="J42" s="103" t="s">
        <v>2167</v>
      </c>
      <c r="L42" s="10" t="s">
        <v>2100</v>
      </c>
    </row>
    <row r="43" ht="22.5" hidden="1" customHeight="1">
      <c r="A43" s="102">
        <v>45931.61592859954</v>
      </c>
      <c r="B43" s="103" t="s">
        <v>167</v>
      </c>
      <c r="C43" s="103" t="s">
        <v>599</v>
      </c>
      <c r="D43" s="103" t="s">
        <v>600</v>
      </c>
      <c r="G43" s="145">
        <v>45938.0</v>
      </c>
      <c r="H43" s="103" t="s">
        <v>2109</v>
      </c>
      <c r="I43" s="103" t="s">
        <v>2168</v>
      </c>
      <c r="J43" s="103" t="s">
        <v>2169</v>
      </c>
      <c r="L43" s="10" t="s">
        <v>2100</v>
      </c>
    </row>
    <row r="44" ht="22.5" hidden="1" customHeight="1">
      <c r="A44" s="102">
        <v>45931.61704871528</v>
      </c>
      <c r="B44" s="103" t="s">
        <v>167</v>
      </c>
      <c r="C44" s="103" t="s">
        <v>599</v>
      </c>
      <c r="D44" s="103" t="s">
        <v>600</v>
      </c>
      <c r="G44" s="145">
        <v>45945.0</v>
      </c>
      <c r="H44" s="103" t="s">
        <v>2109</v>
      </c>
      <c r="I44" s="103" t="s">
        <v>2170</v>
      </c>
      <c r="J44" s="103" t="s">
        <v>2171</v>
      </c>
      <c r="L44" s="10" t="s">
        <v>2100</v>
      </c>
    </row>
    <row r="45" ht="22.5" hidden="1" customHeight="1">
      <c r="A45" s="102">
        <v>45931.65975047454</v>
      </c>
      <c r="B45" s="103" t="s">
        <v>213</v>
      </c>
      <c r="C45" s="103" t="s">
        <v>728</v>
      </c>
      <c r="D45" s="103" t="s">
        <v>729</v>
      </c>
      <c r="G45" s="145">
        <v>45931.0</v>
      </c>
      <c r="H45" s="103" t="s">
        <v>2097</v>
      </c>
      <c r="I45" s="103" t="s">
        <v>2172</v>
      </c>
      <c r="L45" s="10" t="s">
        <v>2100</v>
      </c>
    </row>
    <row r="46" ht="22.5" hidden="1" customHeight="1">
      <c r="A46" s="102">
        <v>45931.76231119213</v>
      </c>
      <c r="B46" s="103" t="s">
        <v>191</v>
      </c>
      <c r="C46" s="103" t="s">
        <v>512</v>
      </c>
      <c r="D46" s="103" t="s">
        <v>513</v>
      </c>
      <c r="G46" s="145">
        <v>45931.0</v>
      </c>
      <c r="H46" s="103" t="s">
        <v>2097</v>
      </c>
      <c r="I46" s="103" t="s">
        <v>2173</v>
      </c>
      <c r="J46" s="103" t="s">
        <v>2174</v>
      </c>
      <c r="L46" s="10" t="s">
        <v>2100</v>
      </c>
    </row>
    <row r="47" ht="22.5" hidden="1" customHeight="1">
      <c r="A47" s="102">
        <v>45931.891545810184</v>
      </c>
      <c r="B47" s="103" t="s">
        <v>391</v>
      </c>
      <c r="C47" s="103" t="s">
        <v>472</v>
      </c>
      <c r="D47" s="103" t="s">
        <v>473</v>
      </c>
      <c r="G47" s="145">
        <v>45931.0</v>
      </c>
      <c r="H47" s="103" t="s">
        <v>2102</v>
      </c>
      <c r="I47" s="103" t="s">
        <v>2175</v>
      </c>
      <c r="L47" s="10" t="s">
        <v>2107</v>
      </c>
    </row>
    <row r="48" ht="22.5" hidden="1" customHeight="1">
      <c r="A48" s="102">
        <v>45931.93336311342</v>
      </c>
      <c r="B48" s="103" t="s">
        <v>345</v>
      </c>
      <c r="C48" s="103" t="s">
        <v>492</v>
      </c>
      <c r="D48" s="103" t="s">
        <v>493</v>
      </c>
      <c r="G48" s="145">
        <v>45931.0</v>
      </c>
      <c r="H48" s="103" t="s">
        <v>2102</v>
      </c>
      <c r="I48" s="103" t="s">
        <v>2176</v>
      </c>
      <c r="J48" s="103" t="s">
        <v>2177</v>
      </c>
      <c r="L48" s="10" t="s">
        <v>2107</v>
      </c>
    </row>
    <row r="49" ht="22.5" hidden="1" customHeight="1">
      <c r="A49" s="102">
        <v>45937.773097303245</v>
      </c>
      <c r="B49" s="103" t="s">
        <v>272</v>
      </c>
      <c r="C49" s="103" t="s">
        <v>671</v>
      </c>
      <c r="D49" s="103" t="s">
        <v>509</v>
      </c>
      <c r="G49" s="145">
        <v>45938.0</v>
      </c>
      <c r="H49" s="103" t="s">
        <v>2102</v>
      </c>
      <c r="I49" s="103" t="s">
        <v>2178</v>
      </c>
      <c r="L49" s="10" t="s">
        <v>2100</v>
      </c>
    </row>
    <row r="50" ht="22.5" hidden="1" customHeight="1">
      <c r="A50" s="102">
        <v>45937.8698921412</v>
      </c>
      <c r="B50" s="103" t="s">
        <v>33</v>
      </c>
      <c r="C50" s="103" t="s">
        <v>1808</v>
      </c>
      <c r="D50" s="103" t="s">
        <v>458</v>
      </c>
      <c r="G50" s="145">
        <v>45938.0</v>
      </c>
      <c r="H50" s="103" t="s">
        <v>2097</v>
      </c>
      <c r="I50" s="103" t="s">
        <v>2179</v>
      </c>
      <c r="L50" s="10" t="s">
        <v>2100</v>
      </c>
    </row>
    <row r="51" ht="22.5" hidden="1" customHeight="1">
      <c r="A51" s="102">
        <v>45937.87734641204</v>
      </c>
      <c r="B51" s="103" t="s">
        <v>285</v>
      </c>
      <c r="C51" s="103" t="s">
        <v>790</v>
      </c>
      <c r="D51" s="103" t="s">
        <v>791</v>
      </c>
      <c r="G51" s="145">
        <v>45938.0</v>
      </c>
      <c r="H51" s="103" t="s">
        <v>2097</v>
      </c>
      <c r="I51" s="103" t="s">
        <v>2180</v>
      </c>
      <c r="J51" s="103" t="s">
        <v>2181</v>
      </c>
      <c r="L51" s="10" t="s">
        <v>2100</v>
      </c>
    </row>
    <row r="52" ht="22.5" hidden="1" customHeight="1">
      <c r="A52" s="102">
        <v>45937.93193821759</v>
      </c>
      <c r="B52" s="103" t="s">
        <v>228</v>
      </c>
      <c r="C52" s="103" t="s">
        <v>905</v>
      </c>
      <c r="D52" s="103" t="s">
        <v>573</v>
      </c>
      <c r="G52" s="145">
        <v>45938.0</v>
      </c>
      <c r="H52" s="103" t="s">
        <v>2109</v>
      </c>
      <c r="I52" s="103" t="s">
        <v>2182</v>
      </c>
      <c r="J52" s="103" t="s">
        <v>2183</v>
      </c>
      <c r="L52" s="10" t="s">
        <v>2100</v>
      </c>
    </row>
    <row r="53" ht="22.5" hidden="1" customHeight="1">
      <c r="A53" s="102">
        <v>45937.93511435185</v>
      </c>
      <c r="B53" s="103" t="s">
        <v>228</v>
      </c>
      <c r="C53" s="103" t="s">
        <v>1691</v>
      </c>
      <c r="D53" s="103" t="s">
        <v>573</v>
      </c>
      <c r="G53" s="145">
        <v>45945.0</v>
      </c>
      <c r="H53" s="103" t="s">
        <v>2109</v>
      </c>
      <c r="I53" s="103" t="s">
        <v>2184</v>
      </c>
      <c r="J53" s="103" t="s">
        <v>2185</v>
      </c>
      <c r="L53" s="10" t="s">
        <v>2100</v>
      </c>
    </row>
    <row r="54" ht="22.5" hidden="1" customHeight="1">
      <c r="A54" s="102">
        <v>45938.39135561342</v>
      </c>
      <c r="B54" s="103" t="s">
        <v>341</v>
      </c>
      <c r="C54" s="103" t="s">
        <v>1199</v>
      </c>
      <c r="D54" s="103" t="s">
        <v>1048</v>
      </c>
      <c r="G54" s="145">
        <v>45938.0</v>
      </c>
      <c r="H54" s="103" t="s">
        <v>2102</v>
      </c>
      <c r="I54" s="103" t="s">
        <v>2186</v>
      </c>
      <c r="L54" s="10" t="s">
        <v>2100</v>
      </c>
    </row>
    <row r="55" ht="22.5" hidden="1" customHeight="1">
      <c r="A55" s="102">
        <v>45938.448964386575</v>
      </c>
      <c r="B55" s="103" t="s">
        <v>55</v>
      </c>
      <c r="C55" s="103" t="s">
        <v>562</v>
      </c>
      <c r="D55" s="103" t="s">
        <v>983</v>
      </c>
      <c r="G55" s="145">
        <v>45938.0</v>
      </c>
      <c r="H55" s="103" t="s">
        <v>2109</v>
      </c>
      <c r="I55" s="103" t="s">
        <v>2187</v>
      </c>
      <c r="J55" s="103" t="s">
        <v>2188</v>
      </c>
      <c r="L55" s="10" t="s">
        <v>2100</v>
      </c>
    </row>
    <row r="56" ht="22.5" hidden="1" customHeight="1">
      <c r="A56" s="102">
        <v>45938.4611155787</v>
      </c>
      <c r="B56" s="103" t="s">
        <v>57</v>
      </c>
      <c r="C56" s="103" t="s">
        <v>553</v>
      </c>
      <c r="D56" s="103" t="s">
        <v>554</v>
      </c>
      <c r="G56" s="145">
        <v>45938.0</v>
      </c>
      <c r="H56" s="103" t="s">
        <v>2109</v>
      </c>
      <c r="I56" s="103" t="s">
        <v>2189</v>
      </c>
      <c r="L56" s="10" t="s">
        <v>2100</v>
      </c>
    </row>
    <row r="57" ht="22.5" hidden="1" customHeight="1">
      <c r="A57" s="102">
        <v>45938.53503431713</v>
      </c>
      <c r="B57" s="103" t="s">
        <v>182</v>
      </c>
      <c r="C57" s="103" t="s">
        <v>1203</v>
      </c>
      <c r="D57" s="103" t="s">
        <v>1330</v>
      </c>
      <c r="G57" s="145">
        <v>45908.0</v>
      </c>
      <c r="H57" s="103" t="s">
        <v>2109</v>
      </c>
      <c r="I57" s="103" t="s">
        <v>2190</v>
      </c>
      <c r="L57" s="10" t="s">
        <v>2100</v>
      </c>
    </row>
    <row r="58" ht="22.5" hidden="1" customHeight="1">
      <c r="A58" s="102">
        <v>45938.53846164352</v>
      </c>
      <c r="B58" s="103" t="s">
        <v>334</v>
      </c>
      <c r="C58" s="103" t="s">
        <v>1145</v>
      </c>
      <c r="D58" s="103" t="s">
        <v>1146</v>
      </c>
      <c r="G58" s="145">
        <v>45938.0</v>
      </c>
      <c r="H58" s="103" t="s">
        <v>2102</v>
      </c>
      <c r="I58" s="103" t="s">
        <v>2191</v>
      </c>
      <c r="L58" s="10" t="s">
        <v>2100</v>
      </c>
    </row>
    <row r="59" ht="22.5" hidden="1" customHeight="1">
      <c r="A59" s="102">
        <v>45938.54368599537</v>
      </c>
      <c r="B59" s="103" t="s">
        <v>70</v>
      </c>
      <c r="C59" s="103" t="s">
        <v>725</v>
      </c>
      <c r="D59" s="103" t="s">
        <v>726</v>
      </c>
      <c r="G59" s="145">
        <v>45938.0</v>
      </c>
      <c r="H59" s="103" t="s">
        <v>2097</v>
      </c>
      <c r="I59" s="103" t="s">
        <v>2172</v>
      </c>
      <c r="L59" s="10" t="s">
        <v>2100</v>
      </c>
    </row>
    <row r="60" ht="22.5" hidden="1" customHeight="1">
      <c r="A60" s="102">
        <v>45938.54481369213</v>
      </c>
      <c r="B60" s="103" t="s">
        <v>86</v>
      </c>
      <c r="C60" s="103" t="s">
        <v>1774</v>
      </c>
      <c r="D60" s="103" t="s">
        <v>531</v>
      </c>
      <c r="G60" s="145">
        <v>45938.0</v>
      </c>
      <c r="H60" s="103" t="s">
        <v>2097</v>
      </c>
      <c r="I60" s="103" t="s">
        <v>2192</v>
      </c>
      <c r="L60" s="10" t="s">
        <v>2107</v>
      </c>
    </row>
    <row r="61" ht="22.5" hidden="1" customHeight="1">
      <c r="A61" s="102">
        <v>45938.55953034722</v>
      </c>
      <c r="B61" s="103" t="s">
        <v>27</v>
      </c>
      <c r="C61" s="103" t="s">
        <v>1098</v>
      </c>
      <c r="D61" s="103" t="s">
        <v>947</v>
      </c>
      <c r="G61" s="145">
        <v>45938.0</v>
      </c>
      <c r="H61" s="103" t="s">
        <v>2109</v>
      </c>
      <c r="I61" s="103" t="s">
        <v>2193</v>
      </c>
      <c r="L61" s="10" t="s">
        <v>2100</v>
      </c>
    </row>
    <row r="62" ht="22.5" hidden="1" customHeight="1">
      <c r="A62" s="102">
        <v>45938.57309334491</v>
      </c>
      <c r="B62" s="103" t="s">
        <v>160</v>
      </c>
      <c r="C62" s="103" t="s">
        <v>631</v>
      </c>
      <c r="D62" s="103" t="s">
        <v>870</v>
      </c>
      <c r="G62" s="145">
        <v>45938.0</v>
      </c>
      <c r="H62" s="103" t="s">
        <v>2102</v>
      </c>
      <c r="I62" s="103" t="s">
        <v>2194</v>
      </c>
      <c r="J62" s="103" t="s">
        <v>2195</v>
      </c>
      <c r="L62" s="10" t="s">
        <v>2107</v>
      </c>
    </row>
    <row r="63" ht="22.5" hidden="1" customHeight="1">
      <c r="A63" s="102">
        <v>45938.592325324076</v>
      </c>
      <c r="B63" s="103" t="s">
        <v>382</v>
      </c>
      <c r="C63" s="103" t="s">
        <v>468</v>
      </c>
      <c r="D63" s="103" t="s">
        <v>469</v>
      </c>
      <c r="G63" s="145">
        <v>45938.0</v>
      </c>
      <c r="H63" s="103" t="s">
        <v>2097</v>
      </c>
      <c r="I63" s="103" t="s">
        <v>2196</v>
      </c>
      <c r="L63" s="10" t="s">
        <v>2107</v>
      </c>
    </row>
    <row r="64" ht="22.5" hidden="1" customHeight="1">
      <c r="A64" s="102">
        <v>45938.610184062505</v>
      </c>
      <c r="B64" s="103" t="s">
        <v>208</v>
      </c>
      <c r="C64" s="103" t="s">
        <v>701</v>
      </c>
      <c r="D64" s="103" t="s">
        <v>1022</v>
      </c>
      <c r="G64" s="145">
        <v>45938.0</v>
      </c>
      <c r="H64" s="103" t="s">
        <v>2097</v>
      </c>
      <c r="I64" s="103" t="s">
        <v>2197</v>
      </c>
      <c r="J64" s="103" t="s">
        <v>2198</v>
      </c>
      <c r="L64" s="10" t="s">
        <v>2100</v>
      </c>
    </row>
    <row r="65" ht="22.5" hidden="1" customHeight="1">
      <c r="A65" s="102">
        <v>45938.613744918985</v>
      </c>
      <c r="B65" s="103" t="s">
        <v>37</v>
      </c>
      <c r="C65" s="103" t="s">
        <v>2199</v>
      </c>
      <c r="D65" s="103" t="s">
        <v>765</v>
      </c>
      <c r="G65" s="145">
        <v>45938.0</v>
      </c>
      <c r="H65" s="103" t="s">
        <v>2097</v>
      </c>
      <c r="I65" s="103" t="s">
        <v>2200</v>
      </c>
      <c r="L65" s="10" t="s">
        <v>2107</v>
      </c>
    </row>
    <row r="66" ht="22.5" hidden="1" customHeight="1">
      <c r="A66" s="102">
        <v>45938.617800567125</v>
      </c>
      <c r="B66" s="103" t="s">
        <v>208</v>
      </c>
      <c r="C66" s="103" t="s">
        <v>701</v>
      </c>
      <c r="D66" s="103" t="s">
        <v>1022</v>
      </c>
      <c r="G66" s="145">
        <v>45917.0</v>
      </c>
      <c r="H66" s="103" t="s">
        <v>2097</v>
      </c>
      <c r="I66" s="103" t="s">
        <v>2201</v>
      </c>
      <c r="J66" s="103" t="s">
        <v>2202</v>
      </c>
      <c r="L66" s="10" t="s">
        <v>2100</v>
      </c>
    </row>
    <row r="67" ht="22.5" hidden="1" customHeight="1">
      <c r="A67" s="102">
        <v>45938.64008273148</v>
      </c>
      <c r="B67" s="103" t="s">
        <v>380</v>
      </c>
      <c r="C67" s="103" t="s">
        <v>439</v>
      </c>
      <c r="D67" s="103" t="s">
        <v>440</v>
      </c>
      <c r="G67" s="145">
        <v>45938.0</v>
      </c>
      <c r="H67" s="103" t="s">
        <v>2097</v>
      </c>
      <c r="I67" s="103" t="s">
        <v>2203</v>
      </c>
      <c r="L67" s="10" t="s">
        <v>2107</v>
      </c>
    </row>
    <row r="68" ht="22.5" hidden="1" customHeight="1">
      <c r="A68" s="102">
        <v>45938.683336180555</v>
      </c>
      <c r="B68" s="103" t="s">
        <v>306</v>
      </c>
      <c r="C68" s="103" t="s">
        <v>994</v>
      </c>
      <c r="D68" s="103" t="s">
        <v>995</v>
      </c>
      <c r="G68" s="145">
        <v>45938.0</v>
      </c>
      <c r="H68" s="103" t="s">
        <v>2109</v>
      </c>
      <c r="I68" s="103" t="s">
        <v>2204</v>
      </c>
      <c r="J68" s="103" t="s">
        <v>2205</v>
      </c>
      <c r="L68" s="10" t="s">
        <v>2100</v>
      </c>
    </row>
    <row r="69" ht="22.5" hidden="1" customHeight="1">
      <c r="A69" s="102">
        <v>45938.68983674768</v>
      </c>
      <c r="B69" s="103" t="s">
        <v>363</v>
      </c>
      <c r="C69" s="103" t="s">
        <v>430</v>
      </c>
      <c r="D69" s="103" t="s">
        <v>431</v>
      </c>
      <c r="G69" s="145">
        <v>45938.0</v>
      </c>
      <c r="H69" s="103" t="s">
        <v>2097</v>
      </c>
      <c r="I69" s="103" t="s">
        <v>2206</v>
      </c>
      <c r="J69" s="103" t="s">
        <v>1087</v>
      </c>
      <c r="L69" s="10" t="s">
        <v>2107</v>
      </c>
    </row>
    <row r="70" ht="22.5" hidden="1" customHeight="1">
      <c r="A70" s="102">
        <v>45944.30640059028</v>
      </c>
      <c r="B70" s="103" t="s">
        <v>356</v>
      </c>
      <c r="C70" s="103" t="s">
        <v>544</v>
      </c>
      <c r="D70" s="103" t="s">
        <v>545</v>
      </c>
      <c r="G70" s="145">
        <v>45945.0</v>
      </c>
      <c r="H70" s="103" t="s">
        <v>2097</v>
      </c>
      <c r="I70" s="103" t="s">
        <v>2207</v>
      </c>
      <c r="J70" s="103" t="s">
        <v>2208</v>
      </c>
      <c r="L70" s="10" t="s">
        <v>2100</v>
      </c>
    </row>
    <row r="71" ht="22.5" hidden="1" customHeight="1">
      <c r="A71" s="102">
        <v>45944.60787594908</v>
      </c>
      <c r="B71" s="103" t="s">
        <v>119</v>
      </c>
      <c r="C71" s="103" t="s">
        <v>814</v>
      </c>
      <c r="D71" s="103" t="s">
        <v>493</v>
      </c>
      <c r="G71" s="145">
        <v>45945.0</v>
      </c>
      <c r="H71" s="103" t="s">
        <v>2097</v>
      </c>
      <c r="I71" s="103" t="s">
        <v>2209</v>
      </c>
      <c r="J71" s="103" t="s">
        <v>2210</v>
      </c>
      <c r="L71" s="10" t="s">
        <v>2100</v>
      </c>
    </row>
    <row r="72" ht="22.5" hidden="1" customHeight="1">
      <c r="A72" s="102">
        <v>45944.871226689815</v>
      </c>
      <c r="B72" s="103" t="s">
        <v>361</v>
      </c>
      <c r="C72" s="103" t="s">
        <v>2211</v>
      </c>
      <c r="D72" s="103" t="s">
        <v>626</v>
      </c>
      <c r="G72" s="145">
        <v>45945.0</v>
      </c>
      <c r="H72" s="103" t="s">
        <v>2109</v>
      </c>
      <c r="I72" s="103" t="s">
        <v>2212</v>
      </c>
      <c r="L72" s="10" t="s">
        <v>2107</v>
      </c>
    </row>
    <row r="73" ht="22.5" hidden="1" customHeight="1">
      <c r="A73" s="102">
        <v>45944.87521748843</v>
      </c>
      <c r="B73" s="103" t="s">
        <v>393</v>
      </c>
      <c r="C73" s="103" t="s">
        <v>657</v>
      </c>
      <c r="D73" s="103" t="s">
        <v>658</v>
      </c>
      <c r="G73" s="145">
        <v>45945.0</v>
      </c>
      <c r="H73" s="103" t="s">
        <v>2097</v>
      </c>
      <c r="I73" s="103" t="s">
        <v>2121</v>
      </c>
      <c r="J73" s="103" t="s">
        <v>2213</v>
      </c>
      <c r="L73" s="10" t="s">
        <v>2100</v>
      </c>
    </row>
    <row r="74" ht="22.5" hidden="1" customHeight="1">
      <c r="A74" s="102">
        <v>45945.33554002315</v>
      </c>
      <c r="B74" s="103" t="s">
        <v>354</v>
      </c>
      <c r="C74" s="103" t="s">
        <v>518</v>
      </c>
      <c r="D74" s="103" t="s">
        <v>519</v>
      </c>
      <c r="G74" s="145">
        <v>45945.0</v>
      </c>
      <c r="H74" s="103" t="s">
        <v>2097</v>
      </c>
      <c r="I74" s="103" t="s">
        <v>2214</v>
      </c>
      <c r="J74" s="103" t="s">
        <v>2215</v>
      </c>
      <c r="L74" s="10" t="s">
        <v>2100</v>
      </c>
    </row>
    <row r="75" ht="22.5" hidden="1" customHeight="1">
      <c r="A75" s="102">
        <v>45945.466568703705</v>
      </c>
      <c r="B75" s="103" t="s">
        <v>352</v>
      </c>
      <c r="C75" s="103" t="s">
        <v>555</v>
      </c>
      <c r="D75" s="103" t="s">
        <v>556</v>
      </c>
      <c r="G75" s="145">
        <v>45945.0</v>
      </c>
      <c r="H75" s="103" t="s">
        <v>2109</v>
      </c>
      <c r="I75" s="103" t="s">
        <v>2216</v>
      </c>
      <c r="L75" s="10" t="s">
        <v>2100</v>
      </c>
    </row>
    <row r="76" ht="22.5" hidden="1" customHeight="1">
      <c r="A76" s="102">
        <v>45945.5064456713</v>
      </c>
      <c r="B76" s="103" t="s">
        <v>40</v>
      </c>
      <c r="C76" s="103" t="s">
        <v>747</v>
      </c>
      <c r="D76" s="103" t="s">
        <v>748</v>
      </c>
      <c r="G76" s="145">
        <v>45945.0</v>
      </c>
      <c r="H76" s="103" t="s">
        <v>2109</v>
      </c>
      <c r="I76" s="103" t="s">
        <v>2217</v>
      </c>
      <c r="L76" s="10" t="s">
        <v>2100</v>
      </c>
    </row>
    <row r="77" ht="22.5" hidden="1" customHeight="1">
      <c r="A77" s="102">
        <v>45945.53620724537</v>
      </c>
      <c r="B77" s="103" t="s">
        <v>154</v>
      </c>
      <c r="C77" s="103" t="s">
        <v>546</v>
      </c>
      <c r="D77" s="103" t="s">
        <v>435</v>
      </c>
      <c r="G77" s="145">
        <v>45945.0</v>
      </c>
      <c r="H77" s="103" t="s">
        <v>2102</v>
      </c>
      <c r="I77" s="103" t="s">
        <v>2218</v>
      </c>
      <c r="J77" s="103" t="s">
        <v>2219</v>
      </c>
      <c r="L77" s="10" t="s">
        <v>2100</v>
      </c>
    </row>
    <row r="78" ht="22.5" hidden="1" customHeight="1">
      <c r="A78" s="102">
        <v>45945.53667792824</v>
      </c>
      <c r="B78" s="103" t="s">
        <v>95</v>
      </c>
      <c r="C78" s="103" t="s">
        <v>814</v>
      </c>
      <c r="D78" s="103" t="s">
        <v>1013</v>
      </c>
      <c r="G78" s="145">
        <v>45945.0</v>
      </c>
      <c r="H78" s="103" t="s">
        <v>2109</v>
      </c>
      <c r="I78" s="103" t="s">
        <v>2220</v>
      </c>
      <c r="J78" s="103" t="s">
        <v>2221</v>
      </c>
      <c r="L78" s="10" t="s">
        <v>2100</v>
      </c>
    </row>
    <row r="79" ht="22.5" hidden="1" customHeight="1">
      <c r="A79" s="102">
        <v>45945.542520937495</v>
      </c>
      <c r="B79" s="103" t="s">
        <v>88</v>
      </c>
      <c r="C79" s="103" t="s">
        <v>843</v>
      </c>
      <c r="D79" s="103" t="s">
        <v>844</v>
      </c>
      <c r="G79" s="145">
        <v>45945.0</v>
      </c>
      <c r="H79" s="103" t="s">
        <v>2109</v>
      </c>
      <c r="I79" s="103" t="s">
        <v>2222</v>
      </c>
      <c r="J79" s="103" t="s">
        <v>2223</v>
      </c>
      <c r="L79" s="10" t="s">
        <v>2100</v>
      </c>
    </row>
    <row r="80" ht="22.5" hidden="1" customHeight="1">
      <c r="A80" s="102">
        <v>45945.5438778588</v>
      </c>
      <c r="B80" s="103" t="s">
        <v>283</v>
      </c>
      <c r="C80" s="103" t="s">
        <v>425</v>
      </c>
      <c r="D80" s="103" t="s">
        <v>426</v>
      </c>
      <c r="G80" s="145">
        <v>45945.0</v>
      </c>
      <c r="H80" s="103" t="s">
        <v>2097</v>
      </c>
      <c r="I80" s="103" t="s">
        <v>2224</v>
      </c>
      <c r="J80" s="103" t="s">
        <v>2225</v>
      </c>
      <c r="L80" s="10" t="s">
        <v>2100</v>
      </c>
    </row>
    <row r="81" ht="22.5" hidden="1" customHeight="1">
      <c r="A81" s="102">
        <v>45945.60876966435</v>
      </c>
      <c r="B81" s="103" t="s">
        <v>280</v>
      </c>
      <c r="C81" s="103" t="s">
        <v>476</v>
      </c>
      <c r="D81" s="103" t="s">
        <v>477</v>
      </c>
      <c r="G81" s="145">
        <v>45945.0</v>
      </c>
      <c r="H81" s="103" t="s">
        <v>2097</v>
      </c>
      <c r="I81" s="103" t="s">
        <v>2226</v>
      </c>
      <c r="L81" s="10" t="s">
        <v>2100</v>
      </c>
    </row>
    <row r="82" ht="22.5" hidden="1" customHeight="1">
      <c r="A82" s="102">
        <v>45945.614673240736</v>
      </c>
      <c r="B82" s="103" t="s">
        <v>134</v>
      </c>
      <c r="C82" s="103" t="s">
        <v>643</v>
      </c>
      <c r="D82" s="103" t="s">
        <v>644</v>
      </c>
      <c r="G82" s="145">
        <v>45945.0</v>
      </c>
      <c r="H82" s="103" t="s">
        <v>2097</v>
      </c>
      <c r="I82" s="103" t="s">
        <v>2227</v>
      </c>
      <c r="L82" s="10" t="s">
        <v>2107</v>
      </c>
    </row>
    <row r="83" ht="22.5" hidden="1" customHeight="1">
      <c r="A83" s="102">
        <v>45945.61653935185</v>
      </c>
      <c r="B83" s="103" t="s">
        <v>86</v>
      </c>
      <c r="C83" s="103" t="s">
        <v>1774</v>
      </c>
      <c r="D83" s="103" t="s">
        <v>531</v>
      </c>
      <c r="G83" s="145">
        <v>45945.0</v>
      </c>
      <c r="H83" s="103" t="s">
        <v>2097</v>
      </c>
      <c r="I83" s="103" t="s">
        <v>2228</v>
      </c>
      <c r="L83" s="10" t="s">
        <v>2100</v>
      </c>
    </row>
    <row r="84" ht="22.5" hidden="1" customHeight="1">
      <c r="A84" s="102">
        <v>45945.61786629629</v>
      </c>
      <c r="B84" s="103" t="s">
        <v>83</v>
      </c>
      <c r="C84" s="103" t="s">
        <v>942</v>
      </c>
      <c r="D84" s="103" t="s">
        <v>2229</v>
      </c>
      <c r="G84" s="145">
        <v>45945.0</v>
      </c>
      <c r="H84" s="103" t="s">
        <v>2097</v>
      </c>
      <c r="I84" s="103" t="s">
        <v>2230</v>
      </c>
      <c r="J84" s="103" t="s">
        <v>2231</v>
      </c>
      <c r="L84" s="10" t="s">
        <v>2100</v>
      </c>
    </row>
    <row r="85" ht="22.5" hidden="1" customHeight="1">
      <c r="A85" s="102">
        <v>45945.64460064815</v>
      </c>
      <c r="B85" s="103" t="s">
        <v>57</v>
      </c>
      <c r="C85" s="103" t="s">
        <v>553</v>
      </c>
      <c r="D85" s="103" t="s">
        <v>554</v>
      </c>
      <c r="G85" s="145">
        <v>45945.0</v>
      </c>
      <c r="H85" s="103" t="s">
        <v>2109</v>
      </c>
      <c r="I85" s="103" t="s">
        <v>2232</v>
      </c>
      <c r="L85" s="10" t="s">
        <v>2100</v>
      </c>
    </row>
    <row r="86" ht="22.5" hidden="1" customHeight="1">
      <c r="A86" s="102">
        <v>45945.67668068287</v>
      </c>
      <c r="B86" s="103" t="s">
        <v>341</v>
      </c>
      <c r="C86" s="103" t="s">
        <v>1199</v>
      </c>
      <c r="D86" s="103" t="s">
        <v>1048</v>
      </c>
      <c r="G86" s="145">
        <v>45945.0</v>
      </c>
      <c r="H86" s="103" t="s">
        <v>2102</v>
      </c>
      <c r="I86" s="103" t="s">
        <v>2233</v>
      </c>
      <c r="L86" s="10" t="s">
        <v>2107</v>
      </c>
    </row>
    <row r="87" ht="22.5" hidden="1" customHeight="1">
      <c r="A87" s="102">
        <v>45946.36875513889</v>
      </c>
      <c r="B87" s="103" t="s">
        <v>374</v>
      </c>
      <c r="C87" s="103" t="s">
        <v>1027</v>
      </c>
      <c r="D87" s="103" t="s">
        <v>458</v>
      </c>
      <c r="G87" s="145">
        <v>45945.0</v>
      </c>
      <c r="H87" s="103" t="s">
        <v>2102</v>
      </c>
      <c r="I87" s="103" t="s">
        <v>2234</v>
      </c>
      <c r="L87" s="10" t="s">
        <v>2100</v>
      </c>
    </row>
    <row r="88" ht="22.5" hidden="1" customHeight="1">
      <c r="A88" s="102">
        <v>45950.815212685186</v>
      </c>
      <c r="B88" s="103" t="s">
        <v>285</v>
      </c>
      <c r="C88" s="103" t="s">
        <v>2061</v>
      </c>
      <c r="D88" s="103" t="s">
        <v>791</v>
      </c>
      <c r="G88" s="145">
        <v>45952.0</v>
      </c>
      <c r="H88" s="103" t="s">
        <v>2097</v>
      </c>
      <c r="I88" s="103" t="s">
        <v>2235</v>
      </c>
      <c r="J88" s="103" t="s">
        <v>2236</v>
      </c>
      <c r="L88" s="10" t="s">
        <v>2100</v>
      </c>
    </row>
    <row r="89" ht="22.5" hidden="1" customHeight="1">
      <c r="A89" s="102">
        <v>45951.308164965274</v>
      </c>
      <c r="B89" s="103" t="s">
        <v>304</v>
      </c>
      <c r="C89" s="103" t="s">
        <v>2044</v>
      </c>
      <c r="D89" s="103" t="s">
        <v>2237</v>
      </c>
      <c r="G89" s="145">
        <v>45952.0</v>
      </c>
      <c r="H89" s="103" t="s">
        <v>2102</v>
      </c>
      <c r="I89" s="103" t="s">
        <v>2238</v>
      </c>
      <c r="L89" s="10" t="s">
        <v>2100</v>
      </c>
    </row>
    <row r="90" ht="22.5" hidden="1" customHeight="1">
      <c r="A90" s="102">
        <v>45951.41461876157</v>
      </c>
      <c r="B90" s="103" t="s">
        <v>33</v>
      </c>
      <c r="C90" s="103" t="s">
        <v>743</v>
      </c>
      <c r="D90" s="103" t="s">
        <v>458</v>
      </c>
      <c r="G90" s="145">
        <v>45952.0</v>
      </c>
      <c r="H90" s="103" t="s">
        <v>2097</v>
      </c>
      <c r="I90" s="103" t="s">
        <v>2239</v>
      </c>
      <c r="J90" s="103" t="s">
        <v>2240</v>
      </c>
      <c r="L90" s="10" t="s">
        <v>2100</v>
      </c>
    </row>
    <row r="91" ht="22.5" hidden="1" customHeight="1">
      <c r="A91" s="102">
        <v>45951.53119969908</v>
      </c>
      <c r="B91" s="103" t="s">
        <v>31</v>
      </c>
      <c r="C91" s="103" t="s">
        <v>569</v>
      </c>
      <c r="D91" s="103" t="s">
        <v>2241</v>
      </c>
      <c r="G91" s="145">
        <v>45952.0</v>
      </c>
      <c r="H91" s="103" t="s">
        <v>2097</v>
      </c>
      <c r="I91" s="103" t="s">
        <v>2242</v>
      </c>
      <c r="J91" s="103" t="s">
        <v>2243</v>
      </c>
      <c r="L91" s="10" t="s">
        <v>2100</v>
      </c>
    </row>
    <row r="92" ht="22.5" hidden="1" customHeight="1">
      <c r="A92" s="102">
        <v>45951.53701015047</v>
      </c>
      <c r="B92" s="103" t="s">
        <v>287</v>
      </c>
      <c r="C92" s="103" t="s">
        <v>989</v>
      </c>
      <c r="D92" s="103" t="s">
        <v>466</v>
      </c>
      <c r="G92" s="145">
        <v>45952.0</v>
      </c>
      <c r="H92" s="103" t="s">
        <v>2097</v>
      </c>
      <c r="I92" s="103" t="s">
        <v>2244</v>
      </c>
      <c r="J92" s="103" t="s">
        <v>2245</v>
      </c>
      <c r="L92" s="10" t="s">
        <v>2100</v>
      </c>
    </row>
    <row r="93" ht="22.5" hidden="1" customHeight="1">
      <c r="A93" s="102">
        <v>45951.66594335648</v>
      </c>
      <c r="B93" s="103" t="s">
        <v>193</v>
      </c>
      <c r="C93" s="103" t="s">
        <v>549</v>
      </c>
      <c r="D93" s="103" t="s">
        <v>550</v>
      </c>
      <c r="G93" s="145">
        <v>45952.0</v>
      </c>
      <c r="H93" s="103" t="s">
        <v>2102</v>
      </c>
      <c r="I93" s="103" t="s">
        <v>2246</v>
      </c>
      <c r="L93" s="10" t="s">
        <v>2100</v>
      </c>
    </row>
    <row r="94" ht="22.5" hidden="1" customHeight="1">
      <c r="A94" s="102">
        <v>45951.78094887732</v>
      </c>
      <c r="B94" s="103" t="s">
        <v>160</v>
      </c>
      <c r="C94" s="103" t="s">
        <v>631</v>
      </c>
      <c r="D94" s="103" t="s">
        <v>870</v>
      </c>
      <c r="G94" s="145">
        <v>45952.0</v>
      </c>
      <c r="H94" s="103" t="s">
        <v>2102</v>
      </c>
      <c r="I94" s="103" t="s">
        <v>2247</v>
      </c>
      <c r="L94" s="10" t="s">
        <v>2100</v>
      </c>
    </row>
    <row r="95" ht="22.5" hidden="1" customHeight="1">
      <c r="A95" s="102">
        <v>45951.79805920139</v>
      </c>
      <c r="B95" s="103" t="s">
        <v>195</v>
      </c>
      <c r="C95" s="103" t="s">
        <v>501</v>
      </c>
      <c r="D95" s="103" t="s">
        <v>502</v>
      </c>
      <c r="G95" s="145">
        <v>45952.0</v>
      </c>
      <c r="H95" s="103" t="s">
        <v>2102</v>
      </c>
      <c r="I95" s="103" t="s">
        <v>2248</v>
      </c>
      <c r="L95" s="10" t="s">
        <v>2100</v>
      </c>
    </row>
    <row r="96" ht="22.5" hidden="1" customHeight="1">
      <c r="A96" s="102">
        <v>45952.2688406713</v>
      </c>
      <c r="B96" s="103" t="s">
        <v>136</v>
      </c>
      <c r="C96" s="103" t="s">
        <v>2249</v>
      </c>
      <c r="D96" s="103" t="s">
        <v>2250</v>
      </c>
      <c r="G96" s="145">
        <v>45945.0</v>
      </c>
      <c r="H96" s="103" t="s">
        <v>2097</v>
      </c>
      <c r="I96" s="103" t="s">
        <v>2251</v>
      </c>
      <c r="J96" s="103" t="s">
        <v>2252</v>
      </c>
      <c r="L96" s="10" t="s">
        <v>2100</v>
      </c>
    </row>
    <row r="97" ht="22.5" hidden="1" customHeight="1">
      <c r="A97" s="102">
        <v>45952.347206226856</v>
      </c>
      <c r="B97" s="103" t="s">
        <v>306</v>
      </c>
      <c r="C97" s="103" t="s">
        <v>994</v>
      </c>
      <c r="D97" s="103" t="s">
        <v>748</v>
      </c>
      <c r="G97" s="145">
        <v>45952.0</v>
      </c>
      <c r="H97" s="103" t="s">
        <v>2102</v>
      </c>
      <c r="I97" s="103" t="s">
        <v>2253</v>
      </c>
      <c r="L97" s="10" t="s">
        <v>2100</v>
      </c>
    </row>
    <row r="98" ht="22.5" hidden="1" customHeight="1">
      <c r="A98" s="102">
        <v>45952.36604627315</v>
      </c>
      <c r="B98" s="103" t="s">
        <v>22</v>
      </c>
      <c r="C98" s="103" t="s">
        <v>596</v>
      </c>
      <c r="D98" s="103" t="s">
        <v>597</v>
      </c>
      <c r="G98" s="145">
        <v>45952.0</v>
      </c>
      <c r="H98" s="103" t="s">
        <v>2102</v>
      </c>
      <c r="I98" s="103" t="s">
        <v>2254</v>
      </c>
      <c r="L98" s="10" t="s">
        <v>2100</v>
      </c>
    </row>
    <row r="99" ht="22.5" hidden="1" customHeight="1">
      <c r="A99" s="102">
        <v>45952.374986469906</v>
      </c>
      <c r="B99" s="103" t="s">
        <v>257</v>
      </c>
      <c r="C99" s="103" t="s">
        <v>856</v>
      </c>
      <c r="D99" s="103" t="s">
        <v>558</v>
      </c>
      <c r="G99" s="145">
        <v>45952.0</v>
      </c>
      <c r="H99" s="103" t="s">
        <v>2109</v>
      </c>
      <c r="I99" s="103" t="s">
        <v>2255</v>
      </c>
      <c r="L99" s="10" t="s">
        <v>2100</v>
      </c>
    </row>
    <row r="100" ht="22.5" hidden="1" customHeight="1">
      <c r="A100" s="102">
        <v>45952.43166649305</v>
      </c>
      <c r="B100" s="103" t="s">
        <v>182</v>
      </c>
      <c r="C100" s="103" t="s">
        <v>2256</v>
      </c>
      <c r="D100" s="103" t="s">
        <v>1330</v>
      </c>
      <c r="G100" s="145">
        <v>45952.0</v>
      </c>
      <c r="H100" s="103" t="s">
        <v>2109</v>
      </c>
      <c r="I100" s="103" t="s">
        <v>2257</v>
      </c>
      <c r="L100" s="10" t="s">
        <v>2100</v>
      </c>
    </row>
    <row r="101" ht="22.5" hidden="1" customHeight="1">
      <c r="A101" s="102">
        <v>45952.50174601852</v>
      </c>
      <c r="B101" s="103" t="s">
        <v>180</v>
      </c>
      <c r="C101" s="103" t="s">
        <v>1219</v>
      </c>
      <c r="D101" s="103" t="s">
        <v>1220</v>
      </c>
      <c r="G101" s="145">
        <v>45952.0</v>
      </c>
      <c r="H101" s="103" t="s">
        <v>2102</v>
      </c>
      <c r="I101" s="103" t="s">
        <v>2258</v>
      </c>
      <c r="L101" s="10" t="s">
        <v>2100</v>
      </c>
    </row>
    <row r="102" ht="22.5" hidden="1" customHeight="1">
      <c r="A102" s="102">
        <v>45952.53566606481</v>
      </c>
      <c r="B102" s="103" t="s">
        <v>248</v>
      </c>
      <c r="C102" s="103" t="s">
        <v>1896</v>
      </c>
      <c r="D102" s="103" t="s">
        <v>1897</v>
      </c>
      <c r="G102" s="145">
        <v>45891.0</v>
      </c>
      <c r="H102" s="103" t="s">
        <v>2109</v>
      </c>
      <c r="I102" s="103" t="s">
        <v>2259</v>
      </c>
      <c r="L102" s="10" t="s">
        <v>2107</v>
      </c>
      <c r="M102" s="10" t="s">
        <v>2260</v>
      </c>
    </row>
    <row r="103" ht="22.5" hidden="1" customHeight="1">
      <c r="A103" s="102">
        <v>45952.5409371875</v>
      </c>
      <c r="B103" s="103" t="s">
        <v>367</v>
      </c>
      <c r="C103" s="103" t="s">
        <v>757</v>
      </c>
      <c r="D103" s="103" t="s">
        <v>758</v>
      </c>
      <c r="G103" s="145">
        <v>45952.0</v>
      </c>
      <c r="H103" s="103" t="s">
        <v>2102</v>
      </c>
      <c r="I103" s="103" t="s">
        <v>2261</v>
      </c>
      <c r="J103" s="103" t="s">
        <v>2262</v>
      </c>
      <c r="L103" s="10" t="s">
        <v>2100</v>
      </c>
    </row>
    <row r="104" ht="22.5" hidden="1" customHeight="1">
      <c r="A104" s="102">
        <v>45952.569003888886</v>
      </c>
      <c r="B104" s="103" t="s">
        <v>208</v>
      </c>
      <c r="C104" s="103" t="s">
        <v>701</v>
      </c>
      <c r="D104" s="103" t="s">
        <v>1022</v>
      </c>
      <c r="G104" s="145">
        <v>45952.0</v>
      </c>
      <c r="H104" s="103" t="s">
        <v>2109</v>
      </c>
      <c r="I104" s="103" t="s">
        <v>2263</v>
      </c>
      <c r="J104" s="103" t="s">
        <v>2264</v>
      </c>
      <c r="L104" s="10" t="s">
        <v>2100</v>
      </c>
    </row>
    <row r="105" ht="22.5" hidden="1" customHeight="1">
      <c r="A105" s="102">
        <v>45952.57190811343</v>
      </c>
      <c r="B105" s="103" t="s">
        <v>363</v>
      </c>
      <c r="C105" s="103" t="s">
        <v>430</v>
      </c>
      <c r="D105" s="103" t="s">
        <v>431</v>
      </c>
      <c r="G105" s="145">
        <v>45952.0</v>
      </c>
      <c r="H105" s="103" t="s">
        <v>2097</v>
      </c>
      <c r="I105" s="103" t="s">
        <v>2265</v>
      </c>
      <c r="J105" s="103" t="s">
        <v>2266</v>
      </c>
      <c r="L105" s="10" t="s">
        <v>2107</v>
      </c>
    </row>
    <row r="106" ht="22.5" hidden="1" customHeight="1">
      <c r="A106" s="102">
        <v>45952.77054680555</v>
      </c>
      <c r="B106" s="103" t="s">
        <v>165</v>
      </c>
      <c r="C106" s="103" t="s">
        <v>847</v>
      </c>
      <c r="D106" s="103" t="s">
        <v>848</v>
      </c>
      <c r="G106" s="145">
        <v>45952.0</v>
      </c>
      <c r="H106" s="103" t="s">
        <v>2097</v>
      </c>
      <c r="I106" s="103" t="s">
        <v>2267</v>
      </c>
      <c r="L106" s="10" t="s">
        <v>2100</v>
      </c>
    </row>
    <row r="107" ht="22.5" hidden="1" customHeight="1">
      <c r="A107" s="102">
        <v>45953.68454453704</v>
      </c>
      <c r="B107" s="103" t="s">
        <v>156</v>
      </c>
      <c r="C107" s="103" t="s">
        <v>528</v>
      </c>
      <c r="D107" s="103" t="s">
        <v>529</v>
      </c>
      <c r="G107" s="145">
        <v>45952.0</v>
      </c>
      <c r="H107" s="103" t="s">
        <v>2102</v>
      </c>
      <c r="I107" s="103" t="s">
        <v>2268</v>
      </c>
      <c r="L107" s="10" t="s">
        <v>2100</v>
      </c>
    </row>
    <row r="108" ht="22.5" hidden="1" customHeight="1">
      <c r="A108" s="102">
        <v>45958.46507611111</v>
      </c>
      <c r="B108" s="103" t="s">
        <v>385</v>
      </c>
      <c r="C108" s="103" t="s">
        <v>2269</v>
      </c>
      <c r="D108" s="103" t="s">
        <v>466</v>
      </c>
      <c r="G108" s="145">
        <v>45959.0</v>
      </c>
      <c r="H108" s="103" t="s">
        <v>2097</v>
      </c>
      <c r="I108" s="103" t="s">
        <v>2270</v>
      </c>
      <c r="L108" s="10" t="s">
        <v>2100</v>
      </c>
    </row>
    <row r="109" ht="22.5" hidden="1" customHeight="1">
      <c r="A109" s="102">
        <v>45958.5114646875</v>
      </c>
      <c r="B109" s="103" t="s">
        <v>248</v>
      </c>
      <c r="C109" s="103" t="s">
        <v>1896</v>
      </c>
      <c r="D109" s="103" t="s">
        <v>1897</v>
      </c>
      <c r="G109" s="145">
        <v>45958.0</v>
      </c>
      <c r="H109" s="103" t="s">
        <v>2109</v>
      </c>
      <c r="I109" s="103" t="s">
        <v>2271</v>
      </c>
      <c r="L109" s="10" t="s">
        <v>2100</v>
      </c>
    </row>
    <row r="110" ht="22.5" hidden="1" customHeight="1">
      <c r="A110" s="102">
        <v>45958.520273483795</v>
      </c>
      <c r="B110" s="103" t="s">
        <v>150</v>
      </c>
      <c r="C110" s="103" t="s">
        <v>774</v>
      </c>
      <c r="D110" s="103" t="s">
        <v>775</v>
      </c>
      <c r="G110" s="145">
        <v>45959.0</v>
      </c>
      <c r="H110" s="103" t="s">
        <v>2109</v>
      </c>
      <c r="I110" s="103" t="s">
        <v>2272</v>
      </c>
      <c r="J110" s="103" t="s">
        <v>2273</v>
      </c>
      <c r="L110" s="10" t="s">
        <v>2100</v>
      </c>
    </row>
    <row r="111" ht="22.5" hidden="1" customHeight="1">
      <c r="A111" s="102">
        <v>45958.665005138886</v>
      </c>
      <c r="B111" s="103" t="s">
        <v>202</v>
      </c>
      <c r="C111" s="103" t="s">
        <v>634</v>
      </c>
      <c r="D111" s="103" t="s">
        <v>635</v>
      </c>
      <c r="G111" s="145">
        <v>45966.0</v>
      </c>
      <c r="H111" s="103" t="s">
        <v>2097</v>
      </c>
      <c r="I111" s="103" t="s">
        <v>2274</v>
      </c>
      <c r="J111" s="103" t="s">
        <v>2275</v>
      </c>
      <c r="L111" s="10" t="s">
        <v>2100</v>
      </c>
    </row>
    <row r="112" ht="22.5" hidden="1" customHeight="1">
      <c r="A112" s="102">
        <v>45958.66574121528</v>
      </c>
      <c r="B112" s="103" t="s">
        <v>202</v>
      </c>
      <c r="C112" s="103" t="s">
        <v>634</v>
      </c>
      <c r="D112" s="103" t="s">
        <v>635</v>
      </c>
      <c r="G112" s="145">
        <v>45980.0</v>
      </c>
      <c r="H112" s="103" t="s">
        <v>2097</v>
      </c>
      <c r="I112" s="103" t="s">
        <v>2276</v>
      </c>
      <c r="J112" s="103" t="s">
        <v>2277</v>
      </c>
      <c r="L112" s="10" t="s">
        <v>2100</v>
      </c>
    </row>
    <row r="113" ht="22.5" hidden="1" customHeight="1">
      <c r="A113" s="102">
        <v>45958.75975545139</v>
      </c>
      <c r="B113" s="103" t="s">
        <v>202</v>
      </c>
      <c r="C113" s="103" t="s">
        <v>634</v>
      </c>
      <c r="D113" s="103" t="s">
        <v>635</v>
      </c>
      <c r="G113" s="145">
        <v>45959.0</v>
      </c>
      <c r="H113" s="103" t="s">
        <v>2102</v>
      </c>
      <c r="I113" s="103" t="s">
        <v>2278</v>
      </c>
      <c r="J113" s="103" t="s">
        <v>2279</v>
      </c>
      <c r="L113" s="10" t="s">
        <v>2100</v>
      </c>
    </row>
    <row r="114" ht="22.5" hidden="1" customHeight="1">
      <c r="A114" s="102">
        <v>45958.801989837964</v>
      </c>
      <c r="B114" s="103" t="s">
        <v>112</v>
      </c>
      <c r="C114" s="103" t="s">
        <v>2280</v>
      </c>
      <c r="D114" s="103" t="s">
        <v>435</v>
      </c>
      <c r="G114" s="145">
        <v>45959.0</v>
      </c>
      <c r="H114" s="103" t="s">
        <v>2097</v>
      </c>
      <c r="I114" s="103" t="s">
        <v>2281</v>
      </c>
      <c r="L114" s="10" t="s">
        <v>2100</v>
      </c>
    </row>
    <row r="115" ht="22.5" hidden="1" customHeight="1">
      <c r="A115" s="102">
        <v>45958.81651305556</v>
      </c>
      <c r="B115" s="103" t="s">
        <v>296</v>
      </c>
      <c r="C115" s="103" t="s">
        <v>853</v>
      </c>
      <c r="D115" s="103" t="s">
        <v>854</v>
      </c>
      <c r="G115" s="145">
        <v>45959.0</v>
      </c>
      <c r="H115" s="103" t="s">
        <v>2109</v>
      </c>
      <c r="I115" s="103" t="s">
        <v>2282</v>
      </c>
      <c r="J115" s="103" t="s">
        <v>2283</v>
      </c>
      <c r="L115" s="10" t="s">
        <v>2100</v>
      </c>
    </row>
    <row r="116" ht="22.5" hidden="1" customHeight="1">
      <c r="A116" s="102">
        <v>45959.27965378472</v>
      </c>
      <c r="B116" s="103" t="s">
        <v>53</v>
      </c>
      <c r="C116" s="103" t="s">
        <v>535</v>
      </c>
      <c r="D116" s="103" t="s">
        <v>536</v>
      </c>
      <c r="G116" s="145">
        <v>45966.0</v>
      </c>
      <c r="H116" s="103" t="s">
        <v>2109</v>
      </c>
      <c r="I116" s="103" t="s">
        <v>2284</v>
      </c>
      <c r="L116" s="10" t="s">
        <v>2100</v>
      </c>
    </row>
    <row r="117" ht="22.5" hidden="1" customHeight="1">
      <c r="A117" s="102">
        <v>45959.34474233796</v>
      </c>
      <c r="B117" s="103" t="s">
        <v>300</v>
      </c>
      <c r="C117" s="103" t="s">
        <v>480</v>
      </c>
      <c r="D117" s="103" t="s">
        <v>1381</v>
      </c>
      <c r="G117" s="145">
        <v>45959.0</v>
      </c>
      <c r="H117" s="103" t="s">
        <v>2102</v>
      </c>
      <c r="I117" s="103" t="s">
        <v>2285</v>
      </c>
      <c r="J117" s="103" t="s">
        <v>2286</v>
      </c>
      <c r="L117" s="10" t="s">
        <v>2100</v>
      </c>
    </row>
    <row r="118" ht="22.5" hidden="1" customHeight="1">
      <c r="A118" s="102">
        <v>45959.3589003588</v>
      </c>
      <c r="B118" s="103" t="s">
        <v>263</v>
      </c>
      <c r="C118" s="103" t="s">
        <v>505</v>
      </c>
      <c r="D118" s="103" t="s">
        <v>506</v>
      </c>
      <c r="G118" s="145">
        <v>45959.0</v>
      </c>
      <c r="H118" s="103" t="s">
        <v>2097</v>
      </c>
      <c r="I118" s="103" t="s">
        <v>2287</v>
      </c>
      <c r="L118" s="10" t="s">
        <v>2100</v>
      </c>
    </row>
    <row r="119" ht="22.5" hidden="1" customHeight="1">
      <c r="A119" s="102">
        <v>45959.382118761576</v>
      </c>
      <c r="B119" s="103" t="s">
        <v>343</v>
      </c>
      <c r="C119" s="103" t="s">
        <v>2288</v>
      </c>
      <c r="D119" s="103" t="s">
        <v>632</v>
      </c>
      <c r="G119" s="145">
        <v>45959.0</v>
      </c>
      <c r="H119" s="103" t="s">
        <v>2097</v>
      </c>
      <c r="I119" s="103" t="s">
        <v>2289</v>
      </c>
      <c r="J119" s="103" t="s">
        <v>2290</v>
      </c>
      <c r="L119" s="10" t="s">
        <v>2100</v>
      </c>
    </row>
    <row r="120" ht="22.5" hidden="1" customHeight="1">
      <c r="A120" s="102">
        <v>45959.40300697916</v>
      </c>
      <c r="B120" s="103" t="s">
        <v>276</v>
      </c>
      <c r="C120" s="103" t="s">
        <v>714</v>
      </c>
      <c r="D120" s="103" t="s">
        <v>715</v>
      </c>
      <c r="G120" s="145">
        <v>45959.0</v>
      </c>
      <c r="H120" s="103" t="s">
        <v>2109</v>
      </c>
      <c r="I120" s="103" t="s">
        <v>2291</v>
      </c>
      <c r="L120" s="10" t="s">
        <v>2100</v>
      </c>
    </row>
    <row r="121" ht="22.5" hidden="1" customHeight="1">
      <c r="A121" s="102">
        <v>45959.42311591435</v>
      </c>
      <c r="B121" s="103" t="s">
        <v>195</v>
      </c>
      <c r="C121" s="103" t="s">
        <v>501</v>
      </c>
      <c r="D121" s="103" t="s">
        <v>1025</v>
      </c>
      <c r="G121" s="145">
        <v>45959.0</v>
      </c>
      <c r="H121" s="103" t="s">
        <v>2109</v>
      </c>
      <c r="I121" s="103" t="s">
        <v>2292</v>
      </c>
      <c r="L121" s="10" t="s">
        <v>2100</v>
      </c>
    </row>
    <row r="122" ht="22.5" hidden="1" customHeight="1">
      <c r="A122" s="102">
        <v>45959.44919993056</v>
      </c>
      <c r="B122" s="103" t="s">
        <v>372</v>
      </c>
      <c r="C122" s="103" t="s">
        <v>486</v>
      </c>
      <c r="D122" s="103" t="s">
        <v>487</v>
      </c>
      <c r="G122" s="145">
        <v>45959.0</v>
      </c>
      <c r="H122" s="103" t="s">
        <v>2102</v>
      </c>
      <c r="I122" s="103" t="s">
        <v>2293</v>
      </c>
      <c r="L122" s="10" t="s">
        <v>2100</v>
      </c>
    </row>
    <row r="123" ht="22.5" hidden="1" customHeight="1">
      <c r="A123" s="102">
        <v>45959.494193252314</v>
      </c>
      <c r="B123" s="103" t="s">
        <v>244</v>
      </c>
      <c r="C123" s="103" t="s">
        <v>1160</v>
      </c>
      <c r="D123" s="103" t="s">
        <v>1161</v>
      </c>
      <c r="G123" s="145">
        <v>45959.0</v>
      </c>
      <c r="H123" s="103" t="s">
        <v>2109</v>
      </c>
      <c r="I123" s="103" t="s">
        <v>2294</v>
      </c>
      <c r="L123" s="10" t="s">
        <v>2100</v>
      </c>
    </row>
    <row r="124" ht="22.5" hidden="1" customHeight="1">
      <c r="A124" s="102">
        <v>45959.50229950232</v>
      </c>
      <c r="B124" s="103" t="s">
        <v>197</v>
      </c>
      <c r="C124" s="103" t="s">
        <v>618</v>
      </c>
      <c r="D124" s="103" t="s">
        <v>619</v>
      </c>
      <c r="G124" s="145">
        <v>45959.0</v>
      </c>
      <c r="H124" s="103" t="s">
        <v>2109</v>
      </c>
      <c r="I124" s="103" t="s">
        <v>2295</v>
      </c>
      <c r="L124" s="10" t="s">
        <v>2100</v>
      </c>
    </row>
    <row r="125" ht="22.5" hidden="1" customHeight="1">
      <c r="A125" s="102">
        <v>45959.534356840275</v>
      </c>
      <c r="B125" s="103" t="s">
        <v>160</v>
      </c>
      <c r="C125" s="103" t="s">
        <v>2296</v>
      </c>
      <c r="D125" s="103" t="s">
        <v>2297</v>
      </c>
      <c r="G125" s="145">
        <v>45959.0</v>
      </c>
      <c r="H125" s="103" t="s">
        <v>2102</v>
      </c>
      <c r="I125" s="103" t="s">
        <v>2298</v>
      </c>
      <c r="L125" s="10" t="s">
        <v>2100</v>
      </c>
    </row>
    <row r="126" ht="22.5" hidden="1" customHeight="1">
      <c r="A126" s="102">
        <v>45959.54529547454</v>
      </c>
      <c r="B126" s="103" t="s">
        <v>254</v>
      </c>
      <c r="C126" s="103" t="s">
        <v>565</v>
      </c>
      <c r="D126" s="103" t="s">
        <v>566</v>
      </c>
      <c r="G126" s="145">
        <v>45959.0</v>
      </c>
      <c r="H126" s="103" t="s">
        <v>2097</v>
      </c>
      <c r="I126" s="103" t="s">
        <v>2299</v>
      </c>
      <c r="L126" s="10" t="s">
        <v>2100</v>
      </c>
    </row>
    <row r="127" ht="22.5" hidden="1" customHeight="1">
      <c r="A127" s="102">
        <v>45959.5458646412</v>
      </c>
      <c r="B127" s="103" t="s">
        <v>237</v>
      </c>
      <c r="C127" s="103" t="s">
        <v>861</v>
      </c>
      <c r="D127" s="103" t="s">
        <v>862</v>
      </c>
      <c r="G127" s="145">
        <v>45959.0</v>
      </c>
      <c r="H127" s="103" t="s">
        <v>2097</v>
      </c>
      <c r="I127" s="103" t="s">
        <v>2300</v>
      </c>
      <c r="L127" s="10" t="s">
        <v>2100</v>
      </c>
    </row>
    <row r="128" ht="22.5" hidden="1" customHeight="1">
      <c r="A128" s="102">
        <v>45959.5464840162</v>
      </c>
      <c r="B128" s="103" t="s">
        <v>235</v>
      </c>
      <c r="C128" s="103" t="s">
        <v>890</v>
      </c>
      <c r="D128" s="103" t="s">
        <v>891</v>
      </c>
      <c r="G128" s="145">
        <v>45959.0</v>
      </c>
      <c r="H128" s="103" t="s">
        <v>2097</v>
      </c>
      <c r="I128" s="103" t="s">
        <v>2301</v>
      </c>
      <c r="L128" s="10" t="s">
        <v>2100</v>
      </c>
    </row>
    <row r="129" ht="22.5" hidden="1" customHeight="1">
      <c r="A129" s="102">
        <v>45959.551810902776</v>
      </c>
      <c r="B129" s="103" t="s">
        <v>83</v>
      </c>
      <c r="C129" s="103" t="s">
        <v>942</v>
      </c>
      <c r="D129" s="103" t="s">
        <v>560</v>
      </c>
      <c r="G129" s="145">
        <v>45959.0</v>
      </c>
      <c r="H129" s="103" t="s">
        <v>2097</v>
      </c>
      <c r="I129" s="103" t="s">
        <v>2302</v>
      </c>
      <c r="L129" s="10" t="s">
        <v>2100</v>
      </c>
    </row>
    <row r="130" ht="22.5" hidden="1" customHeight="1">
      <c r="A130" s="102">
        <v>45959.55994148148</v>
      </c>
      <c r="B130" s="103" t="s">
        <v>380</v>
      </c>
      <c r="C130" s="103" t="s">
        <v>439</v>
      </c>
      <c r="D130" s="103" t="s">
        <v>2303</v>
      </c>
      <c r="G130" s="145">
        <v>45959.0</v>
      </c>
      <c r="H130" s="103" t="s">
        <v>2097</v>
      </c>
      <c r="I130" s="103" t="s">
        <v>2304</v>
      </c>
      <c r="J130" s="103" t="s">
        <v>2305</v>
      </c>
      <c r="L130" s="10" t="s">
        <v>2100</v>
      </c>
      <c r="M130" s="10" t="s">
        <v>2306</v>
      </c>
    </row>
    <row r="131" ht="22.5" hidden="1" customHeight="1">
      <c r="A131" s="102">
        <v>45959.637623194445</v>
      </c>
      <c r="B131" s="103" t="s">
        <v>363</v>
      </c>
      <c r="C131" s="103" t="s">
        <v>430</v>
      </c>
      <c r="D131" s="103" t="s">
        <v>431</v>
      </c>
      <c r="G131" s="145">
        <v>45959.0</v>
      </c>
      <c r="H131" s="103" t="s">
        <v>2097</v>
      </c>
      <c r="I131" s="103" t="s">
        <v>2307</v>
      </c>
      <c r="J131" s="103" t="s">
        <v>2148</v>
      </c>
      <c r="L131" s="10" t="s">
        <v>2107</v>
      </c>
    </row>
    <row r="132" ht="22.5" hidden="1" customHeight="1">
      <c r="A132" s="102">
        <v>45959.843409444446</v>
      </c>
      <c r="B132" s="103" t="s">
        <v>261</v>
      </c>
      <c r="C132" s="103" t="s">
        <v>1210</v>
      </c>
      <c r="D132" s="103" t="s">
        <v>1211</v>
      </c>
      <c r="G132" s="145">
        <v>45959.0</v>
      </c>
      <c r="H132" s="103" t="s">
        <v>2097</v>
      </c>
      <c r="I132" s="103" t="s">
        <v>2308</v>
      </c>
      <c r="J132" s="103" t="s">
        <v>2309</v>
      </c>
      <c r="L132" s="10" t="s">
        <v>2100</v>
      </c>
    </row>
    <row r="133" ht="22.5" hidden="1" customHeight="1">
      <c r="A133" s="102">
        <v>45963.7066690162</v>
      </c>
      <c r="B133" s="103" t="s">
        <v>356</v>
      </c>
      <c r="C133" s="103" t="s">
        <v>2125</v>
      </c>
      <c r="D133" s="103" t="s">
        <v>545</v>
      </c>
      <c r="G133" s="145">
        <v>45966.0</v>
      </c>
      <c r="H133" s="103" t="s">
        <v>2097</v>
      </c>
      <c r="I133" s="103" t="s">
        <v>2310</v>
      </c>
      <c r="J133" s="103" t="s">
        <v>2311</v>
      </c>
      <c r="L133" s="10" t="s">
        <v>2100</v>
      </c>
    </row>
    <row r="134" ht="22.5" hidden="1" customHeight="1">
      <c r="A134" s="102">
        <v>45965.30644388889</v>
      </c>
      <c r="B134" s="103" t="s">
        <v>393</v>
      </c>
      <c r="C134" s="103" t="s">
        <v>657</v>
      </c>
      <c r="D134" s="103" t="s">
        <v>658</v>
      </c>
      <c r="G134" s="145">
        <v>45966.0</v>
      </c>
      <c r="H134" s="103" t="s">
        <v>2109</v>
      </c>
      <c r="I134" s="103" t="s">
        <v>2121</v>
      </c>
      <c r="J134" s="103" t="s">
        <v>2312</v>
      </c>
      <c r="L134" s="10" t="s">
        <v>2100</v>
      </c>
    </row>
    <row r="135" ht="22.5" hidden="1" customHeight="1">
      <c r="A135" s="102">
        <v>45965.34429824074</v>
      </c>
      <c r="B135" s="103" t="s">
        <v>160</v>
      </c>
      <c r="C135" s="103" t="s">
        <v>631</v>
      </c>
      <c r="D135" s="103" t="s">
        <v>870</v>
      </c>
      <c r="G135" s="145">
        <v>45966.0</v>
      </c>
      <c r="H135" s="103" t="s">
        <v>2102</v>
      </c>
      <c r="I135" s="103" t="s">
        <v>2313</v>
      </c>
      <c r="L135" s="10" t="s">
        <v>2100</v>
      </c>
    </row>
    <row r="136" ht="22.5" hidden="1" customHeight="1">
      <c r="A136" s="102">
        <v>45965.37903520833</v>
      </c>
      <c r="B136" s="103" t="s">
        <v>374</v>
      </c>
      <c r="C136" s="103" t="s">
        <v>1027</v>
      </c>
      <c r="D136" s="103" t="s">
        <v>458</v>
      </c>
      <c r="G136" s="145">
        <v>45965.0</v>
      </c>
      <c r="H136" s="103" t="s">
        <v>2097</v>
      </c>
      <c r="I136" s="103" t="s">
        <v>2314</v>
      </c>
      <c r="L136" s="10" t="s">
        <v>2100</v>
      </c>
    </row>
    <row r="137" ht="22.5" hidden="1" customHeight="1">
      <c r="A137" s="102">
        <v>45965.37934994213</v>
      </c>
      <c r="B137" s="103" t="s">
        <v>374</v>
      </c>
      <c r="C137" s="103" t="s">
        <v>1027</v>
      </c>
      <c r="D137" s="103" t="s">
        <v>458</v>
      </c>
      <c r="G137" s="145">
        <v>45959.0</v>
      </c>
      <c r="H137" s="103" t="s">
        <v>2097</v>
      </c>
      <c r="I137" s="103" t="s">
        <v>2315</v>
      </c>
      <c r="L137" s="10" t="s">
        <v>2100</v>
      </c>
    </row>
    <row r="138" ht="22.5" hidden="1" customHeight="1">
      <c r="A138" s="102">
        <v>45965.63549331018</v>
      </c>
      <c r="B138" s="103" t="s">
        <v>278</v>
      </c>
      <c r="C138" s="103" t="s">
        <v>622</v>
      </c>
      <c r="D138" s="103" t="s">
        <v>623</v>
      </c>
      <c r="G138" s="145">
        <v>45965.0</v>
      </c>
      <c r="H138" s="103" t="s">
        <v>2102</v>
      </c>
      <c r="I138" s="103" t="s">
        <v>2316</v>
      </c>
      <c r="J138" s="103" t="s">
        <v>2317</v>
      </c>
      <c r="L138" s="10" t="s">
        <v>2100</v>
      </c>
    </row>
    <row r="139" ht="22.5" hidden="1" customHeight="1">
      <c r="A139" s="102">
        <v>45965.65959996528</v>
      </c>
      <c r="B139" s="103" t="s">
        <v>246</v>
      </c>
      <c r="C139" s="103" t="s">
        <v>703</v>
      </c>
      <c r="D139" s="103" t="s">
        <v>704</v>
      </c>
      <c r="G139" s="145">
        <v>45966.0</v>
      </c>
      <c r="H139" s="103" t="s">
        <v>2109</v>
      </c>
      <c r="I139" s="103" t="s">
        <v>2318</v>
      </c>
      <c r="L139" s="10" t="s">
        <v>2107</v>
      </c>
      <c r="M139" s="10" t="s">
        <v>2319</v>
      </c>
    </row>
    <row r="140" ht="22.5" hidden="1" customHeight="1">
      <c r="A140" s="102">
        <v>45965.69635429398</v>
      </c>
      <c r="B140" s="103" t="s">
        <v>150</v>
      </c>
      <c r="C140" s="103" t="s">
        <v>774</v>
      </c>
      <c r="D140" s="103" t="s">
        <v>775</v>
      </c>
      <c r="G140" s="145">
        <v>45966.0</v>
      </c>
      <c r="H140" s="103" t="s">
        <v>2097</v>
      </c>
      <c r="I140" s="103" t="s">
        <v>2320</v>
      </c>
      <c r="L140" s="10" t="s">
        <v>2100</v>
      </c>
    </row>
    <row r="141" ht="22.5" hidden="1" customHeight="1">
      <c r="A141" s="102">
        <v>45965.704637939816</v>
      </c>
      <c r="B141" s="103" t="s">
        <v>356</v>
      </c>
      <c r="C141" s="103" t="s">
        <v>544</v>
      </c>
      <c r="D141" s="103" t="s">
        <v>545</v>
      </c>
      <c r="G141" s="145">
        <v>45966.0</v>
      </c>
      <c r="H141" s="103" t="s">
        <v>2109</v>
      </c>
      <c r="I141" s="103" t="s">
        <v>2321</v>
      </c>
      <c r="J141" s="103" t="s">
        <v>2322</v>
      </c>
      <c r="L141" s="10" t="s">
        <v>2100</v>
      </c>
    </row>
    <row r="142" ht="22.5" hidden="1" customHeight="1">
      <c r="A142" s="102">
        <v>45965.782592766205</v>
      </c>
      <c r="B142" s="103" t="s">
        <v>119</v>
      </c>
      <c r="C142" s="103" t="s">
        <v>2323</v>
      </c>
      <c r="D142" s="103" t="s">
        <v>493</v>
      </c>
      <c r="G142" s="145">
        <v>45966.0</v>
      </c>
      <c r="H142" s="103" t="s">
        <v>2102</v>
      </c>
      <c r="I142" s="103" t="s">
        <v>2324</v>
      </c>
      <c r="J142" s="103" t="s">
        <v>2325</v>
      </c>
      <c r="L142" s="10" t="s">
        <v>2100</v>
      </c>
    </row>
    <row r="143" ht="22.5" hidden="1" customHeight="1">
      <c r="A143" s="102">
        <v>45965.79397732639</v>
      </c>
      <c r="B143" s="103" t="s">
        <v>276</v>
      </c>
      <c r="C143" s="103" t="s">
        <v>714</v>
      </c>
      <c r="D143" s="103" t="s">
        <v>715</v>
      </c>
      <c r="G143" s="145">
        <v>45966.0</v>
      </c>
      <c r="H143" s="103" t="s">
        <v>2097</v>
      </c>
      <c r="I143" s="103" t="s">
        <v>2326</v>
      </c>
      <c r="L143" s="10" t="s">
        <v>2100</v>
      </c>
    </row>
    <row r="144" ht="22.5" hidden="1" customHeight="1">
      <c r="A144" s="102">
        <v>45966.29372494213</v>
      </c>
      <c r="B144" s="103" t="s">
        <v>363</v>
      </c>
      <c r="C144" s="103" t="s">
        <v>430</v>
      </c>
      <c r="D144" s="103" t="s">
        <v>431</v>
      </c>
      <c r="G144" s="145">
        <v>45966.0</v>
      </c>
      <c r="H144" s="103" t="s">
        <v>2109</v>
      </c>
      <c r="I144" s="103" t="s">
        <v>2327</v>
      </c>
      <c r="L144" s="10" t="s">
        <v>2100</v>
      </c>
    </row>
    <row r="145" ht="22.5" hidden="1" customHeight="1">
      <c r="A145" s="102">
        <v>45966.3873290162</v>
      </c>
      <c r="B145" s="103" t="s">
        <v>117</v>
      </c>
      <c r="C145" s="103" t="s">
        <v>778</v>
      </c>
      <c r="D145" s="103" t="s">
        <v>779</v>
      </c>
      <c r="G145" s="145">
        <v>45966.0</v>
      </c>
      <c r="H145" s="103" t="s">
        <v>2109</v>
      </c>
      <c r="I145" s="103" t="s">
        <v>2328</v>
      </c>
      <c r="L145" s="10" t="s">
        <v>2100</v>
      </c>
    </row>
    <row r="146" ht="22.5" hidden="1" customHeight="1">
      <c r="A146" s="102">
        <v>45966.44729170139</v>
      </c>
      <c r="B146" s="103" t="s">
        <v>313</v>
      </c>
      <c r="C146" s="103" t="s">
        <v>2329</v>
      </c>
      <c r="D146" s="103" t="s">
        <v>2330</v>
      </c>
      <c r="G146" s="145">
        <v>45966.0</v>
      </c>
      <c r="H146" s="103" t="s">
        <v>2102</v>
      </c>
      <c r="I146" s="103" t="s">
        <v>2331</v>
      </c>
      <c r="L146" s="10" t="s">
        <v>2107</v>
      </c>
    </row>
    <row r="147" ht="22.5" hidden="1" customHeight="1">
      <c r="A147" s="102">
        <v>45966.48061471064</v>
      </c>
      <c r="B147" s="103" t="s">
        <v>280</v>
      </c>
      <c r="C147" s="103" t="s">
        <v>476</v>
      </c>
      <c r="D147" s="103" t="s">
        <v>477</v>
      </c>
      <c r="G147" s="145">
        <v>45966.0</v>
      </c>
      <c r="H147" s="103" t="s">
        <v>2109</v>
      </c>
      <c r="I147" s="103" t="s">
        <v>2332</v>
      </c>
      <c r="L147" s="10" t="s">
        <v>2100</v>
      </c>
    </row>
    <row r="148" ht="22.5" hidden="1" customHeight="1">
      <c r="A148" s="102">
        <v>45966.49040390046</v>
      </c>
      <c r="B148" s="103" t="s">
        <v>317</v>
      </c>
      <c r="C148" s="103" t="s">
        <v>1496</v>
      </c>
      <c r="D148" s="103" t="s">
        <v>1497</v>
      </c>
      <c r="G148" s="145">
        <v>45966.0</v>
      </c>
      <c r="H148" s="103" t="s">
        <v>2109</v>
      </c>
      <c r="I148" s="103" t="s">
        <v>2333</v>
      </c>
      <c r="J148" s="103" t="s">
        <v>2334</v>
      </c>
      <c r="L148" s="10" t="s">
        <v>2100</v>
      </c>
    </row>
    <row r="149" ht="22.5" hidden="1" customHeight="1">
      <c r="A149" s="102">
        <v>45966.535551967594</v>
      </c>
      <c r="B149" s="103" t="s">
        <v>206</v>
      </c>
      <c r="C149" s="103" t="s">
        <v>445</v>
      </c>
      <c r="D149" s="103" t="s">
        <v>1018</v>
      </c>
      <c r="G149" s="145">
        <v>45966.0</v>
      </c>
      <c r="H149" s="103" t="s">
        <v>2102</v>
      </c>
      <c r="I149" s="103" t="s">
        <v>2335</v>
      </c>
      <c r="L149" s="10" t="s">
        <v>2100</v>
      </c>
    </row>
    <row r="150" ht="22.5" hidden="1" customHeight="1">
      <c r="A150" s="102">
        <v>45966.54054450231</v>
      </c>
      <c r="B150" s="103" t="s">
        <v>152</v>
      </c>
      <c r="C150" s="103" t="s">
        <v>962</v>
      </c>
      <c r="D150" s="103" t="s">
        <v>769</v>
      </c>
      <c r="G150" s="145">
        <v>45966.0</v>
      </c>
      <c r="H150" s="103" t="s">
        <v>2097</v>
      </c>
      <c r="I150" s="103" t="s">
        <v>2336</v>
      </c>
      <c r="L150" s="10" t="s">
        <v>2100</v>
      </c>
    </row>
    <row r="151" ht="22.5" hidden="1" customHeight="1">
      <c r="A151" s="102">
        <v>45966.54476980324</v>
      </c>
      <c r="B151" s="103" t="s">
        <v>328</v>
      </c>
      <c r="C151" s="103" t="s">
        <v>826</v>
      </c>
      <c r="D151" s="103" t="s">
        <v>827</v>
      </c>
      <c r="G151" s="145">
        <v>45966.0</v>
      </c>
      <c r="H151" s="103" t="s">
        <v>2097</v>
      </c>
      <c r="I151" s="103" t="s">
        <v>2337</v>
      </c>
      <c r="L151" s="10" t="s">
        <v>2100</v>
      </c>
    </row>
    <row r="152" ht="22.5" hidden="1" customHeight="1">
      <c r="A152" s="102">
        <v>45966.54653479166</v>
      </c>
      <c r="B152" s="103" t="s">
        <v>254</v>
      </c>
      <c r="C152" s="103" t="s">
        <v>1343</v>
      </c>
      <c r="D152" s="103" t="s">
        <v>566</v>
      </c>
      <c r="G152" s="145">
        <v>45966.0</v>
      </c>
      <c r="H152" s="103" t="s">
        <v>2097</v>
      </c>
      <c r="I152" s="103" t="s">
        <v>2338</v>
      </c>
      <c r="L152" s="10" t="s">
        <v>2100</v>
      </c>
    </row>
    <row r="153" ht="22.5" hidden="1" customHeight="1">
      <c r="A153" s="102">
        <v>45966.62680805556</v>
      </c>
      <c r="B153" s="103" t="s">
        <v>88</v>
      </c>
      <c r="C153" s="103" t="s">
        <v>843</v>
      </c>
      <c r="D153" s="103" t="s">
        <v>844</v>
      </c>
      <c r="G153" s="145">
        <v>45966.0</v>
      </c>
      <c r="H153" s="103" t="s">
        <v>2097</v>
      </c>
      <c r="I153" s="103" t="s">
        <v>2339</v>
      </c>
      <c r="L153" s="10" t="s">
        <v>2100</v>
      </c>
    </row>
    <row r="154" ht="22.5" hidden="1" customHeight="1">
      <c r="A154" s="102">
        <v>45972.72596829861</v>
      </c>
      <c r="B154" s="103" t="s">
        <v>18</v>
      </c>
      <c r="C154" s="103" t="s">
        <v>2340</v>
      </c>
      <c r="D154" s="103" t="s">
        <v>812</v>
      </c>
      <c r="G154" s="145">
        <v>45973.0</v>
      </c>
      <c r="H154" s="103" t="s">
        <v>2097</v>
      </c>
      <c r="I154" s="103" t="s">
        <v>2341</v>
      </c>
      <c r="L154" s="10" t="s">
        <v>2100</v>
      </c>
    </row>
    <row r="155" ht="22.5" hidden="1" customHeight="1">
      <c r="A155" s="102">
        <v>45972.838508263885</v>
      </c>
      <c r="B155" s="103" t="s">
        <v>97</v>
      </c>
      <c r="C155" s="103" t="s">
        <v>580</v>
      </c>
      <c r="D155" s="103" t="s">
        <v>581</v>
      </c>
      <c r="G155" s="145">
        <v>45973.0</v>
      </c>
      <c r="H155" s="103" t="s">
        <v>2109</v>
      </c>
      <c r="I155" s="103" t="s">
        <v>2342</v>
      </c>
      <c r="J155" s="103" t="s">
        <v>2343</v>
      </c>
      <c r="L155" s="10" t="s">
        <v>2100</v>
      </c>
    </row>
    <row r="156" ht="22.5" hidden="1" customHeight="1">
      <c r="A156" s="102">
        <v>45973.308752453704</v>
      </c>
      <c r="B156" s="103" t="s">
        <v>18</v>
      </c>
      <c r="C156" s="103" t="s">
        <v>2340</v>
      </c>
      <c r="D156" s="103" t="s">
        <v>812</v>
      </c>
      <c r="G156" s="145">
        <v>45973.0</v>
      </c>
      <c r="H156" s="103" t="s">
        <v>2097</v>
      </c>
      <c r="I156" s="103" t="s">
        <v>2344</v>
      </c>
      <c r="L156" s="10" t="s">
        <v>2100</v>
      </c>
    </row>
    <row r="157" ht="22.5" hidden="1" customHeight="1">
      <c r="A157" s="102">
        <v>45973.42861155093</v>
      </c>
      <c r="B157" s="103" t="s">
        <v>350</v>
      </c>
      <c r="C157" s="103" t="s">
        <v>807</v>
      </c>
      <c r="D157" s="103" t="s">
        <v>808</v>
      </c>
      <c r="G157" s="145">
        <v>45973.0</v>
      </c>
      <c r="H157" s="103" t="s">
        <v>2102</v>
      </c>
      <c r="I157" s="103" t="s">
        <v>2345</v>
      </c>
      <c r="L157" s="10" t="s">
        <v>2100</v>
      </c>
    </row>
    <row r="158" ht="22.5" hidden="1" customHeight="1">
      <c r="A158" s="102">
        <v>45973.44445534723</v>
      </c>
      <c r="B158" s="103" t="s">
        <v>90</v>
      </c>
      <c r="C158" s="103" t="s">
        <v>418</v>
      </c>
      <c r="D158" s="103" t="s">
        <v>419</v>
      </c>
      <c r="G158" s="145">
        <v>45973.0</v>
      </c>
      <c r="H158" s="103" t="s">
        <v>2109</v>
      </c>
      <c r="I158" s="103" t="s">
        <v>2346</v>
      </c>
      <c r="L158" s="10" t="s">
        <v>2100</v>
      </c>
    </row>
    <row r="159" ht="22.5" hidden="1" customHeight="1">
      <c r="A159" s="102">
        <v>45973.558219375</v>
      </c>
      <c r="B159" s="103" t="s">
        <v>257</v>
      </c>
      <c r="C159" s="103" t="s">
        <v>856</v>
      </c>
      <c r="D159" s="103" t="s">
        <v>558</v>
      </c>
      <c r="G159" s="145">
        <v>45973.0</v>
      </c>
      <c r="H159" s="103" t="s">
        <v>2109</v>
      </c>
      <c r="I159" s="103" t="s">
        <v>2347</v>
      </c>
      <c r="L159" s="10" t="s">
        <v>2100</v>
      </c>
    </row>
    <row r="160" ht="22.5" hidden="1" customHeight="1">
      <c r="A160" s="102">
        <v>45973.576093634256</v>
      </c>
      <c r="B160" s="103" t="s">
        <v>259</v>
      </c>
      <c r="C160" s="103" t="s">
        <v>606</v>
      </c>
      <c r="D160" s="103" t="s">
        <v>607</v>
      </c>
      <c r="G160" s="145">
        <v>45973.0</v>
      </c>
      <c r="H160" s="103" t="s">
        <v>2102</v>
      </c>
      <c r="I160" s="103" t="s">
        <v>2348</v>
      </c>
      <c r="J160" s="103" t="s">
        <v>2349</v>
      </c>
      <c r="L160" s="10" t="s">
        <v>2100</v>
      </c>
    </row>
    <row r="161" ht="22.5" hidden="1" customHeight="1">
      <c r="A161" s="102">
        <v>45973.927510127316</v>
      </c>
      <c r="B161" s="103" t="s">
        <v>363</v>
      </c>
      <c r="C161" s="103" t="s">
        <v>1242</v>
      </c>
      <c r="D161" s="103" t="s">
        <v>2146</v>
      </c>
      <c r="G161" s="145">
        <v>45973.0</v>
      </c>
      <c r="H161" s="103" t="s">
        <v>2097</v>
      </c>
      <c r="I161" s="103" t="s">
        <v>2350</v>
      </c>
      <c r="L161" s="10" t="s">
        <v>2107</v>
      </c>
    </row>
    <row r="162" ht="22.5" hidden="1" customHeight="1">
      <c r="A162" s="102">
        <v>45975.78138584491</v>
      </c>
      <c r="B162" s="103" t="s">
        <v>184</v>
      </c>
      <c r="C162" s="103" t="s">
        <v>865</v>
      </c>
      <c r="D162" s="103" t="s">
        <v>866</v>
      </c>
      <c r="G162" s="145">
        <v>45980.0</v>
      </c>
      <c r="H162" s="103" t="s">
        <v>2102</v>
      </c>
      <c r="I162" s="103" t="s">
        <v>2351</v>
      </c>
      <c r="L162" s="10" t="s">
        <v>2100</v>
      </c>
    </row>
    <row r="163" ht="22.5" hidden="1" customHeight="1">
      <c r="A163" s="102">
        <v>45977.23965253472</v>
      </c>
      <c r="B163" s="103" t="s">
        <v>393</v>
      </c>
      <c r="C163" s="103" t="s">
        <v>657</v>
      </c>
      <c r="D163" s="103" t="s">
        <v>658</v>
      </c>
      <c r="G163" s="145">
        <v>45980.0</v>
      </c>
      <c r="H163" s="103" t="s">
        <v>2109</v>
      </c>
      <c r="I163" s="103" t="s">
        <v>1087</v>
      </c>
      <c r="J163" s="103" t="s">
        <v>2352</v>
      </c>
      <c r="L163" s="10" t="s">
        <v>2100</v>
      </c>
    </row>
    <row r="164" ht="22.5" hidden="1" customHeight="1">
      <c r="A164" s="102">
        <v>45979.04346905093</v>
      </c>
      <c r="B164" s="103" t="s">
        <v>345</v>
      </c>
      <c r="C164" s="103" t="s">
        <v>492</v>
      </c>
      <c r="D164" s="103" t="s">
        <v>493</v>
      </c>
      <c r="G164" s="145">
        <v>45980.0</v>
      </c>
      <c r="H164" s="103" t="s">
        <v>2097</v>
      </c>
      <c r="I164" s="103" t="s">
        <v>2353</v>
      </c>
      <c r="L164" s="75"/>
    </row>
    <row r="165" ht="22.5" hidden="1" customHeight="1">
      <c r="A165" s="102">
        <v>45979.51922967593</v>
      </c>
      <c r="B165" s="103" t="s">
        <v>42</v>
      </c>
      <c r="C165" s="103" t="s">
        <v>2354</v>
      </c>
      <c r="D165" s="103" t="s">
        <v>1187</v>
      </c>
      <c r="G165" s="145">
        <v>45980.0</v>
      </c>
      <c r="H165" s="103" t="s">
        <v>2097</v>
      </c>
      <c r="I165" s="103" t="s">
        <v>2355</v>
      </c>
      <c r="J165" s="103" t="s">
        <v>2356</v>
      </c>
      <c r="L165" s="10" t="s">
        <v>2100</v>
      </c>
    </row>
    <row r="166" ht="22.5" hidden="1" customHeight="1">
      <c r="A166" s="102">
        <v>45979.66297609954</v>
      </c>
      <c r="B166" s="103" t="s">
        <v>73</v>
      </c>
      <c r="C166" s="103" t="s">
        <v>557</v>
      </c>
      <c r="D166" s="103" t="s">
        <v>709</v>
      </c>
      <c r="G166" s="145">
        <v>45980.0</v>
      </c>
      <c r="H166" s="103" t="s">
        <v>2097</v>
      </c>
      <c r="I166" s="103" t="s">
        <v>2357</v>
      </c>
      <c r="L166" s="10" t="s">
        <v>2100</v>
      </c>
    </row>
    <row r="167" ht="22.5" hidden="1" customHeight="1">
      <c r="A167" s="102">
        <v>45979.7085033912</v>
      </c>
      <c r="B167" s="103" t="s">
        <v>106</v>
      </c>
      <c r="C167" s="103" t="s">
        <v>497</v>
      </c>
      <c r="D167" s="103" t="s">
        <v>498</v>
      </c>
      <c r="G167" s="145">
        <v>45980.0</v>
      </c>
      <c r="H167" s="103" t="s">
        <v>2097</v>
      </c>
      <c r="I167" s="103" t="s">
        <v>2358</v>
      </c>
      <c r="L167" s="10" t="s">
        <v>2100</v>
      </c>
      <c r="M167" s="10" t="s">
        <v>2359</v>
      </c>
    </row>
    <row r="168" ht="22.5" hidden="1" customHeight="1">
      <c r="A168" s="102">
        <v>45979.85834744213</v>
      </c>
      <c r="B168" s="103" t="s">
        <v>18</v>
      </c>
      <c r="C168" s="103" t="s">
        <v>2340</v>
      </c>
      <c r="D168" s="103" t="s">
        <v>812</v>
      </c>
      <c r="G168" s="145">
        <v>45980.0</v>
      </c>
      <c r="H168" s="103" t="s">
        <v>2102</v>
      </c>
      <c r="I168" s="103" t="s">
        <v>2360</v>
      </c>
      <c r="L168" s="10" t="s">
        <v>2107</v>
      </c>
    </row>
    <row r="169" ht="22.5" hidden="1" customHeight="1">
      <c r="A169" s="102">
        <v>45979.87928237268</v>
      </c>
      <c r="B169" s="103" t="s">
        <v>374</v>
      </c>
      <c r="C169" s="103" t="s">
        <v>1027</v>
      </c>
      <c r="D169" s="103" t="s">
        <v>458</v>
      </c>
      <c r="G169" s="145">
        <v>45980.0</v>
      </c>
      <c r="H169" s="103" t="s">
        <v>2097</v>
      </c>
      <c r="I169" s="103" t="s">
        <v>2361</v>
      </c>
      <c r="J169" s="103" t="s">
        <v>2362</v>
      </c>
      <c r="L169" s="10" t="s">
        <v>2100</v>
      </c>
    </row>
    <row r="170" ht="22.5" hidden="1" customHeight="1">
      <c r="A170" s="102">
        <v>45979.92658668981</v>
      </c>
      <c r="B170" s="103" t="s">
        <v>150</v>
      </c>
      <c r="C170" s="103" t="s">
        <v>774</v>
      </c>
      <c r="D170" s="103" t="s">
        <v>775</v>
      </c>
      <c r="G170" s="145">
        <v>45980.0</v>
      </c>
      <c r="H170" s="103" t="s">
        <v>2097</v>
      </c>
      <c r="I170" s="103" t="s">
        <v>2363</v>
      </c>
      <c r="J170" s="103" t="s">
        <v>2364</v>
      </c>
      <c r="L170" s="10" t="s">
        <v>2107</v>
      </c>
    </row>
    <row r="171" ht="22.5" hidden="1" customHeight="1">
      <c r="A171" s="102">
        <v>45979.93028371528</v>
      </c>
      <c r="B171" s="103" t="s">
        <v>195</v>
      </c>
      <c r="C171" s="103" t="s">
        <v>501</v>
      </c>
      <c r="D171" s="103" t="s">
        <v>502</v>
      </c>
      <c r="G171" s="145">
        <v>45980.0</v>
      </c>
      <c r="H171" s="103" t="s">
        <v>2109</v>
      </c>
      <c r="I171" s="103" t="s">
        <v>2365</v>
      </c>
      <c r="J171" s="103" t="s">
        <v>2366</v>
      </c>
      <c r="L171" s="10" t="s">
        <v>2107</v>
      </c>
    </row>
    <row r="172" ht="22.5" hidden="1" customHeight="1">
      <c r="A172" s="102">
        <v>45979.932334178244</v>
      </c>
      <c r="B172" s="103" t="s">
        <v>152</v>
      </c>
      <c r="C172" s="103" t="s">
        <v>962</v>
      </c>
      <c r="D172" s="103" t="s">
        <v>769</v>
      </c>
      <c r="G172" s="145">
        <v>45980.0</v>
      </c>
      <c r="H172" s="103" t="s">
        <v>2097</v>
      </c>
      <c r="I172" s="103" t="s">
        <v>2367</v>
      </c>
      <c r="J172" s="103" t="s">
        <v>2368</v>
      </c>
      <c r="L172" s="10" t="s">
        <v>2107</v>
      </c>
    </row>
    <row r="173" ht="22.5" hidden="1" customHeight="1">
      <c r="A173" s="102">
        <v>45980.3558782176</v>
      </c>
      <c r="B173" s="103" t="s">
        <v>334</v>
      </c>
      <c r="C173" s="103" t="s">
        <v>1145</v>
      </c>
      <c r="D173" s="103" t="s">
        <v>1146</v>
      </c>
      <c r="G173" s="145">
        <v>45980.0</v>
      </c>
      <c r="H173" s="103" t="s">
        <v>2097</v>
      </c>
      <c r="I173" s="103" t="s">
        <v>2369</v>
      </c>
      <c r="L173" s="10" t="s">
        <v>2100</v>
      </c>
    </row>
    <row r="174" ht="22.5" hidden="1" customHeight="1">
      <c r="A174" s="102">
        <v>45980.475107210645</v>
      </c>
      <c r="B174" s="103" t="s">
        <v>313</v>
      </c>
      <c r="C174" s="103" t="s">
        <v>2329</v>
      </c>
      <c r="D174" s="103" t="s">
        <v>2330</v>
      </c>
      <c r="G174" s="145">
        <v>45980.0</v>
      </c>
      <c r="H174" s="103" t="s">
        <v>2097</v>
      </c>
      <c r="I174" s="103" t="s">
        <v>2370</v>
      </c>
      <c r="L174" s="10" t="s">
        <v>2100</v>
      </c>
    </row>
    <row r="175" ht="22.5" hidden="1" customHeight="1">
      <c r="A175" s="102">
        <v>45980.47755034722</v>
      </c>
      <c r="B175" s="103" t="s">
        <v>22</v>
      </c>
      <c r="C175" s="103" t="s">
        <v>596</v>
      </c>
      <c r="D175" s="103" t="s">
        <v>597</v>
      </c>
      <c r="G175" s="145">
        <v>45980.0</v>
      </c>
      <c r="H175" s="103" t="s">
        <v>2109</v>
      </c>
      <c r="I175" s="103" t="s">
        <v>2371</v>
      </c>
      <c r="L175" s="10" t="s">
        <v>2100</v>
      </c>
    </row>
    <row r="176" ht="22.5" hidden="1" customHeight="1">
      <c r="A176" s="102">
        <v>45980.51106081018</v>
      </c>
      <c r="B176" s="103" t="s">
        <v>272</v>
      </c>
      <c r="C176" s="103" t="s">
        <v>671</v>
      </c>
      <c r="D176" s="103" t="s">
        <v>509</v>
      </c>
      <c r="G176" s="145">
        <v>45980.0</v>
      </c>
      <c r="H176" s="103" t="s">
        <v>2097</v>
      </c>
      <c r="I176" s="103" t="s">
        <v>2372</v>
      </c>
      <c r="L176" s="10" t="s">
        <v>2100</v>
      </c>
    </row>
    <row r="177" ht="22.5" hidden="1" customHeight="1">
      <c r="A177" s="102">
        <v>45980.53502517361</v>
      </c>
      <c r="B177" s="103" t="s">
        <v>257</v>
      </c>
      <c r="C177" s="103" t="s">
        <v>856</v>
      </c>
      <c r="D177" s="103" t="s">
        <v>558</v>
      </c>
      <c r="G177" s="145">
        <v>45980.0</v>
      </c>
      <c r="H177" s="103" t="s">
        <v>2109</v>
      </c>
      <c r="I177" s="103" t="s">
        <v>2373</v>
      </c>
      <c r="L177" s="10" t="s">
        <v>2100</v>
      </c>
    </row>
    <row r="178" ht="22.5" hidden="1" customHeight="1">
      <c r="A178" s="102">
        <v>45980.55894173611</v>
      </c>
      <c r="B178" s="103" t="s">
        <v>143</v>
      </c>
      <c r="C178" s="103" t="s">
        <v>1835</v>
      </c>
      <c r="D178" s="103" t="s">
        <v>1836</v>
      </c>
      <c r="G178" s="145">
        <v>45980.0</v>
      </c>
      <c r="H178" s="103" t="s">
        <v>2097</v>
      </c>
      <c r="I178" s="103" t="s">
        <v>2374</v>
      </c>
      <c r="L178" s="10" t="s">
        <v>2100</v>
      </c>
    </row>
    <row r="179" ht="22.5" hidden="1" customHeight="1">
      <c r="A179" s="102">
        <v>45980.56868023148</v>
      </c>
      <c r="B179" s="103" t="s">
        <v>372</v>
      </c>
      <c r="C179" s="103" t="s">
        <v>486</v>
      </c>
      <c r="D179" s="103" t="s">
        <v>487</v>
      </c>
      <c r="G179" s="145">
        <v>45980.0</v>
      </c>
      <c r="H179" s="103" t="s">
        <v>2109</v>
      </c>
      <c r="I179" s="103" t="s">
        <v>2375</v>
      </c>
      <c r="L179" s="10" t="s">
        <v>2100</v>
      </c>
    </row>
    <row r="180" ht="22.5" hidden="1" customHeight="1">
      <c r="A180" s="102">
        <v>45980.612263703704</v>
      </c>
      <c r="B180" s="103" t="s">
        <v>348</v>
      </c>
      <c r="C180" s="103" t="s">
        <v>1505</v>
      </c>
      <c r="D180" s="103" t="s">
        <v>487</v>
      </c>
      <c r="G180" s="145">
        <v>45980.0</v>
      </c>
      <c r="H180" s="103" t="s">
        <v>2097</v>
      </c>
      <c r="I180" s="103" t="s">
        <v>2376</v>
      </c>
      <c r="L180" s="75"/>
    </row>
    <row r="181" ht="22.5" hidden="1" customHeight="1">
      <c r="A181" s="102">
        <v>45980.630163078706</v>
      </c>
      <c r="B181" s="103" t="s">
        <v>365</v>
      </c>
      <c r="C181" s="103" t="s">
        <v>653</v>
      </c>
      <c r="D181" s="103" t="s">
        <v>654</v>
      </c>
      <c r="G181" s="145">
        <v>45980.0</v>
      </c>
      <c r="H181" s="103" t="s">
        <v>2097</v>
      </c>
      <c r="I181" s="103" t="s">
        <v>2377</v>
      </c>
      <c r="L181" s="10" t="s">
        <v>2100</v>
      </c>
    </row>
    <row r="182" ht="22.5" hidden="1" customHeight="1">
      <c r="A182" s="102">
        <v>45980.73291158565</v>
      </c>
      <c r="B182" s="103" t="s">
        <v>311</v>
      </c>
      <c r="C182" s="103" t="s">
        <v>851</v>
      </c>
      <c r="D182" s="103" t="s">
        <v>852</v>
      </c>
      <c r="G182" s="145">
        <v>45980.0</v>
      </c>
      <c r="H182" s="103" t="s">
        <v>2109</v>
      </c>
      <c r="I182" s="103" t="s">
        <v>2378</v>
      </c>
      <c r="L182" s="10" t="s">
        <v>2100</v>
      </c>
    </row>
    <row r="183" ht="22.5" hidden="1" customHeight="1">
      <c r="A183" s="102">
        <v>45992.841267118056</v>
      </c>
      <c r="B183" s="103" t="s">
        <v>404</v>
      </c>
      <c r="C183" s="103" t="s">
        <v>583</v>
      </c>
      <c r="D183" s="103" t="s">
        <v>584</v>
      </c>
      <c r="G183" s="145">
        <v>45994.0</v>
      </c>
      <c r="H183" s="103" t="s">
        <v>2102</v>
      </c>
      <c r="I183" s="103" t="s">
        <v>2379</v>
      </c>
      <c r="J183" s="103" t="s">
        <v>2380</v>
      </c>
      <c r="L183" s="10" t="s">
        <v>2100</v>
      </c>
    </row>
    <row r="184" ht="22.5" hidden="1" customHeight="1">
      <c r="A184" s="102">
        <v>45992.84390543982</v>
      </c>
      <c r="B184" s="103" t="s">
        <v>402</v>
      </c>
      <c r="C184" s="103" t="s">
        <v>834</v>
      </c>
      <c r="D184" s="103" t="s">
        <v>835</v>
      </c>
      <c r="G184" s="145">
        <v>45994.0</v>
      </c>
      <c r="H184" s="103" t="s">
        <v>2102</v>
      </c>
      <c r="I184" s="103" t="s">
        <v>2381</v>
      </c>
      <c r="J184" s="103" t="s">
        <v>2382</v>
      </c>
      <c r="L184" s="10" t="s">
        <v>2100</v>
      </c>
    </row>
    <row r="185" ht="22.5" hidden="1" customHeight="1">
      <c r="A185" s="102">
        <v>45994.382151412035</v>
      </c>
      <c r="B185" s="103" t="s">
        <v>160</v>
      </c>
      <c r="C185" s="103" t="s">
        <v>631</v>
      </c>
      <c r="D185" s="103" t="s">
        <v>870</v>
      </c>
      <c r="G185" s="145">
        <v>45994.0</v>
      </c>
      <c r="H185" s="103" t="s">
        <v>2102</v>
      </c>
      <c r="I185" s="103" t="s">
        <v>2383</v>
      </c>
      <c r="L185" s="10" t="s">
        <v>2100</v>
      </c>
    </row>
    <row r="186" ht="22.5" hidden="1" customHeight="1">
      <c r="A186" s="102">
        <v>45994.53956096065</v>
      </c>
      <c r="B186" s="103" t="s">
        <v>278</v>
      </c>
      <c r="C186" s="103" t="s">
        <v>622</v>
      </c>
      <c r="D186" s="103" t="s">
        <v>623</v>
      </c>
      <c r="G186" s="145">
        <v>45994.0</v>
      </c>
      <c r="H186" s="103" t="s">
        <v>2102</v>
      </c>
      <c r="I186" s="103" t="s">
        <v>2384</v>
      </c>
      <c r="L186" s="10" t="s">
        <v>2107</v>
      </c>
    </row>
    <row r="187" ht="22.5" hidden="1" customHeight="1">
      <c r="A187" s="102">
        <v>45994.5405558912</v>
      </c>
      <c r="B187" s="103" t="s">
        <v>182</v>
      </c>
      <c r="C187" s="103" t="s">
        <v>1203</v>
      </c>
      <c r="D187" s="103" t="s">
        <v>1330</v>
      </c>
      <c r="G187" s="145">
        <v>45994.0</v>
      </c>
      <c r="H187" s="103" t="s">
        <v>2102</v>
      </c>
      <c r="I187" s="103" t="s">
        <v>2385</v>
      </c>
      <c r="L187" s="10" t="s">
        <v>2100</v>
      </c>
    </row>
    <row r="188" ht="22.5" hidden="1" customHeight="1">
      <c r="A188" s="102">
        <v>45994.540636377315</v>
      </c>
      <c r="B188" s="103" t="s">
        <v>115</v>
      </c>
      <c r="C188" s="103" t="s">
        <v>2386</v>
      </c>
      <c r="D188" s="103" t="s">
        <v>490</v>
      </c>
      <c r="G188" s="145">
        <v>45994.0</v>
      </c>
      <c r="H188" s="103" t="s">
        <v>2097</v>
      </c>
      <c r="I188" s="103" t="s">
        <v>2387</v>
      </c>
      <c r="J188" s="103" t="s">
        <v>2388</v>
      </c>
      <c r="L188" s="10" t="s">
        <v>2100</v>
      </c>
    </row>
    <row r="189" ht="22.5" hidden="1" customHeight="1">
      <c r="A189" s="102">
        <v>45994.5433916551</v>
      </c>
      <c r="B189" s="103" t="s">
        <v>363</v>
      </c>
      <c r="C189" s="103" t="s">
        <v>1242</v>
      </c>
      <c r="D189" s="103" t="s">
        <v>2146</v>
      </c>
      <c r="G189" s="145">
        <v>45994.0</v>
      </c>
      <c r="H189" s="103" t="s">
        <v>2097</v>
      </c>
      <c r="I189" s="103" t="s">
        <v>2389</v>
      </c>
      <c r="J189" s="103" t="s">
        <v>2148</v>
      </c>
      <c r="L189" s="10" t="s">
        <v>2107</v>
      </c>
    </row>
    <row r="190" ht="22.5" hidden="1" customHeight="1">
      <c r="A190" s="102">
        <v>45994.54481854167</v>
      </c>
      <c r="B190" s="103" t="s">
        <v>306</v>
      </c>
      <c r="C190" s="103" t="s">
        <v>994</v>
      </c>
      <c r="D190" s="103" t="s">
        <v>748</v>
      </c>
      <c r="G190" s="145">
        <v>45994.0</v>
      </c>
      <c r="H190" s="103" t="s">
        <v>2109</v>
      </c>
      <c r="I190" s="103" t="s">
        <v>2390</v>
      </c>
      <c r="J190" s="103" t="s">
        <v>2391</v>
      </c>
      <c r="L190" s="10" t="s">
        <v>2100</v>
      </c>
    </row>
    <row r="191" ht="22.5" hidden="1" customHeight="1">
      <c r="A191" s="102">
        <v>45994.54669578704</v>
      </c>
      <c r="B191" s="103" t="s">
        <v>70</v>
      </c>
      <c r="C191" s="103" t="s">
        <v>725</v>
      </c>
      <c r="D191" s="103" t="s">
        <v>726</v>
      </c>
      <c r="G191" s="145">
        <v>45994.0</v>
      </c>
      <c r="H191" s="103" t="s">
        <v>2097</v>
      </c>
      <c r="I191" s="103" t="s">
        <v>2392</v>
      </c>
      <c r="J191" s="103" t="s">
        <v>2393</v>
      </c>
      <c r="L191" s="10" t="s">
        <v>2107</v>
      </c>
    </row>
    <row r="192" ht="22.5" hidden="1" customHeight="1">
      <c r="A192" s="102">
        <v>45994.61618480324</v>
      </c>
      <c r="B192" s="103" t="s">
        <v>141</v>
      </c>
      <c r="C192" s="103" t="s">
        <v>1945</v>
      </c>
      <c r="D192" s="103" t="s">
        <v>804</v>
      </c>
      <c r="G192" s="145">
        <v>45994.0</v>
      </c>
      <c r="H192" s="103" t="s">
        <v>2102</v>
      </c>
      <c r="I192" s="103" t="s">
        <v>2394</v>
      </c>
      <c r="J192" s="103" t="s">
        <v>2395</v>
      </c>
      <c r="L192" s="10" t="s">
        <v>2100</v>
      </c>
    </row>
    <row r="193" ht="22.5" hidden="1" customHeight="1">
      <c r="A193" s="102">
        <v>45994.63341834491</v>
      </c>
      <c r="B193" s="103" t="s">
        <v>396</v>
      </c>
      <c r="C193" s="103" t="s">
        <v>593</v>
      </c>
      <c r="D193" s="103" t="s">
        <v>594</v>
      </c>
      <c r="G193" s="145">
        <v>45994.0</v>
      </c>
      <c r="H193" s="103" t="s">
        <v>2097</v>
      </c>
      <c r="I193" s="103" t="s">
        <v>2396</v>
      </c>
      <c r="L193" s="10" t="s">
        <v>2107</v>
      </c>
    </row>
    <row r="194" ht="22.5" hidden="1" customHeight="1">
      <c r="A194" s="102">
        <v>45994.695379745375</v>
      </c>
      <c r="B194" s="103" t="s">
        <v>382</v>
      </c>
      <c r="C194" s="103" t="s">
        <v>468</v>
      </c>
      <c r="D194" s="103" t="s">
        <v>469</v>
      </c>
      <c r="G194" s="145">
        <v>45994.0</v>
      </c>
      <c r="H194" s="103" t="s">
        <v>2097</v>
      </c>
      <c r="I194" s="103" t="s">
        <v>2397</v>
      </c>
      <c r="L194" s="10" t="s">
        <v>2100</v>
      </c>
    </row>
    <row r="195" ht="22.5" hidden="1" customHeight="1">
      <c r="A195" s="102">
        <v>45994.74487135417</v>
      </c>
      <c r="B195" s="103" t="s">
        <v>88</v>
      </c>
      <c r="C195" s="103" t="s">
        <v>843</v>
      </c>
      <c r="D195" s="103" t="s">
        <v>844</v>
      </c>
      <c r="G195" s="145">
        <v>45994.0</v>
      </c>
      <c r="H195" s="103" t="s">
        <v>2097</v>
      </c>
      <c r="I195" s="103" t="s">
        <v>2398</v>
      </c>
      <c r="J195" s="103" t="s">
        <v>2399</v>
      </c>
      <c r="L195" s="10" t="s">
        <v>2100</v>
      </c>
    </row>
    <row r="196" ht="22.5" hidden="1" customHeight="1">
      <c r="A196" s="102">
        <v>45996.661184502314</v>
      </c>
      <c r="B196" s="103" t="s">
        <v>126</v>
      </c>
      <c r="C196" s="103" t="s">
        <v>2400</v>
      </c>
      <c r="D196" s="103" t="s">
        <v>1266</v>
      </c>
      <c r="G196" s="145">
        <v>45994.0</v>
      </c>
      <c r="H196" s="103" t="s">
        <v>2109</v>
      </c>
      <c r="I196" s="103" t="s">
        <v>2401</v>
      </c>
      <c r="J196" s="103" t="s">
        <v>2402</v>
      </c>
      <c r="L196" s="10" t="s">
        <v>2100</v>
      </c>
    </row>
    <row r="197" ht="22.5" hidden="1" customHeight="1">
      <c r="A197" s="102">
        <v>45999.63830859953</v>
      </c>
      <c r="B197" s="103" t="s">
        <v>367</v>
      </c>
      <c r="C197" s="103" t="s">
        <v>757</v>
      </c>
      <c r="D197" s="103" t="s">
        <v>758</v>
      </c>
      <c r="G197" s="145">
        <v>46001.0</v>
      </c>
      <c r="H197" s="103" t="s">
        <v>2109</v>
      </c>
      <c r="I197" s="103" t="s">
        <v>2403</v>
      </c>
      <c r="J197" s="103" t="s">
        <v>2404</v>
      </c>
      <c r="L197" s="10" t="s">
        <v>2100</v>
      </c>
    </row>
    <row r="198" ht="22.5" hidden="1" customHeight="1">
      <c r="A198" s="102">
        <v>45999.64600641203</v>
      </c>
      <c r="B198" s="103" t="s">
        <v>18</v>
      </c>
      <c r="C198" s="103" t="s">
        <v>811</v>
      </c>
      <c r="D198" s="103" t="s">
        <v>812</v>
      </c>
      <c r="G198" s="145">
        <v>46001.0</v>
      </c>
      <c r="H198" s="103" t="s">
        <v>2097</v>
      </c>
      <c r="I198" s="103" t="s">
        <v>2405</v>
      </c>
      <c r="L198" s="10" t="s">
        <v>2107</v>
      </c>
    </row>
    <row r="199" ht="22.5" hidden="1" customHeight="1">
      <c r="A199" s="102">
        <v>46000.80737405093</v>
      </c>
      <c r="B199" s="103" t="s">
        <v>20</v>
      </c>
      <c r="C199" s="103" t="s">
        <v>754</v>
      </c>
      <c r="D199" s="103" t="s">
        <v>755</v>
      </c>
      <c r="G199" s="145">
        <v>46001.0</v>
      </c>
      <c r="H199" s="103" t="s">
        <v>2102</v>
      </c>
      <c r="I199" s="103" t="s">
        <v>2406</v>
      </c>
      <c r="J199" s="103" t="s">
        <v>2407</v>
      </c>
      <c r="L199" s="75"/>
    </row>
    <row r="200" ht="22.5" hidden="1" customHeight="1">
      <c r="A200" s="102">
        <v>46001.29297972222</v>
      </c>
      <c r="B200" s="103" t="s">
        <v>104</v>
      </c>
      <c r="C200" s="103" t="s">
        <v>522</v>
      </c>
      <c r="D200" s="103" t="s">
        <v>523</v>
      </c>
      <c r="G200" s="145">
        <v>46001.0</v>
      </c>
      <c r="H200" s="103" t="s">
        <v>2097</v>
      </c>
      <c r="I200" s="103" t="s">
        <v>2408</v>
      </c>
      <c r="J200" s="103" t="s">
        <v>2409</v>
      </c>
      <c r="L200" s="10" t="s">
        <v>2100</v>
      </c>
    </row>
    <row r="201" ht="22.5" hidden="1" customHeight="1">
      <c r="A201" s="102">
        <v>46001.48848984954</v>
      </c>
      <c r="B201" s="103" t="s">
        <v>406</v>
      </c>
      <c r="C201" s="103" t="s">
        <v>650</v>
      </c>
      <c r="D201" s="103" t="s">
        <v>651</v>
      </c>
      <c r="G201" s="145">
        <v>46001.0</v>
      </c>
      <c r="H201" s="103" t="s">
        <v>2102</v>
      </c>
      <c r="I201" s="103" t="s">
        <v>2410</v>
      </c>
      <c r="L201" s="75"/>
    </row>
    <row r="202" ht="22.5" hidden="1" customHeight="1">
      <c r="A202" s="102">
        <v>46001.53544467593</v>
      </c>
      <c r="B202" s="103" t="s">
        <v>341</v>
      </c>
      <c r="C202" s="103" t="s">
        <v>1199</v>
      </c>
      <c r="D202" s="103" t="s">
        <v>1048</v>
      </c>
      <c r="G202" s="145">
        <v>46001.0</v>
      </c>
      <c r="H202" s="103" t="s">
        <v>2109</v>
      </c>
      <c r="I202" s="103" t="s">
        <v>2411</v>
      </c>
      <c r="L202" s="10" t="s">
        <v>2100</v>
      </c>
    </row>
    <row r="203" ht="22.5" hidden="1" customHeight="1">
      <c r="A203" s="102">
        <v>46001.542362569446</v>
      </c>
      <c r="B203" s="103" t="s">
        <v>348</v>
      </c>
      <c r="C203" s="103" t="s">
        <v>1505</v>
      </c>
      <c r="D203" s="103" t="s">
        <v>487</v>
      </c>
      <c r="G203" s="145">
        <v>46001.0</v>
      </c>
      <c r="H203" s="103" t="s">
        <v>2097</v>
      </c>
      <c r="I203" s="103" t="s">
        <v>2412</v>
      </c>
      <c r="L203" s="10" t="s">
        <v>2100</v>
      </c>
    </row>
    <row r="204" ht="22.5" hidden="1" customHeight="1">
      <c r="A204" s="102">
        <v>46001.546036342595</v>
      </c>
      <c r="B204" s="103" t="s">
        <v>391</v>
      </c>
      <c r="C204" s="103" t="s">
        <v>472</v>
      </c>
      <c r="D204" s="103" t="s">
        <v>473</v>
      </c>
      <c r="G204" s="145">
        <v>46001.0</v>
      </c>
      <c r="H204" s="103" t="s">
        <v>2097</v>
      </c>
      <c r="I204" s="103" t="s">
        <v>2413</v>
      </c>
      <c r="J204" s="103" t="s">
        <v>2414</v>
      </c>
      <c r="L204" s="10" t="s">
        <v>2100</v>
      </c>
    </row>
    <row r="205" ht="22.5" hidden="1" customHeight="1">
      <c r="A205" s="102">
        <v>46001.66846046296</v>
      </c>
      <c r="B205" s="103" t="s">
        <v>121</v>
      </c>
      <c r="C205" s="103" t="s">
        <v>940</v>
      </c>
      <c r="D205" s="103" t="s">
        <v>458</v>
      </c>
      <c r="G205" s="145">
        <v>46001.0</v>
      </c>
      <c r="H205" s="103" t="s">
        <v>2097</v>
      </c>
      <c r="I205" s="103" t="s">
        <v>2415</v>
      </c>
      <c r="L205" s="10" t="s">
        <v>2107</v>
      </c>
    </row>
    <row r="206" ht="22.5" hidden="1" customHeight="1">
      <c r="A206" s="102">
        <v>46002.42455819444</v>
      </c>
      <c r="B206" s="103" t="s">
        <v>147</v>
      </c>
      <c r="C206" s="103" t="s">
        <v>780</v>
      </c>
      <c r="D206" s="103" t="s">
        <v>781</v>
      </c>
      <c r="G206" s="145">
        <v>46001.0</v>
      </c>
      <c r="H206" s="103" t="s">
        <v>2109</v>
      </c>
      <c r="I206" s="103" t="s">
        <v>2416</v>
      </c>
      <c r="L206" s="10" t="s">
        <v>2100</v>
      </c>
    </row>
    <row r="207" ht="22.5" hidden="1" customHeight="1">
      <c r="A207" s="102">
        <v>46028.85577684028</v>
      </c>
      <c r="B207" s="103" t="s">
        <v>68</v>
      </c>
      <c r="C207" s="103" t="s">
        <v>825</v>
      </c>
      <c r="D207" s="103" t="s">
        <v>515</v>
      </c>
      <c r="G207" s="145">
        <v>46029.0</v>
      </c>
      <c r="H207" s="103" t="s">
        <v>2102</v>
      </c>
      <c r="I207" s="103" t="s">
        <v>2417</v>
      </c>
      <c r="L207" s="10" t="s">
        <v>2100</v>
      </c>
    </row>
    <row r="208" ht="22.5" hidden="1" customHeight="1">
      <c r="A208" s="102">
        <v>46028.92108515046</v>
      </c>
      <c r="B208" s="103" t="s">
        <v>296</v>
      </c>
      <c r="C208" s="103" t="s">
        <v>853</v>
      </c>
      <c r="D208" s="103" t="s">
        <v>854</v>
      </c>
      <c r="G208" s="145">
        <v>46029.0</v>
      </c>
      <c r="H208" s="103" t="s">
        <v>2109</v>
      </c>
      <c r="I208" s="103" t="s">
        <v>2418</v>
      </c>
      <c r="J208" s="103" t="s">
        <v>2419</v>
      </c>
      <c r="L208" s="10" t="s">
        <v>2100</v>
      </c>
    </row>
    <row r="209" ht="22.5" hidden="1" customHeight="1">
      <c r="A209" s="102">
        <v>46028.923916875</v>
      </c>
      <c r="B209" s="103" t="s">
        <v>261</v>
      </c>
      <c r="C209" s="103" t="s">
        <v>1210</v>
      </c>
      <c r="D209" s="103" t="s">
        <v>1211</v>
      </c>
      <c r="G209" s="145">
        <v>46029.0</v>
      </c>
      <c r="H209" s="103" t="s">
        <v>2097</v>
      </c>
      <c r="I209" s="103" t="s">
        <v>2420</v>
      </c>
      <c r="L209" s="10" t="s">
        <v>2100</v>
      </c>
    </row>
    <row r="210" ht="22.5" hidden="1" customHeight="1">
      <c r="A210" s="102">
        <v>46029.40789378472</v>
      </c>
      <c r="B210" s="103" t="s">
        <v>387</v>
      </c>
      <c r="C210" s="103" t="s">
        <v>665</v>
      </c>
      <c r="D210" s="103" t="s">
        <v>666</v>
      </c>
      <c r="G210" s="145">
        <v>46029.0</v>
      </c>
      <c r="H210" s="103" t="s">
        <v>2109</v>
      </c>
      <c r="I210" s="103" t="s">
        <v>2421</v>
      </c>
      <c r="J210" s="103" t="s">
        <v>2422</v>
      </c>
      <c r="L210" s="10" t="s">
        <v>2100</v>
      </c>
    </row>
    <row r="211" ht="22.5" hidden="1" customHeight="1">
      <c r="A211" s="102">
        <v>46029.40790130787</v>
      </c>
      <c r="B211" s="103" t="s">
        <v>389</v>
      </c>
      <c r="C211" s="103" t="s">
        <v>2423</v>
      </c>
      <c r="D211" s="103" t="s">
        <v>2424</v>
      </c>
      <c r="G211" s="145">
        <v>46029.0</v>
      </c>
      <c r="H211" s="103" t="s">
        <v>2109</v>
      </c>
      <c r="I211" s="103" t="s">
        <v>2425</v>
      </c>
      <c r="J211" s="103" t="s">
        <v>2426</v>
      </c>
      <c r="L211" s="10" t="s">
        <v>2100</v>
      </c>
    </row>
    <row r="212" ht="22.5" hidden="1" customHeight="1">
      <c r="A212" s="102">
        <v>46029.52037915509</v>
      </c>
      <c r="B212" s="103" t="s">
        <v>343</v>
      </c>
      <c r="C212" s="103" t="s">
        <v>1346</v>
      </c>
      <c r="D212" s="103" t="s">
        <v>632</v>
      </c>
      <c r="G212" s="145">
        <v>46029.0</v>
      </c>
      <c r="H212" s="103" t="s">
        <v>2109</v>
      </c>
      <c r="I212" s="103" t="s">
        <v>2427</v>
      </c>
      <c r="L212" s="10" t="s">
        <v>2100</v>
      </c>
    </row>
    <row r="213" ht="22.5" hidden="1" customHeight="1">
      <c r="A213" s="102">
        <v>46029.5510971412</v>
      </c>
      <c r="B213" s="103" t="s">
        <v>365</v>
      </c>
      <c r="C213" s="103" t="s">
        <v>653</v>
      </c>
      <c r="D213" s="103" t="s">
        <v>654</v>
      </c>
      <c r="G213" s="145">
        <v>46029.0</v>
      </c>
      <c r="H213" s="103" t="s">
        <v>2109</v>
      </c>
      <c r="I213" s="103" t="s">
        <v>2428</v>
      </c>
      <c r="L213" s="10" t="s">
        <v>2100</v>
      </c>
    </row>
    <row r="214" ht="22.5" hidden="1" customHeight="1">
      <c r="A214" s="102">
        <v>46029.58417458333</v>
      </c>
      <c r="B214" s="103" t="s">
        <v>75</v>
      </c>
      <c r="C214" s="103" t="s">
        <v>707</v>
      </c>
      <c r="D214" s="103" t="s">
        <v>689</v>
      </c>
      <c r="G214" s="145">
        <v>46029.0</v>
      </c>
      <c r="H214" s="103" t="s">
        <v>2109</v>
      </c>
      <c r="I214" s="103" t="s">
        <v>2429</v>
      </c>
      <c r="L214" s="10" t="s">
        <v>2100</v>
      </c>
    </row>
    <row r="215" ht="22.5" hidden="1" customHeight="1">
      <c r="A215" s="102">
        <v>46029.59205314815</v>
      </c>
      <c r="B215" s="103" t="s">
        <v>70</v>
      </c>
      <c r="C215" s="103" t="s">
        <v>725</v>
      </c>
      <c r="D215" s="103" t="s">
        <v>726</v>
      </c>
      <c r="G215" s="145">
        <v>46029.0</v>
      </c>
      <c r="H215" s="103" t="s">
        <v>2109</v>
      </c>
      <c r="I215" s="103" t="s">
        <v>2107</v>
      </c>
      <c r="J215" s="103" t="s">
        <v>2430</v>
      </c>
      <c r="L215" s="10" t="s">
        <v>2100</v>
      </c>
    </row>
    <row r="216" ht="22.5" hidden="1" customHeight="1">
      <c r="A216" s="102">
        <v>46029.617919895834</v>
      </c>
      <c r="B216" s="103" t="s">
        <v>169</v>
      </c>
      <c r="C216" s="103" t="s">
        <v>1722</v>
      </c>
      <c r="D216" s="103" t="s">
        <v>677</v>
      </c>
      <c r="G216" s="145">
        <v>46029.0</v>
      </c>
      <c r="H216" s="103" t="s">
        <v>2097</v>
      </c>
      <c r="I216" s="103" t="s">
        <v>2431</v>
      </c>
      <c r="L216" s="10" t="s">
        <v>2100</v>
      </c>
    </row>
    <row r="217" ht="22.5" hidden="1" customHeight="1">
      <c r="A217" s="102">
        <v>46029.656238842595</v>
      </c>
      <c r="B217" s="103" t="s">
        <v>35</v>
      </c>
      <c r="C217" s="103" t="s">
        <v>1356</v>
      </c>
      <c r="D217" s="103" t="s">
        <v>1067</v>
      </c>
      <c r="G217" s="145">
        <v>46029.0</v>
      </c>
      <c r="H217" s="103" t="s">
        <v>2097</v>
      </c>
      <c r="I217" s="103" t="s">
        <v>2432</v>
      </c>
      <c r="J217" s="103" t="s">
        <v>2433</v>
      </c>
      <c r="L217" s="10" t="s">
        <v>2100</v>
      </c>
    </row>
    <row r="218" ht="22.5" hidden="1" customHeight="1">
      <c r="A218" s="102">
        <v>46029.961326041666</v>
      </c>
      <c r="B218" s="103" t="s">
        <v>345</v>
      </c>
      <c r="C218" s="103" t="s">
        <v>492</v>
      </c>
      <c r="D218" s="103" t="s">
        <v>493</v>
      </c>
      <c r="G218" s="145">
        <v>46029.0</v>
      </c>
      <c r="H218" s="103" t="s">
        <v>2102</v>
      </c>
      <c r="I218" s="103" t="s">
        <v>2434</v>
      </c>
      <c r="L218" s="10" t="s">
        <v>2100</v>
      </c>
    </row>
    <row r="219" ht="22.5" hidden="1" customHeight="1">
      <c r="A219" s="102">
        <v>46036.39185637732</v>
      </c>
      <c r="B219" s="103" t="s">
        <v>27</v>
      </c>
      <c r="C219" s="103" t="s">
        <v>946</v>
      </c>
      <c r="D219" s="103" t="s">
        <v>947</v>
      </c>
      <c r="G219" s="145">
        <v>46036.0</v>
      </c>
      <c r="H219" s="103" t="s">
        <v>2109</v>
      </c>
      <c r="I219" s="103" t="s">
        <v>2435</v>
      </c>
      <c r="L219" s="10" t="s">
        <v>2100</v>
      </c>
    </row>
    <row r="220" ht="22.5" hidden="1" customHeight="1">
      <c r="A220" s="102">
        <v>46036.49967951389</v>
      </c>
      <c r="B220" s="103" t="s">
        <v>174</v>
      </c>
      <c r="C220" s="103" t="s">
        <v>2436</v>
      </c>
      <c r="D220" s="103" t="s">
        <v>638</v>
      </c>
      <c r="G220" s="145">
        <v>46036.0</v>
      </c>
      <c r="H220" s="103" t="s">
        <v>2097</v>
      </c>
      <c r="I220" s="103" t="s">
        <v>2437</v>
      </c>
      <c r="J220" s="103" t="s">
        <v>2438</v>
      </c>
      <c r="L220" s="10" t="s">
        <v>2107</v>
      </c>
    </row>
    <row r="221" ht="22.5" hidden="1" customHeight="1">
      <c r="A221" s="102">
        <v>46036.533683217596</v>
      </c>
      <c r="B221" s="103" t="s">
        <v>382</v>
      </c>
      <c r="C221" s="103" t="s">
        <v>1575</v>
      </c>
      <c r="D221" s="103" t="s">
        <v>469</v>
      </c>
      <c r="G221" s="145">
        <v>46036.0</v>
      </c>
      <c r="H221" s="103" t="s">
        <v>2109</v>
      </c>
      <c r="I221" s="103" t="s">
        <v>2439</v>
      </c>
      <c r="L221" s="10" t="s">
        <v>2107</v>
      </c>
    </row>
    <row r="222" ht="22.5" hidden="1" customHeight="1">
      <c r="A222" s="102">
        <v>46036.54843383102</v>
      </c>
      <c r="B222" s="103" t="s">
        <v>152</v>
      </c>
      <c r="C222" s="103" t="s">
        <v>768</v>
      </c>
      <c r="D222" s="103" t="s">
        <v>769</v>
      </c>
      <c r="G222" s="145">
        <v>46036.0</v>
      </c>
      <c r="H222" s="103" t="s">
        <v>2097</v>
      </c>
      <c r="I222" s="103" t="s">
        <v>2440</v>
      </c>
      <c r="J222" s="103" t="s">
        <v>2441</v>
      </c>
      <c r="L222" s="10" t="s">
        <v>2100</v>
      </c>
    </row>
    <row r="223" ht="22.5" hidden="1" customHeight="1">
      <c r="A223" s="102">
        <v>46036.58534251158</v>
      </c>
      <c r="B223" s="103" t="s">
        <v>160</v>
      </c>
      <c r="C223" s="103" t="s">
        <v>631</v>
      </c>
      <c r="D223" s="103" t="s">
        <v>870</v>
      </c>
      <c r="G223" s="145">
        <v>46036.0</v>
      </c>
      <c r="H223" s="103" t="s">
        <v>2102</v>
      </c>
      <c r="I223" s="103" t="s">
        <v>2442</v>
      </c>
      <c r="L223" s="10" t="s">
        <v>2100</v>
      </c>
    </row>
    <row r="224" ht="22.5" hidden="1" customHeight="1">
      <c r="A224" s="102">
        <v>46036.596781886576</v>
      </c>
      <c r="B224" s="103" t="s">
        <v>169</v>
      </c>
      <c r="C224" s="103" t="s">
        <v>676</v>
      </c>
      <c r="D224" s="103" t="s">
        <v>677</v>
      </c>
      <c r="G224" s="145">
        <v>46036.0</v>
      </c>
      <c r="H224" s="103" t="s">
        <v>2097</v>
      </c>
      <c r="I224" s="103" t="s">
        <v>2443</v>
      </c>
      <c r="L224" s="10" t="s">
        <v>2100</v>
      </c>
    </row>
    <row r="225" ht="22.5" hidden="1" customHeight="1">
      <c r="A225" s="102">
        <v>46036.60768149306</v>
      </c>
      <c r="B225" s="103" t="s">
        <v>363</v>
      </c>
      <c r="C225" s="103" t="s">
        <v>1242</v>
      </c>
      <c r="D225" s="103" t="s">
        <v>2146</v>
      </c>
      <c r="G225" s="145">
        <v>46036.0</v>
      </c>
      <c r="H225" s="103" t="s">
        <v>2097</v>
      </c>
      <c r="I225" s="103" t="s">
        <v>2444</v>
      </c>
      <c r="L225" s="10" t="s">
        <v>2107</v>
      </c>
    </row>
    <row r="226" ht="22.5" hidden="1" customHeight="1">
      <c r="A226" s="102">
        <v>46036.621882962965</v>
      </c>
      <c r="B226" s="103" t="s">
        <v>88</v>
      </c>
      <c r="C226" s="103" t="s">
        <v>843</v>
      </c>
      <c r="D226" s="103" t="s">
        <v>844</v>
      </c>
      <c r="G226" s="145">
        <v>46036.0</v>
      </c>
      <c r="H226" s="103" t="s">
        <v>2097</v>
      </c>
      <c r="I226" s="103" t="s">
        <v>2445</v>
      </c>
      <c r="L226" s="75"/>
    </row>
    <row r="227" ht="22.5" hidden="1" customHeight="1">
      <c r="A227" s="102">
        <v>46036.625312222226</v>
      </c>
      <c r="B227" s="103" t="s">
        <v>57</v>
      </c>
      <c r="C227" s="103" t="s">
        <v>553</v>
      </c>
      <c r="D227" s="103" t="s">
        <v>554</v>
      </c>
      <c r="G227" s="145">
        <v>46036.0</v>
      </c>
      <c r="H227" s="103" t="s">
        <v>2097</v>
      </c>
      <c r="I227" s="103" t="s">
        <v>2446</v>
      </c>
      <c r="L227" s="10" t="s">
        <v>2100</v>
      </c>
    </row>
    <row r="228" ht="22.5" hidden="1" customHeight="1">
      <c r="A228" s="102">
        <v>46036.64320668981</v>
      </c>
      <c r="B228" s="103" t="s">
        <v>283</v>
      </c>
      <c r="C228" s="103" t="s">
        <v>425</v>
      </c>
      <c r="D228" s="103" t="s">
        <v>426</v>
      </c>
      <c r="G228" s="145">
        <v>46036.0</v>
      </c>
      <c r="H228" s="103" t="s">
        <v>2097</v>
      </c>
      <c r="I228" s="103" t="s">
        <v>2447</v>
      </c>
      <c r="L228" s="10" t="s">
        <v>2100</v>
      </c>
    </row>
    <row r="229" ht="22.5" hidden="1" customHeight="1">
      <c r="A229" s="102">
        <v>46036.648991759255</v>
      </c>
      <c r="B229" s="103" t="s">
        <v>35</v>
      </c>
      <c r="C229" s="103" t="s">
        <v>1356</v>
      </c>
      <c r="D229" s="103" t="s">
        <v>1067</v>
      </c>
      <c r="G229" s="145">
        <v>46036.0</v>
      </c>
      <c r="H229" s="103" t="s">
        <v>2109</v>
      </c>
      <c r="I229" s="103" t="s">
        <v>2448</v>
      </c>
      <c r="L229" s="10" t="s">
        <v>2100</v>
      </c>
    </row>
    <row r="230" ht="22.5" hidden="1" customHeight="1">
      <c r="A230" s="102">
        <v>46043.31717681713</v>
      </c>
      <c r="B230" s="103" t="s">
        <v>298</v>
      </c>
      <c r="C230" s="103" t="s">
        <v>460</v>
      </c>
      <c r="D230" s="103" t="s">
        <v>461</v>
      </c>
      <c r="G230" s="145">
        <v>46043.0</v>
      </c>
      <c r="H230" s="103" t="s">
        <v>2109</v>
      </c>
      <c r="I230" s="103" t="s">
        <v>2449</v>
      </c>
      <c r="L230" s="10" t="s">
        <v>2100</v>
      </c>
    </row>
    <row r="231" ht="22.5" hidden="1" customHeight="1">
      <c r="A231" s="102">
        <v>46043.414224583335</v>
      </c>
      <c r="B231" s="103" t="s">
        <v>285</v>
      </c>
      <c r="C231" s="103" t="s">
        <v>790</v>
      </c>
      <c r="D231" s="103" t="s">
        <v>791</v>
      </c>
      <c r="G231" s="145">
        <v>46043.0</v>
      </c>
      <c r="H231" s="103" t="s">
        <v>2109</v>
      </c>
      <c r="I231" s="103" t="s">
        <v>2450</v>
      </c>
      <c r="J231" s="103" t="s">
        <v>2451</v>
      </c>
      <c r="L231" s="10" t="s">
        <v>2100</v>
      </c>
    </row>
    <row r="232" ht="22.5" hidden="1" customHeight="1">
      <c r="A232" s="102">
        <v>46043.4405375</v>
      </c>
      <c r="B232" s="103" t="s">
        <v>274</v>
      </c>
      <c r="C232" s="103" t="s">
        <v>602</v>
      </c>
      <c r="D232" s="103" t="s">
        <v>2452</v>
      </c>
      <c r="G232" s="145">
        <v>46043.0</v>
      </c>
      <c r="H232" s="103" t="s">
        <v>2109</v>
      </c>
      <c r="I232" s="103" t="s">
        <v>2220</v>
      </c>
      <c r="L232" s="10" t="s">
        <v>2100</v>
      </c>
    </row>
    <row r="233" ht="22.5" hidden="1" customHeight="1">
      <c r="A233" s="102">
        <v>46043.54543346065</v>
      </c>
      <c r="B233" s="103" t="s">
        <v>328</v>
      </c>
      <c r="C233" s="103" t="s">
        <v>826</v>
      </c>
      <c r="D233" s="103" t="s">
        <v>827</v>
      </c>
      <c r="G233" s="145">
        <v>46043.0</v>
      </c>
      <c r="H233" s="103" t="s">
        <v>2097</v>
      </c>
      <c r="I233" s="103" t="s">
        <v>2453</v>
      </c>
      <c r="J233" s="103" t="s">
        <v>2454</v>
      </c>
      <c r="L233" s="10" t="s">
        <v>2100</v>
      </c>
    </row>
    <row r="234" ht="22.5" hidden="1" customHeight="1">
      <c r="A234" s="102">
        <v>46043.55925784722</v>
      </c>
      <c r="B234" s="103" t="s">
        <v>204</v>
      </c>
      <c r="C234" s="103" t="s">
        <v>745</v>
      </c>
      <c r="D234" s="103" t="s">
        <v>689</v>
      </c>
      <c r="G234" s="145">
        <v>46043.0</v>
      </c>
      <c r="H234" s="103" t="s">
        <v>2109</v>
      </c>
      <c r="I234" s="103" t="s">
        <v>2455</v>
      </c>
      <c r="L234" s="10" t="s">
        <v>2100</v>
      </c>
    </row>
    <row r="235" ht="22.5" hidden="1" customHeight="1">
      <c r="A235" s="102">
        <v>46043.62301256944</v>
      </c>
      <c r="B235" s="103" t="s">
        <v>363</v>
      </c>
      <c r="C235" s="103" t="s">
        <v>1242</v>
      </c>
      <c r="D235" s="103" t="s">
        <v>2146</v>
      </c>
      <c r="G235" s="145">
        <v>46043.0</v>
      </c>
      <c r="H235" s="103" t="s">
        <v>2097</v>
      </c>
      <c r="I235" s="103" t="s">
        <v>2456</v>
      </c>
      <c r="J235" s="103" t="s">
        <v>2148</v>
      </c>
      <c r="L235" s="10" t="s">
        <v>2107</v>
      </c>
    </row>
    <row r="236" ht="22.5" hidden="1" customHeight="1">
      <c r="A236" s="102">
        <v>46043.63454375</v>
      </c>
      <c r="B236" s="103" t="s">
        <v>46</v>
      </c>
      <c r="C236" s="103" t="s">
        <v>797</v>
      </c>
      <c r="D236" s="103" t="s">
        <v>798</v>
      </c>
      <c r="G236" s="145">
        <v>46043.0</v>
      </c>
      <c r="H236" s="103" t="s">
        <v>2097</v>
      </c>
      <c r="I236" s="103" t="s">
        <v>2457</v>
      </c>
      <c r="L236" s="10" t="s">
        <v>2100</v>
      </c>
    </row>
    <row r="237" ht="22.5" hidden="1" customHeight="1">
      <c r="A237" s="102">
        <v>46043.659137106486</v>
      </c>
      <c r="B237" s="103" t="s">
        <v>132</v>
      </c>
      <c r="C237" s="103" t="s">
        <v>657</v>
      </c>
      <c r="D237" s="103" t="s">
        <v>660</v>
      </c>
      <c r="G237" s="145">
        <v>46043.0</v>
      </c>
      <c r="H237" s="103" t="s">
        <v>2097</v>
      </c>
      <c r="I237" s="103" t="s">
        <v>2458</v>
      </c>
      <c r="L237" s="10" t="s">
        <v>2100</v>
      </c>
    </row>
    <row r="238" ht="22.5" hidden="1" customHeight="1">
      <c r="A238" s="102">
        <v>46043.71678077546</v>
      </c>
      <c r="B238" s="103" t="s">
        <v>406</v>
      </c>
      <c r="C238" s="103" t="s">
        <v>650</v>
      </c>
      <c r="D238" s="103" t="s">
        <v>651</v>
      </c>
      <c r="G238" s="145">
        <v>46043.0</v>
      </c>
      <c r="H238" s="103" t="s">
        <v>2102</v>
      </c>
      <c r="I238" s="103" t="s">
        <v>2459</v>
      </c>
      <c r="L238" s="10" t="s">
        <v>2107</v>
      </c>
    </row>
    <row r="239" ht="22.5" hidden="1" customHeight="1">
      <c r="A239" s="102">
        <v>46043.727614247684</v>
      </c>
      <c r="B239" s="103" t="s">
        <v>365</v>
      </c>
      <c r="C239" s="103" t="s">
        <v>1174</v>
      </c>
      <c r="D239" s="103" t="s">
        <v>654</v>
      </c>
      <c r="G239" s="145">
        <v>46043.0</v>
      </c>
      <c r="H239" s="103" t="s">
        <v>2097</v>
      </c>
      <c r="I239" s="103" t="s">
        <v>2460</v>
      </c>
      <c r="L239" s="10" t="s">
        <v>2100</v>
      </c>
    </row>
    <row r="240" ht="22.5" customHeight="1">
      <c r="A240" s="102">
        <v>46049.89718918981</v>
      </c>
      <c r="B240" s="103" t="s">
        <v>272</v>
      </c>
      <c r="C240" s="103" t="s">
        <v>671</v>
      </c>
      <c r="D240" s="103" t="s">
        <v>509</v>
      </c>
      <c r="G240" s="145">
        <v>46050.0</v>
      </c>
      <c r="H240" s="103" t="s">
        <v>2109</v>
      </c>
      <c r="I240" s="103" t="s">
        <v>2461</v>
      </c>
      <c r="L240" s="10" t="s">
        <v>2100</v>
      </c>
    </row>
    <row r="241" ht="22.5" customHeight="1">
      <c r="A241" s="102">
        <v>46050.40222392361</v>
      </c>
      <c r="B241" s="103" t="s">
        <v>160</v>
      </c>
      <c r="C241" s="103" t="s">
        <v>631</v>
      </c>
      <c r="D241" s="103" t="s">
        <v>870</v>
      </c>
      <c r="G241" s="145">
        <v>46050.0</v>
      </c>
      <c r="H241" s="103" t="s">
        <v>2102</v>
      </c>
      <c r="I241" s="103" t="s">
        <v>2462</v>
      </c>
      <c r="L241" s="10" t="s">
        <v>2100</v>
      </c>
    </row>
    <row r="242" ht="22.5" customHeight="1">
      <c r="A242" s="102">
        <v>46050.444137280094</v>
      </c>
      <c r="B242" s="103" t="s">
        <v>40</v>
      </c>
      <c r="C242" s="103" t="s">
        <v>747</v>
      </c>
      <c r="D242" s="103" t="s">
        <v>748</v>
      </c>
      <c r="G242" s="145">
        <v>46050.0</v>
      </c>
      <c r="H242" s="103" t="s">
        <v>2109</v>
      </c>
      <c r="I242" s="103" t="s">
        <v>2463</v>
      </c>
      <c r="L242" s="10" t="s">
        <v>2100</v>
      </c>
    </row>
    <row r="243" ht="22.5" customHeight="1">
      <c r="A243" s="102">
        <v>46050.52791430555</v>
      </c>
      <c r="B243" s="103" t="s">
        <v>213</v>
      </c>
      <c r="C243" s="103" t="s">
        <v>728</v>
      </c>
      <c r="D243" s="103" t="s">
        <v>729</v>
      </c>
      <c r="G243" s="145">
        <v>46050.0</v>
      </c>
      <c r="H243" s="103" t="s">
        <v>2109</v>
      </c>
      <c r="I243" s="103" t="s">
        <v>2464</v>
      </c>
      <c r="L243" s="10" t="s">
        <v>2100</v>
      </c>
    </row>
    <row r="244" ht="22.5" customHeight="1">
      <c r="A244" s="102">
        <v>46050.54106034723</v>
      </c>
      <c r="B244" s="103" t="s">
        <v>189</v>
      </c>
      <c r="C244" s="103" t="s">
        <v>561</v>
      </c>
      <c r="D244" s="103" t="s">
        <v>431</v>
      </c>
      <c r="G244" s="145">
        <v>46050.0</v>
      </c>
      <c r="H244" s="103" t="s">
        <v>2102</v>
      </c>
      <c r="I244" s="103" t="s">
        <v>2465</v>
      </c>
      <c r="L244" s="10" t="s">
        <v>2100</v>
      </c>
    </row>
    <row r="245" ht="22.5" customHeight="1">
      <c r="A245" s="102">
        <v>46050.54342861111</v>
      </c>
      <c r="B245" s="103" t="s">
        <v>88</v>
      </c>
      <c r="C245" s="103" t="s">
        <v>843</v>
      </c>
      <c r="D245" s="103" t="s">
        <v>844</v>
      </c>
      <c r="G245" s="145">
        <v>46050.0</v>
      </c>
      <c r="H245" s="103" t="s">
        <v>2109</v>
      </c>
      <c r="I245" s="103" t="s">
        <v>2466</v>
      </c>
      <c r="L245" s="10" t="s">
        <v>2100</v>
      </c>
    </row>
    <row r="246" ht="22.5" customHeight="1">
      <c r="A246" s="102">
        <v>46050.61329930555</v>
      </c>
      <c r="B246" s="103" t="s">
        <v>352</v>
      </c>
      <c r="C246" s="103" t="s">
        <v>555</v>
      </c>
      <c r="D246" s="103" t="s">
        <v>556</v>
      </c>
      <c r="G246" s="145">
        <v>46050.0</v>
      </c>
      <c r="H246" s="103" t="s">
        <v>2097</v>
      </c>
      <c r="I246" s="103" t="s">
        <v>2467</v>
      </c>
      <c r="J246" s="103" t="s">
        <v>2468</v>
      </c>
      <c r="L246" s="10" t="s">
        <v>2100</v>
      </c>
    </row>
    <row r="247" ht="22.5" customHeight="1">
      <c r="A247" s="102">
        <v>46050.65937814815</v>
      </c>
      <c r="B247" s="103" t="s">
        <v>46</v>
      </c>
      <c r="C247" s="103" t="s">
        <v>797</v>
      </c>
      <c r="D247" s="103" t="s">
        <v>798</v>
      </c>
      <c r="G247" s="145" t="s">
        <v>2469</v>
      </c>
      <c r="H247" s="103" t="s">
        <v>2097</v>
      </c>
      <c r="I247" s="103" t="s">
        <v>2470</v>
      </c>
      <c r="L247" s="10" t="s">
        <v>2100</v>
      </c>
    </row>
    <row r="248" ht="22.5" customHeight="1">
      <c r="A248" s="102">
        <v>46050.69272314815</v>
      </c>
      <c r="B248" s="103" t="s">
        <v>311</v>
      </c>
      <c r="C248" s="103" t="s">
        <v>1040</v>
      </c>
      <c r="D248" s="103" t="s">
        <v>852</v>
      </c>
      <c r="G248" s="145">
        <v>46050.0</v>
      </c>
      <c r="H248" s="103" t="s">
        <v>2102</v>
      </c>
      <c r="I248" s="103" t="s">
        <v>2471</v>
      </c>
      <c r="L248" s="10" t="s">
        <v>2100</v>
      </c>
    </row>
    <row r="249" ht="22.5" customHeight="1">
      <c r="A249" s="102">
        <v>46050.69836609953</v>
      </c>
      <c r="B249" s="103" t="s">
        <v>382</v>
      </c>
      <c r="C249" s="103" t="s">
        <v>2472</v>
      </c>
      <c r="D249" s="103" t="s">
        <v>458</v>
      </c>
      <c r="G249" s="145">
        <v>46050.0</v>
      </c>
      <c r="H249" s="103" t="s">
        <v>2097</v>
      </c>
      <c r="I249" s="103" t="s">
        <v>2473</v>
      </c>
      <c r="L249" s="10" t="s">
        <v>2100</v>
      </c>
    </row>
    <row r="250" ht="22.5" hidden="1" customHeight="1">
      <c r="A250" s="102">
        <v>46056.36275601852</v>
      </c>
      <c r="B250" s="103" t="s">
        <v>22</v>
      </c>
      <c r="C250" s="103" t="s">
        <v>596</v>
      </c>
      <c r="D250" s="103" t="s">
        <v>597</v>
      </c>
      <c r="G250" s="145">
        <v>46057.0</v>
      </c>
      <c r="H250" s="103" t="s">
        <v>2097</v>
      </c>
      <c r="I250" s="103" t="s">
        <v>2474</v>
      </c>
      <c r="L250" s="10" t="s">
        <v>2100</v>
      </c>
    </row>
    <row r="251" ht="22.5" hidden="1" customHeight="1">
      <c r="A251" s="102">
        <v>46056.92590534722</v>
      </c>
      <c r="B251" s="103" t="s">
        <v>272</v>
      </c>
      <c r="C251" s="103" t="s">
        <v>1830</v>
      </c>
      <c r="D251" s="103" t="s">
        <v>509</v>
      </c>
      <c r="G251" s="145">
        <v>46057.0</v>
      </c>
      <c r="H251" s="103" t="s">
        <v>2102</v>
      </c>
      <c r="I251" s="103" t="s">
        <v>2475</v>
      </c>
      <c r="L251" s="10" t="s">
        <v>2100</v>
      </c>
    </row>
    <row r="252" ht="22.5" hidden="1" customHeight="1">
      <c r="A252" s="102">
        <v>46056.980384525465</v>
      </c>
      <c r="B252" s="103" t="s">
        <v>156</v>
      </c>
      <c r="C252" s="103" t="s">
        <v>528</v>
      </c>
      <c r="D252" s="103" t="s">
        <v>529</v>
      </c>
      <c r="G252" s="145">
        <v>46057.0</v>
      </c>
      <c r="H252" s="103" t="s">
        <v>2102</v>
      </c>
      <c r="I252" s="103" t="s">
        <v>2476</v>
      </c>
      <c r="L252" s="10" t="s">
        <v>2100</v>
      </c>
    </row>
    <row r="253" ht="22.5" hidden="1" customHeight="1">
      <c r="A253" s="102">
        <v>46057.43270986111</v>
      </c>
      <c r="B253" s="103" t="s">
        <v>287</v>
      </c>
      <c r="C253" s="103" t="s">
        <v>989</v>
      </c>
      <c r="D253" s="103" t="s">
        <v>466</v>
      </c>
      <c r="G253" s="145">
        <v>46057.0</v>
      </c>
      <c r="H253" s="103" t="s">
        <v>2109</v>
      </c>
      <c r="I253" s="103" t="s">
        <v>2428</v>
      </c>
      <c r="L253" s="10" t="s">
        <v>2100</v>
      </c>
    </row>
    <row r="254" ht="22.5" hidden="1" customHeight="1">
      <c r="A254" s="102">
        <v>46057.47782774306</v>
      </c>
      <c r="B254" s="103" t="s">
        <v>66</v>
      </c>
      <c r="C254" s="103" t="s">
        <v>668</v>
      </c>
      <c r="D254" s="103" t="s">
        <v>689</v>
      </c>
      <c r="G254" s="145">
        <v>46057.0</v>
      </c>
      <c r="H254" s="103" t="s">
        <v>2102</v>
      </c>
      <c r="I254" s="103" t="s">
        <v>2477</v>
      </c>
      <c r="L254" s="10" t="s">
        <v>2100</v>
      </c>
    </row>
    <row r="255" ht="22.5" hidden="1" customHeight="1">
      <c r="A255" s="102">
        <v>46057.53358188657</v>
      </c>
      <c r="B255" s="103" t="s">
        <v>345</v>
      </c>
      <c r="C255" s="103" t="s">
        <v>492</v>
      </c>
      <c r="D255" s="103" t="s">
        <v>2478</v>
      </c>
      <c r="G255" s="145">
        <v>46057.0</v>
      </c>
      <c r="H255" s="103" t="s">
        <v>2102</v>
      </c>
      <c r="I255" s="103" t="s">
        <v>2479</v>
      </c>
      <c r="L255" s="10" t="s">
        <v>2100</v>
      </c>
    </row>
    <row r="256" ht="22.5" hidden="1" customHeight="1">
      <c r="A256" s="102">
        <v>46057.550866770835</v>
      </c>
      <c r="B256" s="103" t="s">
        <v>244</v>
      </c>
      <c r="C256" s="103" t="s">
        <v>1160</v>
      </c>
      <c r="D256" s="103" t="s">
        <v>1161</v>
      </c>
      <c r="G256" s="145">
        <v>46057.0</v>
      </c>
      <c r="H256" s="103" t="s">
        <v>2109</v>
      </c>
      <c r="I256" s="103" t="s">
        <v>2480</v>
      </c>
      <c r="L256" s="10" t="s">
        <v>2100</v>
      </c>
    </row>
    <row r="257" ht="22.5" hidden="1" customHeight="1">
      <c r="A257" s="102">
        <v>46057.58299613426</v>
      </c>
      <c r="B257" s="103" t="s">
        <v>40</v>
      </c>
      <c r="C257" s="103" t="s">
        <v>747</v>
      </c>
      <c r="D257" s="103" t="s">
        <v>748</v>
      </c>
      <c r="G257" s="145">
        <v>46057.0</v>
      </c>
      <c r="H257" s="103" t="s">
        <v>2109</v>
      </c>
      <c r="I257" s="103" t="s">
        <v>2481</v>
      </c>
      <c r="L257" s="10" t="s">
        <v>2100</v>
      </c>
    </row>
    <row r="258" ht="22.5" hidden="1" customHeight="1">
      <c r="A258" s="102">
        <v>46057.61365783565</v>
      </c>
      <c r="B258" s="103" t="s">
        <v>55</v>
      </c>
      <c r="C258" s="103" t="s">
        <v>562</v>
      </c>
      <c r="D258" s="103" t="s">
        <v>983</v>
      </c>
      <c r="G258" s="145">
        <v>46057.0</v>
      </c>
      <c r="H258" s="103" t="s">
        <v>2097</v>
      </c>
      <c r="I258" s="103" t="s">
        <v>2482</v>
      </c>
      <c r="J258" s="103" t="s">
        <v>2483</v>
      </c>
      <c r="L258" s="10" t="s">
        <v>2100</v>
      </c>
    </row>
    <row r="259" ht="22.5" hidden="1" customHeight="1">
      <c r="A259" s="102">
        <v>46057.61484401621</v>
      </c>
      <c r="B259" s="103" t="s">
        <v>169</v>
      </c>
      <c r="C259" s="103" t="s">
        <v>676</v>
      </c>
      <c r="D259" s="103" t="s">
        <v>677</v>
      </c>
      <c r="G259" s="145">
        <v>46057.0</v>
      </c>
      <c r="H259" s="103" t="s">
        <v>2097</v>
      </c>
      <c r="I259" s="103" t="s">
        <v>2484</v>
      </c>
      <c r="J259" s="103" t="s">
        <v>2485</v>
      </c>
      <c r="L259" s="75"/>
    </row>
    <row r="260" ht="22.5" hidden="1" customHeight="1">
      <c r="A260" s="102">
        <v>46057.629458738425</v>
      </c>
      <c r="B260" s="103" t="s">
        <v>64</v>
      </c>
      <c r="C260" s="103" t="s">
        <v>1089</v>
      </c>
      <c r="D260" s="103" t="s">
        <v>1090</v>
      </c>
      <c r="G260" s="145">
        <v>46057.0</v>
      </c>
      <c r="H260" s="103" t="s">
        <v>2109</v>
      </c>
      <c r="I260" s="103" t="s">
        <v>2486</v>
      </c>
      <c r="L260" s="10" t="s">
        <v>2100</v>
      </c>
    </row>
    <row r="261" ht="22.5" hidden="1" customHeight="1">
      <c r="A261" s="102">
        <v>46057.637013831016</v>
      </c>
      <c r="B261" s="103" t="s">
        <v>163</v>
      </c>
      <c r="C261" s="103" t="s">
        <v>425</v>
      </c>
      <c r="D261" s="103" t="s">
        <v>895</v>
      </c>
      <c r="G261" s="145">
        <v>46057.0</v>
      </c>
      <c r="H261" s="103" t="s">
        <v>2097</v>
      </c>
      <c r="I261" s="103" t="s">
        <v>2487</v>
      </c>
      <c r="J261" s="103" t="s">
        <v>2488</v>
      </c>
      <c r="L261" s="10" t="s">
        <v>2100</v>
      </c>
    </row>
    <row r="262" ht="22.5" hidden="1" customHeight="1">
      <c r="A262" s="102">
        <v>46057.68386160879</v>
      </c>
      <c r="B262" s="103" t="s">
        <v>165</v>
      </c>
      <c r="C262" s="103" t="s">
        <v>847</v>
      </c>
      <c r="D262" s="103" t="s">
        <v>848</v>
      </c>
      <c r="G262" s="145">
        <v>46057.0</v>
      </c>
      <c r="H262" s="103" t="s">
        <v>2097</v>
      </c>
      <c r="I262" s="103" t="s">
        <v>2489</v>
      </c>
      <c r="L262" s="10" t="s">
        <v>2100</v>
      </c>
    </row>
    <row r="263" ht="22.5" customHeight="1">
      <c r="A263" s="102">
        <v>46063.8300799537</v>
      </c>
      <c r="B263" s="103" t="s">
        <v>171</v>
      </c>
      <c r="C263" s="103" t="s">
        <v>609</v>
      </c>
      <c r="D263" s="103" t="s">
        <v>610</v>
      </c>
      <c r="G263" s="145">
        <v>46064.0</v>
      </c>
      <c r="H263" s="103" t="s">
        <v>2097</v>
      </c>
      <c r="I263" s="103" t="s">
        <v>2490</v>
      </c>
      <c r="L263" s="75"/>
    </row>
    <row r="264" ht="22.5" customHeight="1">
      <c r="A264" s="102">
        <v>46064.310656076384</v>
      </c>
      <c r="B264" s="103" t="s">
        <v>350</v>
      </c>
      <c r="C264" s="103" t="s">
        <v>807</v>
      </c>
      <c r="D264" s="103" t="s">
        <v>808</v>
      </c>
      <c r="G264" s="145">
        <v>46064.0</v>
      </c>
      <c r="H264" s="103" t="s">
        <v>2109</v>
      </c>
      <c r="I264" s="103" t="s">
        <v>2491</v>
      </c>
      <c r="L264" s="75"/>
    </row>
    <row r="265" ht="22.5" customHeight="1">
      <c r="A265" s="102">
        <v>46064.320241354166</v>
      </c>
      <c r="B265" s="103" t="s">
        <v>27</v>
      </c>
      <c r="C265" s="103" t="s">
        <v>1098</v>
      </c>
      <c r="D265" s="103" t="s">
        <v>947</v>
      </c>
      <c r="G265" s="145">
        <v>46064.0</v>
      </c>
      <c r="H265" s="103" t="s">
        <v>2109</v>
      </c>
      <c r="I265" s="103" t="s">
        <v>2492</v>
      </c>
      <c r="L265" s="75"/>
    </row>
    <row r="266" ht="22.5" customHeight="1">
      <c r="A266" s="102">
        <v>46064.44031532407</v>
      </c>
      <c r="B266" s="103" t="s">
        <v>304</v>
      </c>
      <c r="C266" s="103" t="s">
        <v>814</v>
      </c>
      <c r="D266" s="103" t="s">
        <v>1468</v>
      </c>
      <c r="G266" s="145">
        <v>46064.0</v>
      </c>
      <c r="H266" s="103" t="s">
        <v>2109</v>
      </c>
      <c r="I266" s="103" t="s">
        <v>2493</v>
      </c>
      <c r="J266" s="103" t="s">
        <v>2494</v>
      </c>
      <c r="L266" s="75"/>
    </row>
    <row r="267" ht="22.5" customHeight="1">
      <c r="A267" s="102">
        <v>46064.48728378472</v>
      </c>
      <c r="B267" s="103" t="s">
        <v>365</v>
      </c>
      <c r="C267" s="103" t="s">
        <v>653</v>
      </c>
      <c r="D267" s="103" t="s">
        <v>654</v>
      </c>
      <c r="G267" s="145">
        <v>46064.0</v>
      </c>
      <c r="H267" s="103" t="s">
        <v>2109</v>
      </c>
      <c r="I267" s="103" t="s">
        <v>2495</v>
      </c>
      <c r="L267" s="75"/>
    </row>
    <row r="268" ht="22.5" customHeight="1">
      <c r="A268" s="102">
        <v>46064.536834212966</v>
      </c>
      <c r="B268" s="103" t="s">
        <v>313</v>
      </c>
      <c r="C268" s="103" t="s">
        <v>2329</v>
      </c>
      <c r="D268" s="103" t="s">
        <v>2064</v>
      </c>
      <c r="G268" s="145">
        <v>46064.0</v>
      </c>
      <c r="H268" s="103" t="s">
        <v>2109</v>
      </c>
      <c r="I268" s="103" t="s">
        <v>2496</v>
      </c>
      <c r="L268" s="75"/>
    </row>
    <row r="269" ht="22.5" customHeight="1">
      <c r="A269" s="102">
        <v>46064.54176208333</v>
      </c>
      <c r="B269" s="103" t="s">
        <v>315</v>
      </c>
      <c r="C269" s="103" t="s">
        <v>1960</v>
      </c>
      <c r="D269" s="103" t="s">
        <v>1961</v>
      </c>
      <c r="G269" s="145">
        <v>46064.0</v>
      </c>
      <c r="H269" s="103" t="s">
        <v>2097</v>
      </c>
      <c r="I269" s="103" t="s">
        <v>2497</v>
      </c>
      <c r="L269" s="75"/>
    </row>
    <row r="270" ht="22.5" customHeight="1">
      <c r="A270" s="102">
        <v>46064.611427083335</v>
      </c>
      <c r="B270" s="103" t="s">
        <v>341</v>
      </c>
      <c r="C270" s="103" t="s">
        <v>1199</v>
      </c>
      <c r="D270" s="103" t="s">
        <v>1048</v>
      </c>
      <c r="G270" s="145">
        <v>46064.0</v>
      </c>
      <c r="H270" s="103" t="s">
        <v>2097</v>
      </c>
      <c r="I270" s="103" t="s">
        <v>2498</v>
      </c>
      <c r="L270" s="75"/>
    </row>
    <row r="271" ht="22.5" customHeight="1">
      <c r="A271" s="102">
        <v>46064.611662337964</v>
      </c>
      <c r="B271" s="103" t="s">
        <v>40</v>
      </c>
      <c r="C271" s="103" t="s">
        <v>747</v>
      </c>
      <c r="D271" s="103" t="s">
        <v>748</v>
      </c>
      <c r="G271" s="145">
        <v>46064.0</v>
      </c>
      <c r="H271" s="103" t="s">
        <v>2097</v>
      </c>
      <c r="I271" s="103" t="s">
        <v>2499</v>
      </c>
      <c r="L271" s="75"/>
    </row>
    <row r="272" ht="22.5" customHeight="1">
      <c r="A272" s="102">
        <v>46064.630320717595</v>
      </c>
      <c r="B272" s="103" t="s">
        <v>88</v>
      </c>
      <c r="C272" s="103" t="s">
        <v>843</v>
      </c>
      <c r="D272" s="103" t="s">
        <v>844</v>
      </c>
      <c r="G272" s="145">
        <v>46064.0</v>
      </c>
      <c r="H272" s="103" t="s">
        <v>2109</v>
      </c>
      <c r="I272" s="103" t="s">
        <v>2500</v>
      </c>
      <c r="L272" s="75"/>
    </row>
    <row r="273" ht="22.5" customHeight="1">
      <c r="A273" s="102">
        <v>46064.63507290509</v>
      </c>
      <c r="B273" s="103" t="s">
        <v>48</v>
      </c>
      <c r="C273" s="103" t="s">
        <v>832</v>
      </c>
      <c r="D273" s="103" t="s">
        <v>833</v>
      </c>
      <c r="G273" s="145">
        <v>46064.0</v>
      </c>
      <c r="H273" s="103" t="s">
        <v>2097</v>
      </c>
      <c r="I273" s="103" t="s">
        <v>2501</v>
      </c>
      <c r="J273" s="103" t="s">
        <v>2502</v>
      </c>
      <c r="L273" s="75"/>
    </row>
    <row r="274" ht="22.5" customHeight="1">
      <c r="A274" s="102">
        <v>46076.440040925925</v>
      </c>
      <c r="B274" s="103" t="s">
        <v>278</v>
      </c>
      <c r="C274" s="103" t="s">
        <v>622</v>
      </c>
      <c r="D274" s="103" t="s">
        <v>623</v>
      </c>
      <c r="G274" s="145">
        <v>46076.0</v>
      </c>
      <c r="H274" s="103" t="s">
        <v>2102</v>
      </c>
      <c r="I274" s="103" t="s">
        <v>2503</v>
      </c>
      <c r="L274" s="75"/>
    </row>
    <row r="275" ht="22.5" customHeight="1">
      <c r="A275" s="102">
        <v>46091.700515034725</v>
      </c>
      <c r="B275" s="103" t="s">
        <v>356</v>
      </c>
      <c r="C275" s="103" t="s">
        <v>544</v>
      </c>
      <c r="D275" s="103" t="s">
        <v>545</v>
      </c>
      <c r="G275" s="145">
        <v>46092.0</v>
      </c>
      <c r="H275" s="103" t="s">
        <v>2109</v>
      </c>
      <c r="I275" s="103" t="s">
        <v>2504</v>
      </c>
      <c r="L275" s="75"/>
    </row>
    <row r="276" ht="22.5" customHeight="1">
      <c r="A276" s="102">
        <v>46091.847313125</v>
      </c>
      <c r="B276" s="103" t="s">
        <v>152</v>
      </c>
      <c r="C276" s="103" t="s">
        <v>962</v>
      </c>
      <c r="D276" s="103" t="s">
        <v>769</v>
      </c>
      <c r="G276" s="145">
        <v>46092.0</v>
      </c>
      <c r="H276" s="103" t="s">
        <v>2102</v>
      </c>
      <c r="I276" s="103" t="s">
        <v>2505</v>
      </c>
      <c r="J276" s="103" t="s">
        <v>2506</v>
      </c>
      <c r="L276" s="75"/>
    </row>
    <row r="277" ht="22.5" customHeight="1">
      <c r="A277" s="102">
        <v>46091.85351638889</v>
      </c>
      <c r="B277" s="103" t="s">
        <v>228</v>
      </c>
      <c r="C277" s="103" t="s">
        <v>1691</v>
      </c>
      <c r="D277" s="103" t="s">
        <v>573</v>
      </c>
      <c r="G277" s="145">
        <v>46092.0</v>
      </c>
      <c r="H277" s="103" t="s">
        <v>2102</v>
      </c>
      <c r="I277" s="103" t="s">
        <v>2507</v>
      </c>
      <c r="J277" s="103" t="s">
        <v>2508</v>
      </c>
      <c r="L277" s="75"/>
    </row>
    <row r="278" ht="22.5" customHeight="1">
      <c r="A278" s="102">
        <v>46091.85655114583</v>
      </c>
      <c r="B278" s="103" t="s">
        <v>150</v>
      </c>
      <c r="C278" s="103" t="s">
        <v>2509</v>
      </c>
      <c r="D278" s="103" t="s">
        <v>775</v>
      </c>
      <c r="G278" s="145">
        <v>46092.0</v>
      </c>
      <c r="H278" s="103" t="s">
        <v>2102</v>
      </c>
      <c r="I278" s="103" t="s">
        <v>2510</v>
      </c>
      <c r="L278" s="75"/>
    </row>
    <row r="279" ht="22.5" customHeight="1">
      <c r="A279" s="102">
        <v>46091.856577638886</v>
      </c>
      <c r="B279" s="103" t="s">
        <v>158</v>
      </c>
      <c r="C279" s="103" t="s">
        <v>540</v>
      </c>
      <c r="D279" s="103" t="s">
        <v>541</v>
      </c>
      <c r="G279" s="145">
        <v>46092.0</v>
      </c>
      <c r="H279" s="103" t="s">
        <v>2109</v>
      </c>
      <c r="I279" s="103" t="s">
        <v>2511</v>
      </c>
      <c r="L279" s="75"/>
    </row>
    <row r="280" ht="22.5" customHeight="1">
      <c r="A280" s="102">
        <v>46091.914563530096</v>
      </c>
      <c r="B280" s="103" t="s">
        <v>396</v>
      </c>
      <c r="C280" s="103" t="s">
        <v>593</v>
      </c>
      <c r="D280" s="103" t="s">
        <v>594</v>
      </c>
      <c r="G280" s="145">
        <v>46092.0</v>
      </c>
      <c r="H280" s="103" t="s">
        <v>2102</v>
      </c>
      <c r="I280" s="103" t="s">
        <v>2512</v>
      </c>
      <c r="L280" s="75"/>
    </row>
    <row r="281" ht="22.5" customHeight="1">
      <c r="A281" s="102">
        <v>46091.95924412037</v>
      </c>
      <c r="B281" s="103" t="s">
        <v>64</v>
      </c>
      <c r="C281" s="103" t="s">
        <v>1089</v>
      </c>
      <c r="D281" s="103" t="s">
        <v>1090</v>
      </c>
      <c r="G281" s="145">
        <v>46092.0</v>
      </c>
      <c r="H281" s="103" t="s">
        <v>2102</v>
      </c>
      <c r="I281" s="103" t="s">
        <v>2513</v>
      </c>
      <c r="L281" s="75"/>
    </row>
    <row r="282" ht="22.5" customHeight="1">
      <c r="A282" s="102">
        <v>46092.24422490741</v>
      </c>
      <c r="B282" s="103" t="s">
        <v>354</v>
      </c>
      <c r="C282" s="103" t="s">
        <v>518</v>
      </c>
      <c r="D282" s="103" t="s">
        <v>519</v>
      </c>
      <c r="G282" s="145">
        <v>46092.0</v>
      </c>
      <c r="H282" s="103" t="s">
        <v>2102</v>
      </c>
      <c r="I282" s="103" t="s">
        <v>2514</v>
      </c>
      <c r="J282" s="103" t="s">
        <v>2515</v>
      </c>
      <c r="L282" s="75"/>
    </row>
    <row r="283" ht="22.5" customHeight="1">
      <c r="A283" s="102">
        <v>46092.44188429398</v>
      </c>
      <c r="B283" s="103" t="s">
        <v>378</v>
      </c>
      <c r="C283" s="103" t="s">
        <v>1205</v>
      </c>
      <c r="D283" s="103" t="s">
        <v>1206</v>
      </c>
      <c r="G283" s="145">
        <v>46092.0</v>
      </c>
      <c r="H283" s="103" t="s">
        <v>2102</v>
      </c>
      <c r="I283" s="103" t="s">
        <v>2516</v>
      </c>
      <c r="J283" s="103" t="s">
        <v>2517</v>
      </c>
      <c r="L283" s="75"/>
    </row>
    <row r="284" ht="22.5" customHeight="1">
      <c r="A284" s="102">
        <v>46092.53869460648</v>
      </c>
      <c r="B284" s="103" t="s">
        <v>197</v>
      </c>
      <c r="C284" s="103" t="s">
        <v>618</v>
      </c>
      <c r="D284" s="103" t="s">
        <v>619</v>
      </c>
      <c r="G284" s="145">
        <v>46092.0</v>
      </c>
      <c r="H284" s="103" t="s">
        <v>2102</v>
      </c>
      <c r="I284" s="103" t="s">
        <v>2518</v>
      </c>
      <c r="L284" s="75"/>
    </row>
    <row r="285" ht="22.5" customHeight="1">
      <c r="A285" s="102">
        <v>46092.53973203704</v>
      </c>
      <c r="B285" s="103" t="s">
        <v>254</v>
      </c>
      <c r="C285" s="103" t="s">
        <v>565</v>
      </c>
      <c r="D285" s="103" t="s">
        <v>566</v>
      </c>
      <c r="G285" s="145">
        <v>46092.0</v>
      </c>
      <c r="H285" s="103" t="s">
        <v>2102</v>
      </c>
      <c r="I285" s="103" t="s">
        <v>2519</v>
      </c>
      <c r="L285" s="75"/>
    </row>
    <row r="286" ht="22.5" customHeight="1">
      <c r="A286" s="102">
        <v>46092.549417222224</v>
      </c>
      <c r="B286" s="103" t="s">
        <v>46</v>
      </c>
      <c r="C286" s="103" t="s">
        <v>797</v>
      </c>
      <c r="D286" s="103" t="s">
        <v>798</v>
      </c>
      <c r="G286" s="145">
        <v>46092.0</v>
      </c>
      <c r="H286" s="103" t="s">
        <v>2102</v>
      </c>
      <c r="I286" s="103" t="s">
        <v>2520</v>
      </c>
      <c r="L286" s="75"/>
    </row>
    <row r="287" ht="22.5" customHeight="1">
      <c r="A287" s="102">
        <v>46092.610096122684</v>
      </c>
      <c r="B287" s="103" t="s">
        <v>123</v>
      </c>
      <c r="C287" s="103" t="s">
        <v>2521</v>
      </c>
      <c r="D287" s="103" t="s">
        <v>2522</v>
      </c>
      <c r="G287" s="145">
        <v>46092.0</v>
      </c>
      <c r="H287" s="103" t="s">
        <v>2102</v>
      </c>
      <c r="I287" s="103" t="s">
        <v>2523</v>
      </c>
      <c r="L287" s="75"/>
    </row>
    <row r="288" ht="22.5" customHeight="1">
      <c r="A288" s="102">
        <v>46092.64504778935</v>
      </c>
      <c r="B288" s="103" t="s">
        <v>57</v>
      </c>
      <c r="C288" s="103" t="s">
        <v>553</v>
      </c>
      <c r="D288" s="103" t="s">
        <v>554</v>
      </c>
      <c r="G288" s="145">
        <v>46092.0</v>
      </c>
      <c r="H288" s="103" t="s">
        <v>2102</v>
      </c>
      <c r="I288" s="103" t="s">
        <v>2524</v>
      </c>
      <c r="L288" s="75"/>
    </row>
  </sheetData>
  <dataValidations>
    <dataValidation type="list" allowBlank="1" showErrorMessage="1" sqref="L2:L288">
      <formula1>"Yes,No"</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3.88"/>
  </cols>
  <sheetData>
    <row r="1">
      <c r="A1" s="4" t="s">
        <v>2525</v>
      </c>
      <c r="B1" s="1" t="s">
        <v>2526</v>
      </c>
      <c r="C1" s="1" t="s">
        <v>3</v>
      </c>
      <c r="D1" s="1" t="s">
        <v>2088</v>
      </c>
      <c r="E1" s="1" t="s">
        <v>2089</v>
      </c>
      <c r="F1" s="4" t="s">
        <v>2527</v>
      </c>
      <c r="G1" s="148" t="s">
        <v>2528</v>
      </c>
      <c r="H1" s="149" t="s">
        <v>2529</v>
      </c>
      <c r="I1" s="150" t="s">
        <v>2530</v>
      </c>
      <c r="J1" s="150" t="s">
        <v>2531</v>
      </c>
      <c r="K1" s="150" t="s">
        <v>2532</v>
      </c>
      <c r="L1" s="151" t="s">
        <v>2533</v>
      </c>
      <c r="M1" s="150"/>
      <c r="N1" s="150"/>
      <c r="O1" s="150"/>
    </row>
    <row r="2">
      <c r="A2" s="9">
        <v>1.0</v>
      </c>
      <c r="B2" s="7" t="s">
        <v>10</v>
      </c>
      <c r="C2" s="7" t="s">
        <v>9</v>
      </c>
      <c r="D2" s="7" t="s">
        <v>576</v>
      </c>
      <c r="E2" s="75" t="s">
        <v>577</v>
      </c>
      <c r="F2" s="14" t="s">
        <v>2534</v>
      </c>
      <c r="G2" s="8" t="s">
        <v>11</v>
      </c>
      <c r="I2" s="152">
        <f>AVERAGE('All-Hands Attendance'!I2:L2,'All-Hands Attendance'!M2:AA2)</f>
        <v>1</v>
      </c>
      <c r="J2" s="153">
        <f>AVERAGE('Workshop Attendance '!R2:AQ2)</f>
        <v>0.5882352941</v>
      </c>
      <c r="K2" s="75" t="str">
        <f t="shared" ref="K2:K181" si="1">IF(UPPER(TRIM(G2))="N",
  IF( IFERROR( IF(J2&gt;1, J2/100, J2), VALUE(SUBSTITUTE(TRIM(J2),"%",""))/100 ) &gt;= 0.75, "Yes", "No"),
  IF(UPPER(TRIM(G2))="E",
    IF( IFERROR( IF(J2&gt;1, J2/100, J2), VALUE(SUBSTITUTE(TRIM(J2),"%",""))/100 ) &gt;= 0.25, "Yes", "No"),
  "No")
)
</f>
        <v>No</v>
      </c>
      <c r="L2" s="142" t="str">
        <f t="shared" ref="L2:L84" si="2">IF(UPPER(TRIM(G2))="N",
  IF(AND(
    IFERROR(IF(I2&gt;1,I2/100,I2), VALUE(SUBSTITUTE(TRIM(I2),"%",""))/100) &gt;= 1,
    IFERROR(IF(J2&gt;1,J2/100,J2), VALUE(SUBSTITUTE(TRIM(J2),"%",""))/100) &gt;= 0.75
  ), "Yes", "No"),
  IF(UPPER(TRIM(G2))="E",
    IF(AND(
      IFERROR(IF(I2&gt;1,I2/100,I2), VALUE(SUBSTITUTE(TRIM(I2),"%",""))/100) &gt;= 1,
      IFERROR(IF(J2&gt;1,J2/100,J2), VALUE(SUBSTITUTE(TRIM(J2),"%",""))/100) &gt;= 0.25
    ), "Yes", "No"),
  "No")
)
</f>
        <v>No</v>
      </c>
    </row>
    <row r="3">
      <c r="A3" s="9">
        <v>1.0</v>
      </c>
      <c r="B3" s="7" t="s">
        <v>10</v>
      </c>
      <c r="C3" s="7" t="s">
        <v>14</v>
      </c>
      <c r="D3" s="7" t="s">
        <v>2535</v>
      </c>
      <c r="E3" s="75" t="s">
        <v>2536</v>
      </c>
      <c r="F3" s="14" t="s">
        <v>2534</v>
      </c>
      <c r="G3" s="8" t="s">
        <v>11</v>
      </c>
      <c r="I3" s="152">
        <f>AVERAGE('All-Hands Attendance'!I3:L3,'All-Hands Attendance'!M3:AA3)</f>
        <v>1</v>
      </c>
      <c r="J3" s="153">
        <f>AVERAGE('Workshop Attendance '!R3:AQ3)</f>
        <v>0.6470588235</v>
      </c>
      <c r="K3" s="75" t="str">
        <f t="shared" si="1"/>
        <v>No</v>
      </c>
      <c r="L3" s="142" t="str">
        <f t="shared" si="2"/>
        <v>No</v>
      </c>
    </row>
    <row r="4">
      <c r="A4" s="9">
        <v>1.0</v>
      </c>
      <c r="B4" s="7" t="s">
        <v>10</v>
      </c>
      <c r="C4" s="7" t="s">
        <v>16</v>
      </c>
      <c r="D4" s="7" t="s">
        <v>771</v>
      </c>
      <c r="E4" s="75" t="s">
        <v>772</v>
      </c>
      <c r="F4" s="14" t="s">
        <v>2534</v>
      </c>
      <c r="G4" s="8" t="s">
        <v>11</v>
      </c>
      <c r="I4" s="152">
        <f>AVERAGE('All-Hands Attendance'!I4:L4,'All-Hands Attendance'!M4:AA4)</f>
        <v>1</v>
      </c>
      <c r="J4" s="153">
        <f>AVERAGE('Workshop Attendance '!R4:AQ4)</f>
        <v>0.5882352941</v>
      </c>
      <c r="K4" s="75" t="str">
        <f t="shared" si="1"/>
        <v>No</v>
      </c>
      <c r="L4" s="142" t="str">
        <f t="shared" si="2"/>
        <v>No</v>
      </c>
    </row>
    <row r="5">
      <c r="A5" s="9">
        <v>1.0</v>
      </c>
      <c r="B5" s="7" t="s">
        <v>10</v>
      </c>
      <c r="C5" s="7" t="s">
        <v>18</v>
      </c>
      <c r="D5" s="7" t="s">
        <v>811</v>
      </c>
      <c r="E5" s="75" t="s">
        <v>812</v>
      </c>
      <c r="F5" s="14" t="s">
        <v>2534</v>
      </c>
      <c r="G5" s="11" t="s">
        <v>11</v>
      </c>
      <c r="I5" s="152">
        <f>AVERAGE('All-Hands Attendance'!I5:L5,'All-Hands Attendance'!M5:AA5)</f>
        <v>0.9736842105</v>
      </c>
      <c r="J5" s="153">
        <f>AVERAGE('Workshop Attendance '!R5:AQ5)</f>
        <v>0.6470588235</v>
      </c>
      <c r="K5" s="75" t="str">
        <f t="shared" si="1"/>
        <v>No</v>
      </c>
      <c r="L5" s="142" t="str">
        <f t="shared" si="2"/>
        <v>No</v>
      </c>
    </row>
    <row r="6">
      <c r="A6" s="154">
        <v>1.0</v>
      </c>
      <c r="B6" s="16" t="s">
        <v>10</v>
      </c>
      <c r="C6" s="16" t="s">
        <v>20</v>
      </c>
      <c r="D6" s="16" t="s">
        <v>754</v>
      </c>
      <c r="E6" s="15" t="s">
        <v>755</v>
      </c>
      <c r="F6" s="46" t="s">
        <v>2534</v>
      </c>
      <c r="G6" s="17" t="s">
        <v>11</v>
      </c>
      <c r="H6" s="15"/>
      <c r="I6" s="152">
        <f>AVERAGE('All-Hands Attendance'!I6:L6,'All-Hands Attendance'!M6:AA6)</f>
        <v>1</v>
      </c>
      <c r="J6" s="153">
        <f>AVERAGE('Workshop Attendance '!R6:AQ6)</f>
        <v>0.7058823529</v>
      </c>
      <c r="K6" s="75" t="str">
        <f t="shared" si="1"/>
        <v>No</v>
      </c>
      <c r="L6" s="142" t="str">
        <f t="shared" si="2"/>
        <v>No</v>
      </c>
      <c r="M6" s="15"/>
      <c r="N6" s="15"/>
      <c r="O6" s="15"/>
      <c r="P6" s="15"/>
      <c r="Q6" s="15"/>
      <c r="R6" s="15"/>
      <c r="S6" s="15"/>
      <c r="T6" s="15"/>
    </row>
    <row r="7">
      <c r="A7" s="21">
        <v>2.0</v>
      </c>
      <c r="B7" s="7" t="s">
        <v>23</v>
      </c>
      <c r="C7" s="7" t="s">
        <v>22</v>
      </c>
      <c r="D7" s="7" t="s">
        <v>2537</v>
      </c>
      <c r="E7" s="75" t="s">
        <v>597</v>
      </c>
      <c r="F7" s="14" t="s">
        <v>2534</v>
      </c>
      <c r="G7" s="8" t="s">
        <v>24</v>
      </c>
      <c r="I7" s="152">
        <f>AVERAGE('All-Hands Attendance'!I7:L7,'All-Hands Attendance'!M7:AA7)</f>
        <v>0.8888888889</v>
      </c>
      <c r="J7" s="153">
        <f>AVERAGE('Workshop Attendance '!R7:AQ7)</f>
        <v>0.2941176471</v>
      </c>
      <c r="K7" s="75" t="str">
        <f t="shared" si="1"/>
        <v>Yes</v>
      </c>
      <c r="L7" s="142" t="str">
        <f t="shared" si="2"/>
        <v>No</v>
      </c>
    </row>
    <row r="8">
      <c r="A8" s="21">
        <v>2.0</v>
      </c>
      <c r="B8" s="7" t="s">
        <v>23</v>
      </c>
      <c r="C8" s="7" t="s">
        <v>27</v>
      </c>
      <c r="D8" s="7" t="s">
        <v>1098</v>
      </c>
      <c r="E8" s="75" t="s">
        <v>947</v>
      </c>
      <c r="F8" s="14" t="s">
        <v>2534</v>
      </c>
      <c r="G8" s="8" t="s">
        <v>28</v>
      </c>
      <c r="I8" s="152">
        <f>AVERAGE('All-Hands Attendance'!I8:L8,'All-Hands Attendance'!M8:AA8)</f>
        <v>0.8611111111</v>
      </c>
      <c r="J8" s="153">
        <f>AVERAGE('Workshop Attendance '!R8:AQ8)</f>
        <v>0.6176470588</v>
      </c>
      <c r="K8" s="75" t="str">
        <f t="shared" si="1"/>
        <v>No</v>
      </c>
      <c r="L8" s="142" t="str">
        <f t="shared" si="2"/>
        <v>No</v>
      </c>
    </row>
    <row r="9">
      <c r="A9" s="21">
        <v>2.0</v>
      </c>
      <c r="B9" s="7" t="s">
        <v>23</v>
      </c>
      <c r="C9" s="22" t="s">
        <v>31</v>
      </c>
      <c r="D9" s="22" t="s">
        <v>2538</v>
      </c>
      <c r="E9" s="10" t="s">
        <v>694</v>
      </c>
      <c r="F9" s="13" t="s">
        <v>2539</v>
      </c>
      <c r="G9" s="8" t="s">
        <v>28</v>
      </c>
      <c r="I9" s="152">
        <f>AVERAGE('All-Hands Attendance'!I9:L9,'All-Hands Attendance'!M9:AA9)</f>
        <v>1</v>
      </c>
      <c r="J9" s="153">
        <f>AVERAGE('Workshop Attendance '!R9:AQ9)</f>
        <v>0.6764705882</v>
      </c>
      <c r="K9" s="75" t="str">
        <f t="shared" si="1"/>
        <v>No</v>
      </c>
      <c r="L9" s="142" t="str">
        <f t="shared" si="2"/>
        <v>No</v>
      </c>
    </row>
    <row r="10">
      <c r="A10" s="155">
        <v>2.0</v>
      </c>
      <c r="B10" s="37" t="s">
        <v>23</v>
      </c>
      <c r="C10" s="7" t="s">
        <v>33</v>
      </c>
      <c r="D10" s="22" t="s">
        <v>2540</v>
      </c>
      <c r="E10" s="10" t="s">
        <v>458</v>
      </c>
      <c r="F10" s="14" t="s">
        <v>2534</v>
      </c>
      <c r="G10" s="8" t="s">
        <v>28</v>
      </c>
      <c r="I10" s="152">
        <f>AVERAGE('All-Hands Attendance'!I10:L10,'All-Hands Attendance'!M10:AA10)</f>
        <v>1</v>
      </c>
      <c r="J10" s="153">
        <f>AVERAGE('Workshop Attendance '!R10:AQ10)</f>
        <v>0.6176470588</v>
      </c>
      <c r="K10" s="75" t="str">
        <f t="shared" si="1"/>
        <v>No</v>
      </c>
      <c r="L10" s="142" t="str">
        <f t="shared" si="2"/>
        <v>No</v>
      </c>
    </row>
    <row r="11">
      <c r="A11" s="24">
        <v>2.0</v>
      </c>
      <c r="B11" s="16" t="s">
        <v>23</v>
      </c>
      <c r="C11" s="16" t="s">
        <v>35</v>
      </c>
      <c r="D11" s="40" t="s">
        <v>1066</v>
      </c>
      <c r="E11" s="19" t="s">
        <v>1067</v>
      </c>
      <c r="F11" s="46" t="s">
        <v>2534</v>
      </c>
      <c r="G11" s="17" t="s">
        <v>28</v>
      </c>
      <c r="H11" s="15"/>
      <c r="I11" s="152">
        <f>AVERAGE('All-Hands Attendance'!I11:L11,'All-Hands Attendance'!M11:AA11)</f>
        <v>0.6944444444</v>
      </c>
      <c r="J11" s="153">
        <f>AVERAGE('Workshop Attendance '!R11:AQ11)</f>
        <v>0.5</v>
      </c>
      <c r="K11" s="75" t="str">
        <f t="shared" si="1"/>
        <v>No</v>
      </c>
      <c r="L11" s="142" t="str">
        <f t="shared" si="2"/>
        <v>No</v>
      </c>
      <c r="M11" s="15"/>
      <c r="N11" s="15"/>
      <c r="O11" s="15"/>
      <c r="P11" s="15"/>
      <c r="Q11" s="15"/>
      <c r="R11" s="15"/>
      <c r="S11" s="15"/>
      <c r="T11" s="15"/>
    </row>
    <row r="12">
      <c r="A12" s="28">
        <v>3.0</v>
      </c>
      <c r="B12" s="26" t="s">
        <v>38</v>
      </c>
      <c r="C12" s="26" t="s">
        <v>37</v>
      </c>
      <c r="D12" s="156" t="s">
        <v>2541</v>
      </c>
      <c r="E12" s="29" t="s">
        <v>765</v>
      </c>
      <c r="F12" s="157" t="s">
        <v>2534</v>
      </c>
      <c r="G12" s="27" t="s">
        <v>28</v>
      </c>
      <c r="H12" s="30"/>
      <c r="I12" s="158">
        <f>AVERAGE('All-Hands Attendance'!I12:L12,'All-Hands Attendance'!M12:AA12)</f>
        <v>0.6666666667</v>
      </c>
      <c r="J12" s="159">
        <f>AVERAGE('Workshop Attendance '!R12:AQ12)</f>
        <v>0.2352941176</v>
      </c>
      <c r="K12" s="30" t="str">
        <f t="shared" si="1"/>
        <v>No</v>
      </c>
      <c r="L12" s="160" t="str">
        <f t="shared" si="2"/>
        <v>No</v>
      </c>
    </row>
    <row r="13">
      <c r="A13" s="31">
        <v>3.0</v>
      </c>
      <c r="B13" s="7" t="s">
        <v>38</v>
      </c>
      <c r="C13" s="7" t="s">
        <v>40</v>
      </c>
      <c r="D13" s="22" t="s">
        <v>2542</v>
      </c>
      <c r="E13" s="10" t="s">
        <v>748</v>
      </c>
      <c r="F13" s="14" t="s">
        <v>2534</v>
      </c>
      <c r="G13" s="8" t="s">
        <v>11</v>
      </c>
      <c r="I13" s="152">
        <f>AVERAGE('All-Hands Attendance'!I13:L13,'All-Hands Attendance'!M13:AA13)</f>
        <v>0.8888888889</v>
      </c>
      <c r="J13" s="153">
        <f>AVERAGE('Workshop Attendance '!R13:AQ13)</f>
        <v>0.5882352941</v>
      </c>
      <c r="K13" s="75" t="str">
        <f t="shared" si="1"/>
        <v>No</v>
      </c>
      <c r="L13" s="142" t="str">
        <f t="shared" si="2"/>
        <v>No</v>
      </c>
    </row>
    <row r="14">
      <c r="A14" s="31">
        <v>3.0</v>
      </c>
      <c r="B14" s="7" t="s">
        <v>38</v>
      </c>
      <c r="C14" s="7" t="s">
        <v>42</v>
      </c>
      <c r="D14" s="22" t="s">
        <v>2543</v>
      </c>
      <c r="E14" s="10" t="s">
        <v>1187</v>
      </c>
      <c r="F14" s="14" t="s">
        <v>2534</v>
      </c>
      <c r="G14" s="32" t="s">
        <v>24</v>
      </c>
      <c r="I14" s="152">
        <f>AVERAGE('All-Hands Attendance'!I14:L14,'All-Hands Attendance'!M14:AA14)</f>
        <v>0.9473684211</v>
      </c>
      <c r="J14" s="153">
        <f>AVERAGE('Workshop Attendance '!R14:AQ14)</f>
        <v>0.2647058824</v>
      </c>
      <c r="K14" s="75" t="str">
        <f t="shared" si="1"/>
        <v>Yes</v>
      </c>
      <c r="L14" s="142" t="str">
        <f t="shared" si="2"/>
        <v>No</v>
      </c>
    </row>
    <row r="15">
      <c r="A15" s="31">
        <v>3.0</v>
      </c>
      <c r="B15" s="7" t="s">
        <v>38</v>
      </c>
      <c r="C15" s="7" t="s">
        <v>44</v>
      </c>
      <c r="D15" s="22" t="s">
        <v>1193</v>
      </c>
      <c r="E15" s="10" t="s">
        <v>709</v>
      </c>
      <c r="F15" s="14" t="s">
        <v>2534</v>
      </c>
      <c r="G15" s="32" t="s">
        <v>24</v>
      </c>
      <c r="I15" s="152">
        <f>AVERAGE('All-Hands Attendance'!I15:L15,'All-Hands Attendance'!M15:AA15)</f>
        <v>1</v>
      </c>
      <c r="J15" s="153">
        <f>AVERAGE('Workshop Attendance '!R15:AQ15)</f>
        <v>0.2352941176</v>
      </c>
      <c r="K15" s="75" t="str">
        <f t="shared" si="1"/>
        <v>No</v>
      </c>
      <c r="L15" s="142" t="str">
        <f t="shared" si="2"/>
        <v>No</v>
      </c>
    </row>
    <row r="16">
      <c r="A16" s="33">
        <v>3.0</v>
      </c>
      <c r="B16" s="16" t="s">
        <v>38</v>
      </c>
      <c r="C16" s="16" t="s">
        <v>46</v>
      </c>
      <c r="D16" s="40" t="s">
        <v>797</v>
      </c>
      <c r="E16" s="19" t="s">
        <v>798</v>
      </c>
      <c r="F16" s="46" t="s">
        <v>2534</v>
      </c>
      <c r="G16" s="17" t="s">
        <v>11</v>
      </c>
      <c r="H16" s="15"/>
      <c r="I16" s="152">
        <f>AVERAGE('All-Hands Attendance'!I16:L16,'All-Hands Attendance'!M16:AA16)</f>
        <v>1</v>
      </c>
      <c r="J16" s="153">
        <f>AVERAGE('Workshop Attendance '!R16:AQ16)</f>
        <v>0.5294117647</v>
      </c>
      <c r="K16" s="75" t="str">
        <f t="shared" si="1"/>
        <v>No</v>
      </c>
      <c r="L16" s="142" t="str">
        <f t="shared" si="2"/>
        <v>No</v>
      </c>
      <c r="M16" s="15"/>
      <c r="N16" s="15"/>
      <c r="O16" s="15"/>
      <c r="P16" s="15"/>
      <c r="Q16" s="15"/>
      <c r="R16" s="15"/>
      <c r="S16" s="15"/>
      <c r="T16" s="15"/>
    </row>
    <row r="17">
      <c r="A17" s="9">
        <v>4.0</v>
      </c>
      <c r="B17" s="7" t="s">
        <v>49</v>
      </c>
      <c r="C17" s="7" t="s">
        <v>48</v>
      </c>
      <c r="D17" s="22" t="s">
        <v>832</v>
      </c>
      <c r="E17" s="75" t="s">
        <v>833</v>
      </c>
      <c r="F17" s="14" t="s">
        <v>2534</v>
      </c>
      <c r="G17" s="8" t="s">
        <v>24</v>
      </c>
      <c r="I17" s="152">
        <f>AVERAGE('All-Hands Attendance'!I17:L17,'All-Hands Attendance'!M17:AA17)</f>
        <v>1</v>
      </c>
      <c r="J17" s="153">
        <f>AVERAGE('Workshop Attendance '!R17:AQ17)</f>
        <v>0.2941176471</v>
      </c>
      <c r="K17" s="75" t="str">
        <f t="shared" si="1"/>
        <v>Yes</v>
      </c>
      <c r="L17" s="142" t="str">
        <f t="shared" si="2"/>
        <v>Yes</v>
      </c>
    </row>
    <row r="18">
      <c r="A18" s="9">
        <v>4.0</v>
      </c>
      <c r="B18" s="7" t="s">
        <v>49</v>
      </c>
      <c r="C18" s="7" t="s">
        <v>51</v>
      </c>
      <c r="D18" s="7" t="s">
        <v>572</v>
      </c>
      <c r="E18" s="75" t="s">
        <v>573</v>
      </c>
      <c r="F18" s="14" t="s">
        <v>2534</v>
      </c>
      <c r="G18" s="8" t="s">
        <v>24</v>
      </c>
      <c r="I18" s="152">
        <f>AVERAGE('All-Hands Attendance'!I18:L18,'All-Hands Attendance'!M18:AA18)</f>
        <v>1</v>
      </c>
      <c r="J18" s="153">
        <f>AVERAGE('Workshop Attendance '!R18:AQ18)</f>
        <v>0.4705882353</v>
      </c>
      <c r="K18" s="75" t="str">
        <f t="shared" si="1"/>
        <v>Yes</v>
      </c>
      <c r="L18" s="142" t="str">
        <f t="shared" si="2"/>
        <v>Yes</v>
      </c>
    </row>
    <row r="19">
      <c r="A19" s="9">
        <v>4.0</v>
      </c>
      <c r="B19" s="7" t="s">
        <v>49</v>
      </c>
      <c r="C19" s="7" t="s">
        <v>53</v>
      </c>
      <c r="D19" s="7" t="s">
        <v>535</v>
      </c>
      <c r="E19" s="75" t="s">
        <v>536</v>
      </c>
      <c r="F19" s="14" t="s">
        <v>2534</v>
      </c>
      <c r="G19" s="8" t="s">
        <v>11</v>
      </c>
      <c r="I19" s="152">
        <f>AVERAGE('All-Hands Attendance'!I19:L19,'All-Hands Attendance'!M19:AA19)</f>
        <v>0.9444444444</v>
      </c>
      <c r="J19" s="153">
        <f>AVERAGE('Workshop Attendance '!R19:AQ19)</f>
        <v>0.6176470588</v>
      </c>
      <c r="K19" s="75" t="str">
        <f t="shared" si="1"/>
        <v>No</v>
      </c>
      <c r="L19" s="142" t="str">
        <f t="shared" si="2"/>
        <v>No</v>
      </c>
    </row>
    <row r="20">
      <c r="A20" s="9">
        <v>4.0</v>
      </c>
      <c r="B20" s="7" t="s">
        <v>49</v>
      </c>
      <c r="C20" s="7" t="s">
        <v>55</v>
      </c>
      <c r="D20" s="7" t="s">
        <v>562</v>
      </c>
      <c r="E20" s="75" t="s">
        <v>983</v>
      </c>
      <c r="F20" s="14" t="s">
        <v>2534</v>
      </c>
      <c r="G20" s="8" t="s">
        <v>28</v>
      </c>
      <c r="I20" s="152">
        <f>AVERAGE('All-Hands Attendance'!I20:L20,'All-Hands Attendance'!M20:AA20)</f>
        <v>0.9722222222</v>
      </c>
      <c r="J20" s="153">
        <f>AVERAGE('Workshop Attendance '!R20:AQ20)</f>
        <v>0.6764705882</v>
      </c>
      <c r="K20" s="75" t="str">
        <f t="shared" si="1"/>
        <v>No</v>
      </c>
      <c r="L20" s="142" t="str">
        <f t="shared" si="2"/>
        <v>No</v>
      </c>
    </row>
    <row r="21">
      <c r="A21" s="9">
        <v>4.0</v>
      </c>
      <c r="B21" s="7" t="s">
        <v>49</v>
      </c>
      <c r="C21" s="7" t="s">
        <v>57</v>
      </c>
      <c r="D21" s="7" t="s">
        <v>553</v>
      </c>
      <c r="E21" s="75" t="s">
        <v>554</v>
      </c>
      <c r="F21" s="14" t="s">
        <v>2534</v>
      </c>
      <c r="G21" s="8" t="s">
        <v>11</v>
      </c>
      <c r="I21" s="152">
        <f>AVERAGE('All-Hands Attendance'!I21:L21,'All-Hands Attendance'!M21:AA21)</f>
        <v>0.9722222222</v>
      </c>
      <c r="J21" s="153">
        <f>AVERAGE('Workshop Attendance '!R21:AQ21)</f>
        <v>0.6176470588</v>
      </c>
      <c r="K21" s="75" t="str">
        <f t="shared" si="1"/>
        <v>No</v>
      </c>
      <c r="L21" s="142" t="str">
        <f t="shared" si="2"/>
        <v>No</v>
      </c>
    </row>
    <row r="22">
      <c r="A22" s="34">
        <v>4.0</v>
      </c>
      <c r="B22" s="16" t="s">
        <v>49</v>
      </c>
      <c r="C22" s="16" t="s">
        <v>59</v>
      </c>
      <c r="D22" s="16" t="s">
        <v>919</v>
      </c>
      <c r="E22" s="15" t="s">
        <v>548</v>
      </c>
      <c r="F22" s="46" t="s">
        <v>2534</v>
      </c>
      <c r="G22" s="17" t="s">
        <v>28</v>
      </c>
      <c r="H22" s="15"/>
      <c r="I22" s="152">
        <f>AVERAGE('All-Hands Attendance'!I22:L22,'All-Hands Attendance'!M22:AA22)</f>
        <v>0.9444444444</v>
      </c>
      <c r="J22" s="153">
        <f>AVERAGE('Workshop Attendance '!R22:AQ22)</f>
        <v>0.5882352941</v>
      </c>
      <c r="K22" s="75" t="str">
        <f t="shared" si="1"/>
        <v>No</v>
      </c>
      <c r="L22" s="142" t="str">
        <f t="shared" si="2"/>
        <v>No</v>
      </c>
      <c r="M22" s="15"/>
      <c r="N22" s="15"/>
      <c r="O22" s="15"/>
      <c r="P22" s="15"/>
      <c r="Q22" s="15"/>
      <c r="R22" s="15"/>
      <c r="S22" s="15"/>
      <c r="T22" s="15"/>
    </row>
    <row r="23">
      <c r="A23" s="35">
        <v>5.0</v>
      </c>
      <c r="B23" s="7" t="s">
        <v>62</v>
      </c>
      <c r="C23" s="7" t="s">
        <v>61</v>
      </c>
      <c r="D23" s="7" t="s">
        <v>741</v>
      </c>
      <c r="E23" s="75" t="s">
        <v>761</v>
      </c>
      <c r="F23" s="14" t="s">
        <v>2534</v>
      </c>
      <c r="G23" s="8" t="s">
        <v>28</v>
      </c>
      <c r="I23" s="152">
        <f>AVERAGE('All-Hands Attendance'!I23:L23,'All-Hands Attendance'!M23:AA23)</f>
        <v>1</v>
      </c>
      <c r="J23" s="153">
        <f>AVERAGE('Workshop Attendance '!R23:AQ23)</f>
        <v>0.4705882353</v>
      </c>
      <c r="K23" s="75" t="str">
        <f t="shared" si="1"/>
        <v>No</v>
      </c>
      <c r="L23" s="142" t="str">
        <f t="shared" si="2"/>
        <v>No</v>
      </c>
    </row>
    <row r="24">
      <c r="A24" s="35">
        <v>5.0</v>
      </c>
      <c r="B24" s="7" t="s">
        <v>62</v>
      </c>
      <c r="C24" s="7" t="s">
        <v>64</v>
      </c>
      <c r="D24" s="7" t="s">
        <v>1089</v>
      </c>
      <c r="E24" s="75" t="s">
        <v>1090</v>
      </c>
      <c r="F24" s="14" t="s">
        <v>2534</v>
      </c>
      <c r="G24" s="8" t="s">
        <v>28</v>
      </c>
      <c r="I24" s="152">
        <f>AVERAGE('All-Hands Attendance'!I24:L24,'All-Hands Attendance'!M24:AA24)</f>
        <v>0.9166666667</v>
      </c>
      <c r="J24" s="153">
        <f>AVERAGE('Workshop Attendance '!R24:AQ24)</f>
        <v>0.5294117647</v>
      </c>
      <c r="K24" s="75" t="str">
        <f t="shared" si="1"/>
        <v>No</v>
      </c>
      <c r="L24" s="142" t="str">
        <f t="shared" si="2"/>
        <v>No</v>
      </c>
    </row>
    <row r="25">
      <c r="A25" s="35">
        <v>5.0</v>
      </c>
      <c r="B25" s="7" t="s">
        <v>62</v>
      </c>
      <c r="C25" s="7" t="s">
        <v>66</v>
      </c>
      <c r="D25" s="7" t="s">
        <v>668</v>
      </c>
      <c r="E25" s="75" t="s">
        <v>689</v>
      </c>
      <c r="F25" s="14" t="s">
        <v>2534</v>
      </c>
      <c r="G25" s="8" t="s">
        <v>11</v>
      </c>
      <c r="I25" s="152">
        <f>AVERAGE('All-Hands Attendance'!I25:L25,'All-Hands Attendance'!M25:AA25)</f>
        <v>0.9473684211</v>
      </c>
      <c r="J25" s="153">
        <f>AVERAGE('Workshop Attendance '!R25:AQ25)</f>
        <v>0.5882352941</v>
      </c>
      <c r="K25" s="75" t="str">
        <f t="shared" si="1"/>
        <v>No</v>
      </c>
      <c r="L25" s="142" t="str">
        <f t="shared" si="2"/>
        <v>No</v>
      </c>
    </row>
    <row r="26">
      <c r="A26" s="36">
        <v>5.0</v>
      </c>
      <c r="B26" s="16" t="s">
        <v>62</v>
      </c>
      <c r="C26" s="16" t="s">
        <v>68</v>
      </c>
      <c r="D26" s="16" t="s">
        <v>825</v>
      </c>
      <c r="E26" s="15" t="s">
        <v>515</v>
      </c>
      <c r="F26" s="46" t="s">
        <v>2534</v>
      </c>
      <c r="G26" s="17" t="s">
        <v>28</v>
      </c>
      <c r="H26" s="15"/>
      <c r="I26" s="152">
        <f>AVERAGE('All-Hands Attendance'!I26:L26,'All-Hands Attendance'!M26:AA26)</f>
        <v>0.9736842105</v>
      </c>
      <c r="J26" s="153">
        <f>AVERAGE('Workshop Attendance '!R26:AQ26)</f>
        <v>0.5294117647</v>
      </c>
      <c r="K26" s="75" t="str">
        <f t="shared" si="1"/>
        <v>No</v>
      </c>
      <c r="L26" s="142" t="str">
        <f t="shared" si="2"/>
        <v>No</v>
      </c>
      <c r="M26" s="15"/>
      <c r="N26" s="15"/>
      <c r="O26" s="15"/>
      <c r="P26" s="15"/>
      <c r="Q26" s="15"/>
      <c r="R26" s="15"/>
      <c r="S26" s="15"/>
      <c r="T26" s="15"/>
    </row>
    <row r="27">
      <c r="A27" s="38">
        <v>6.0</v>
      </c>
      <c r="B27" s="7" t="s">
        <v>71</v>
      </c>
      <c r="C27" s="7" t="s">
        <v>70</v>
      </c>
      <c r="D27" s="22" t="s">
        <v>725</v>
      </c>
      <c r="E27" s="10" t="s">
        <v>726</v>
      </c>
      <c r="F27" s="14" t="s">
        <v>2534</v>
      </c>
      <c r="G27" s="11" t="s">
        <v>11</v>
      </c>
      <c r="I27" s="152">
        <f>AVERAGE('All-Hands Attendance'!I27:L27,'All-Hands Attendance'!M27:AA27)</f>
        <v>0.9736842105</v>
      </c>
      <c r="J27" s="153">
        <f>AVERAGE('Workshop Attendance '!R27:AQ27)</f>
        <v>0.5588235294</v>
      </c>
      <c r="K27" s="75" t="str">
        <f t="shared" si="1"/>
        <v>No</v>
      </c>
      <c r="L27" s="142" t="str">
        <f t="shared" si="2"/>
        <v>No</v>
      </c>
    </row>
    <row r="28">
      <c r="A28" s="38">
        <v>6.0</v>
      </c>
      <c r="B28" s="37" t="s">
        <v>71</v>
      </c>
      <c r="C28" s="7" t="s">
        <v>73</v>
      </c>
      <c r="D28" s="22" t="s">
        <v>557</v>
      </c>
      <c r="E28" s="10" t="s">
        <v>709</v>
      </c>
      <c r="F28" s="14" t="s">
        <v>2534</v>
      </c>
      <c r="G28" s="32" t="s">
        <v>24</v>
      </c>
      <c r="I28" s="152">
        <f>AVERAGE('All-Hands Attendance'!I28:L28,'All-Hands Attendance'!M28:AA28)</f>
        <v>0.9736842105</v>
      </c>
      <c r="J28" s="153">
        <f>AVERAGE('Workshop Attendance '!R28:AQ28)</f>
        <v>0.2647058824</v>
      </c>
      <c r="K28" s="75" t="str">
        <f t="shared" si="1"/>
        <v>Yes</v>
      </c>
      <c r="L28" s="142" t="str">
        <f t="shared" si="2"/>
        <v>No</v>
      </c>
    </row>
    <row r="29">
      <c r="A29" s="38">
        <v>6.0</v>
      </c>
      <c r="B29" s="7" t="s">
        <v>71</v>
      </c>
      <c r="C29" s="7" t="s">
        <v>75</v>
      </c>
      <c r="D29" s="22" t="s">
        <v>2544</v>
      </c>
      <c r="E29" s="10" t="s">
        <v>689</v>
      </c>
      <c r="F29" s="14" t="s">
        <v>2534</v>
      </c>
      <c r="G29" s="8" t="s">
        <v>24</v>
      </c>
      <c r="I29" s="152">
        <f>AVERAGE('All-Hands Attendance'!I29:L29,'All-Hands Attendance'!M29:AA29)</f>
        <v>0.8947368421</v>
      </c>
      <c r="J29" s="153">
        <f>AVERAGE('Workshop Attendance '!R29:AQ29)</f>
        <v>0.4411764706</v>
      </c>
      <c r="K29" s="75" t="str">
        <f t="shared" si="1"/>
        <v>Yes</v>
      </c>
      <c r="L29" s="142" t="str">
        <f t="shared" si="2"/>
        <v>No</v>
      </c>
    </row>
    <row r="30">
      <c r="A30" s="38">
        <v>6.0</v>
      </c>
      <c r="B30" s="7" t="s">
        <v>71</v>
      </c>
      <c r="C30" s="7" t="s">
        <v>77</v>
      </c>
      <c r="D30" s="22" t="s">
        <v>2545</v>
      </c>
      <c r="E30" s="10" t="s">
        <v>458</v>
      </c>
      <c r="F30" s="14" t="s">
        <v>2534</v>
      </c>
      <c r="G30" s="8" t="s">
        <v>24</v>
      </c>
      <c r="I30" s="152">
        <f>AVERAGE('All-Hands Attendance'!I30:L30,'All-Hands Attendance'!M30:AA30)</f>
        <v>0.9210526316</v>
      </c>
      <c r="J30" s="153">
        <f>AVERAGE('Workshop Attendance '!R30:AQ30)</f>
        <v>0.4117647059</v>
      </c>
      <c r="K30" s="75" t="str">
        <f t="shared" si="1"/>
        <v>Yes</v>
      </c>
      <c r="L30" s="142" t="str">
        <f t="shared" si="2"/>
        <v>No</v>
      </c>
    </row>
    <row r="31">
      <c r="A31" s="38">
        <v>6.0</v>
      </c>
      <c r="B31" s="7" t="s">
        <v>71</v>
      </c>
      <c r="C31" s="7" t="s">
        <v>79</v>
      </c>
      <c r="D31" s="22" t="s">
        <v>444</v>
      </c>
      <c r="E31" s="10" t="s">
        <v>430</v>
      </c>
      <c r="F31" s="14" t="s">
        <v>2534</v>
      </c>
      <c r="G31" s="8" t="s">
        <v>24</v>
      </c>
      <c r="I31" s="152">
        <f>AVERAGE('All-Hands Attendance'!I31:L31,'All-Hands Attendance'!M31:AA31)</f>
        <v>1</v>
      </c>
      <c r="J31" s="153">
        <f>AVERAGE('Workshop Attendance '!R31:AQ31)</f>
        <v>0.2352941176</v>
      </c>
      <c r="K31" s="75" t="str">
        <f t="shared" si="1"/>
        <v>No</v>
      </c>
      <c r="L31" s="142" t="str">
        <f t="shared" si="2"/>
        <v>No</v>
      </c>
    </row>
    <row r="32">
      <c r="A32" s="42">
        <v>6.0</v>
      </c>
      <c r="B32" s="16" t="s">
        <v>71</v>
      </c>
      <c r="C32" s="71" t="s">
        <v>81</v>
      </c>
      <c r="D32" s="40" t="s">
        <v>569</v>
      </c>
      <c r="E32" s="19" t="s">
        <v>461</v>
      </c>
      <c r="F32" s="46" t="s">
        <v>2534</v>
      </c>
      <c r="G32" s="111" t="s">
        <v>28</v>
      </c>
      <c r="H32" s="15"/>
      <c r="I32" s="152">
        <f>AVERAGE('All-Hands Attendance'!I32:L32,'All-Hands Attendance'!M32:AA32)</f>
        <v>0.2631578947</v>
      </c>
      <c r="J32" s="153">
        <f>AVERAGE('Workshop Attendance '!R32:AQ32)</f>
        <v>0.4117647059</v>
      </c>
      <c r="K32" s="75" t="str">
        <f t="shared" si="1"/>
        <v>No</v>
      </c>
      <c r="L32" s="142" t="str">
        <f t="shared" si="2"/>
        <v>No</v>
      </c>
      <c r="M32" s="15"/>
      <c r="N32" s="15"/>
      <c r="O32" s="15"/>
      <c r="P32" s="15"/>
      <c r="Q32" s="15"/>
      <c r="R32" s="15"/>
      <c r="S32" s="15"/>
      <c r="T32" s="15"/>
    </row>
    <row r="33">
      <c r="A33" s="82">
        <v>7.0</v>
      </c>
      <c r="B33" s="80" t="s">
        <v>84</v>
      </c>
      <c r="C33" s="7" t="s">
        <v>83</v>
      </c>
      <c r="D33" s="161" t="s">
        <v>942</v>
      </c>
      <c r="E33" s="75" t="s">
        <v>560</v>
      </c>
      <c r="F33" s="14" t="s">
        <v>2534</v>
      </c>
      <c r="G33" s="8" t="s">
        <v>11</v>
      </c>
      <c r="I33" s="152">
        <f>AVERAGE('All-Hands Attendance'!I33:L33,'All-Hands Attendance'!M33:AA33)</f>
        <v>1</v>
      </c>
      <c r="J33" s="153">
        <f>AVERAGE('Workshop Attendance '!R33:AQ33)</f>
        <v>0.5</v>
      </c>
      <c r="K33" s="75" t="str">
        <f t="shared" si="1"/>
        <v>No</v>
      </c>
      <c r="L33" s="142" t="str">
        <f t="shared" si="2"/>
        <v>No</v>
      </c>
    </row>
    <row r="34">
      <c r="A34" s="47">
        <v>7.0</v>
      </c>
      <c r="B34" s="7" t="s">
        <v>84</v>
      </c>
      <c r="C34" s="7" t="s">
        <v>86</v>
      </c>
      <c r="D34" s="7" t="s">
        <v>2546</v>
      </c>
      <c r="E34" s="75" t="s">
        <v>2547</v>
      </c>
      <c r="F34" s="14" t="s">
        <v>2534</v>
      </c>
      <c r="G34" s="8" t="s">
        <v>11</v>
      </c>
      <c r="I34" s="152">
        <f>AVERAGE('All-Hands Attendance'!I34:L34,'All-Hands Attendance'!M34:AA34)</f>
        <v>0.9736842105</v>
      </c>
      <c r="J34" s="153">
        <f>AVERAGE('Workshop Attendance '!R34:AQ34)</f>
        <v>0.5294117647</v>
      </c>
      <c r="K34" s="75" t="str">
        <f t="shared" si="1"/>
        <v>No</v>
      </c>
      <c r="L34" s="142" t="str">
        <f t="shared" si="2"/>
        <v>No</v>
      </c>
    </row>
    <row r="35">
      <c r="A35" s="47">
        <v>7.0</v>
      </c>
      <c r="B35" s="7" t="s">
        <v>84</v>
      </c>
      <c r="C35" s="7" t="s">
        <v>88</v>
      </c>
      <c r="D35" s="7" t="s">
        <v>1117</v>
      </c>
      <c r="E35" s="75" t="s">
        <v>1118</v>
      </c>
      <c r="F35" s="14" t="s">
        <v>2534</v>
      </c>
      <c r="G35" s="8" t="s">
        <v>11</v>
      </c>
      <c r="I35" s="152">
        <f>AVERAGE('All-Hands Attendance'!I35:L35,'All-Hands Attendance'!M35:AA35)</f>
        <v>0.9473684211</v>
      </c>
      <c r="J35" s="153">
        <f>AVERAGE('Workshop Attendance '!R35:AQ35)</f>
        <v>0.5294117647</v>
      </c>
      <c r="K35" s="75" t="str">
        <f t="shared" si="1"/>
        <v>No</v>
      </c>
      <c r="L35" s="142" t="str">
        <f t="shared" si="2"/>
        <v>No</v>
      </c>
    </row>
    <row r="36">
      <c r="A36" s="47">
        <v>7.0</v>
      </c>
      <c r="B36" s="7" t="s">
        <v>84</v>
      </c>
      <c r="C36" s="7" t="s">
        <v>90</v>
      </c>
      <c r="D36" s="7" t="s">
        <v>418</v>
      </c>
      <c r="E36" s="75" t="s">
        <v>419</v>
      </c>
      <c r="F36" s="14" t="s">
        <v>2534</v>
      </c>
      <c r="G36" s="8" t="s">
        <v>28</v>
      </c>
      <c r="I36" s="152">
        <f>AVERAGE('All-Hands Attendance'!I36:L36,'All-Hands Attendance'!M36:AA36)</f>
        <v>0.9736842105</v>
      </c>
      <c r="J36" s="153">
        <f>AVERAGE('Workshop Attendance '!R36:AQ36)</f>
        <v>0.5294117647</v>
      </c>
      <c r="K36" s="75" t="str">
        <f t="shared" si="1"/>
        <v>No</v>
      </c>
      <c r="L36" s="142" t="str">
        <f t="shared" si="2"/>
        <v>No</v>
      </c>
    </row>
    <row r="37">
      <c r="A37" s="47">
        <v>7.0</v>
      </c>
      <c r="B37" s="7" t="s">
        <v>84</v>
      </c>
      <c r="C37" s="7" t="s">
        <v>92</v>
      </c>
      <c r="D37" s="7" t="s">
        <v>1045</v>
      </c>
      <c r="E37" s="75" t="s">
        <v>1046</v>
      </c>
      <c r="F37" s="14" t="s">
        <v>2534</v>
      </c>
      <c r="G37" s="8" t="s">
        <v>24</v>
      </c>
      <c r="I37" s="152">
        <f>AVERAGE('All-Hands Attendance'!I37:L37,'All-Hands Attendance'!M37:AA37)</f>
        <v>0.5789473684</v>
      </c>
      <c r="J37" s="153">
        <f>AVERAGE('Workshop Attendance '!R37:AQ37)</f>
        <v>0.2058823529</v>
      </c>
      <c r="K37" s="75" t="str">
        <f t="shared" si="1"/>
        <v>No</v>
      </c>
      <c r="L37" s="142" t="str">
        <f t="shared" si="2"/>
        <v>No</v>
      </c>
    </row>
    <row r="38">
      <c r="A38" s="48">
        <v>7.0</v>
      </c>
      <c r="B38" s="16" t="s">
        <v>84</v>
      </c>
      <c r="C38" s="16" t="s">
        <v>95</v>
      </c>
      <c r="D38" s="16" t="s">
        <v>814</v>
      </c>
      <c r="E38" s="15" t="s">
        <v>1013</v>
      </c>
      <c r="F38" s="46" t="s">
        <v>2534</v>
      </c>
      <c r="G38" s="17" t="s">
        <v>24</v>
      </c>
      <c r="H38" s="15"/>
      <c r="I38" s="152">
        <f>AVERAGE('All-Hands Attendance'!I38:L38,'All-Hands Attendance'!M38:AA38)</f>
        <v>0.8235294118</v>
      </c>
      <c r="J38" s="153">
        <f>AVERAGE('Workshop Attendance '!R38:AQ38)</f>
        <v>0.2647058824</v>
      </c>
      <c r="K38" s="75" t="str">
        <f t="shared" si="1"/>
        <v>Yes</v>
      </c>
      <c r="L38" s="142" t="str">
        <f t="shared" si="2"/>
        <v>No</v>
      </c>
      <c r="M38" s="15"/>
      <c r="N38" s="15"/>
      <c r="O38" s="15"/>
      <c r="P38" s="15"/>
      <c r="Q38" s="15"/>
      <c r="R38" s="15"/>
      <c r="S38" s="15"/>
      <c r="T38" s="15"/>
    </row>
    <row r="39">
      <c r="A39" s="49">
        <v>8.0</v>
      </c>
      <c r="B39" s="7" t="s">
        <v>98</v>
      </c>
      <c r="C39" s="7" t="s">
        <v>97</v>
      </c>
      <c r="D39" s="7" t="s">
        <v>580</v>
      </c>
      <c r="E39" s="75" t="s">
        <v>581</v>
      </c>
      <c r="F39" s="14" t="s">
        <v>2534</v>
      </c>
      <c r="G39" s="8" t="s">
        <v>24</v>
      </c>
      <c r="I39" s="152">
        <f>AVERAGE('All-Hands Attendance'!I39:L39,'All-Hands Attendance'!M39:AA39)</f>
        <v>0.9210526316</v>
      </c>
      <c r="J39" s="153">
        <f>AVERAGE('Workshop Attendance '!R39:AQ39)</f>
        <v>0.4411764706</v>
      </c>
      <c r="K39" s="75" t="str">
        <f t="shared" si="1"/>
        <v>Yes</v>
      </c>
      <c r="L39" s="142" t="str">
        <f t="shared" si="2"/>
        <v>No</v>
      </c>
    </row>
    <row r="40">
      <c r="A40" s="49">
        <v>8.0</v>
      </c>
      <c r="B40" s="7" t="s">
        <v>98</v>
      </c>
      <c r="C40" s="7" t="s">
        <v>100</v>
      </c>
      <c r="D40" s="7" t="s">
        <v>1203</v>
      </c>
      <c r="E40" s="75" t="s">
        <v>597</v>
      </c>
      <c r="F40" s="14" t="s">
        <v>2534</v>
      </c>
      <c r="G40" s="8" t="s">
        <v>24</v>
      </c>
      <c r="I40" s="152">
        <f>AVERAGE('All-Hands Attendance'!I40:L40,'All-Hands Attendance'!M40:AA40)</f>
        <v>1</v>
      </c>
      <c r="J40" s="153">
        <f>AVERAGE('Workshop Attendance '!R40:AQ40)</f>
        <v>0.2941176471</v>
      </c>
      <c r="K40" s="75" t="str">
        <f t="shared" si="1"/>
        <v>Yes</v>
      </c>
      <c r="L40" s="142" t="str">
        <f t="shared" si="2"/>
        <v>Yes</v>
      </c>
    </row>
    <row r="41">
      <c r="A41" s="49">
        <v>8.0</v>
      </c>
      <c r="B41" s="7" t="s">
        <v>98</v>
      </c>
      <c r="C41" s="7" t="s">
        <v>102</v>
      </c>
      <c r="D41" s="7" t="s">
        <v>2548</v>
      </c>
      <c r="E41" s="75" t="s">
        <v>509</v>
      </c>
      <c r="F41" s="14" t="s">
        <v>2534</v>
      </c>
      <c r="G41" s="8" t="s">
        <v>28</v>
      </c>
      <c r="I41" s="152">
        <f>AVERAGE('All-Hands Attendance'!I41:L41,'All-Hands Attendance'!M41:AA41)</f>
        <v>1</v>
      </c>
      <c r="J41" s="153">
        <f>AVERAGE('Workshop Attendance '!R41:AQ41)</f>
        <v>0.5882352941</v>
      </c>
      <c r="K41" s="75" t="str">
        <f t="shared" si="1"/>
        <v>No</v>
      </c>
      <c r="L41" s="142" t="str">
        <f t="shared" si="2"/>
        <v>No</v>
      </c>
    </row>
    <row r="42">
      <c r="A42" s="49">
        <v>8.0</v>
      </c>
      <c r="B42" s="7" t="s">
        <v>98</v>
      </c>
      <c r="C42" s="7" t="s">
        <v>104</v>
      </c>
      <c r="D42" s="7" t="s">
        <v>522</v>
      </c>
      <c r="E42" s="75" t="s">
        <v>523</v>
      </c>
      <c r="F42" s="14" t="s">
        <v>2534</v>
      </c>
      <c r="G42" s="8" t="s">
        <v>11</v>
      </c>
      <c r="I42" s="152">
        <f>AVERAGE('All-Hands Attendance'!I42:L42,'All-Hands Attendance'!M42:AA42)</f>
        <v>0.6315789474</v>
      </c>
      <c r="J42" s="153">
        <f>AVERAGE('Workshop Attendance '!R42:AQ42)</f>
        <v>0.6470588235</v>
      </c>
      <c r="K42" s="75" t="str">
        <f t="shared" si="1"/>
        <v>No</v>
      </c>
      <c r="L42" s="142" t="str">
        <f t="shared" si="2"/>
        <v>No</v>
      </c>
    </row>
    <row r="43">
      <c r="A43" s="49">
        <v>8.0</v>
      </c>
      <c r="B43" s="7" t="s">
        <v>98</v>
      </c>
      <c r="C43" s="7" t="s">
        <v>106</v>
      </c>
      <c r="D43" s="7" t="s">
        <v>1527</v>
      </c>
      <c r="E43" s="75" t="s">
        <v>498</v>
      </c>
      <c r="F43" s="14" t="s">
        <v>2534</v>
      </c>
      <c r="G43" s="8" t="s">
        <v>24</v>
      </c>
      <c r="I43" s="152">
        <f>AVERAGE('All-Hands Attendance'!I43:L43,'All-Hands Attendance'!M43:AA43)</f>
        <v>1</v>
      </c>
      <c r="J43" s="153">
        <f>AVERAGE('Workshop Attendance '!R43:AQ43)</f>
        <v>0.4411764706</v>
      </c>
      <c r="K43" s="75" t="str">
        <f t="shared" si="1"/>
        <v>Yes</v>
      </c>
      <c r="L43" s="142" t="str">
        <f t="shared" si="2"/>
        <v>Yes</v>
      </c>
    </row>
    <row r="44">
      <c r="A44" s="49">
        <v>8.0</v>
      </c>
      <c r="B44" s="7" t="s">
        <v>98</v>
      </c>
      <c r="C44" s="22" t="s">
        <v>108</v>
      </c>
      <c r="D44" s="7" t="s">
        <v>2549</v>
      </c>
      <c r="E44" s="75" t="s">
        <v>526</v>
      </c>
      <c r="F44" s="14" t="s">
        <v>2534</v>
      </c>
      <c r="G44" s="8" t="s">
        <v>11</v>
      </c>
      <c r="I44" s="152">
        <f>AVERAGE('All-Hands Attendance'!I44:L44,'All-Hands Attendance'!M44:AA44)</f>
        <v>1</v>
      </c>
      <c r="J44" s="153">
        <f>AVERAGE('Workshop Attendance '!R44:AQ44)</f>
        <v>0.5294117647</v>
      </c>
      <c r="K44" s="75" t="str">
        <f t="shared" si="1"/>
        <v>No</v>
      </c>
      <c r="L44" s="142" t="str">
        <f t="shared" si="2"/>
        <v>No</v>
      </c>
    </row>
    <row r="45">
      <c r="A45" s="50">
        <v>8.0</v>
      </c>
      <c r="B45" s="162" t="s">
        <v>98</v>
      </c>
      <c r="C45" s="16" t="s">
        <v>110</v>
      </c>
      <c r="D45" s="162" t="s">
        <v>2550</v>
      </c>
      <c r="E45" s="15" t="s">
        <v>515</v>
      </c>
      <c r="F45" s="163" t="s">
        <v>2534</v>
      </c>
      <c r="G45" s="17" t="s">
        <v>11</v>
      </c>
      <c r="H45" s="15"/>
      <c r="I45" s="152">
        <f>AVERAGE('All-Hands Attendance'!I45:L45,'All-Hands Attendance'!M45:AA45)</f>
        <v>0.8947368421</v>
      </c>
      <c r="J45" s="153">
        <f>AVERAGE('Workshop Attendance '!R45:AQ45)</f>
        <v>0.4705882353</v>
      </c>
      <c r="K45" s="75" t="str">
        <f t="shared" si="1"/>
        <v>No</v>
      </c>
      <c r="L45" s="142" t="str">
        <f t="shared" si="2"/>
        <v>No</v>
      </c>
      <c r="M45" s="15"/>
      <c r="N45" s="15"/>
      <c r="O45" s="15"/>
      <c r="P45" s="15"/>
      <c r="Q45" s="15"/>
      <c r="R45" s="15"/>
      <c r="S45" s="15"/>
      <c r="T45" s="15"/>
    </row>
    <row r="46">
      <c r="A46" s="51">
        <v>9.0</v>
      </c>
      <c r="B46" s="7" t="s">
        <v>113</v>
      </c>
      <c r="C46" s="7" t="s">
        <v>112</v>
      </c>
      <c r="D46" s="7" t="s">
        <v>434</v>
      </c>
      <c r="E46" s="75" t="s">
        <v>435</v>
      </c>
      <c r="F46" s="14" t="s">
        <v>2534</v>
      </c>
      <c r="G46" s="8" t="s">
        <v>28</v>
      </c>
      <c r="I46" s="152">
        <f>AVERAGE('All-Hands Attendance'!I46:L46,'All-Hands Attendance'!M46:AA46)</f>
        <v>0.9473684211</v>
      </c>
      <c r="J46" s="153">
        <f>AVERAGE('Workshop Attendance '!R46:AQ46)</f>
        <v>0.5294117647</v>
      </c>
      <c r="K46" s="75" t="str">
        <f t="shared" si="1"/>
        <v>No</v>
      </c>
      <c r="L46" s="142" t="str">
        <f t="shared" si="2"/>
        <v>No</v>
      </c>
    </row>
    <row r="47">
      <c r="A47" s="51">
        <v>9.0</v>
      </c>
      <c r="B47" s="7" t="s">
        <v>113</v>
      </c>
      <c r="C47" s="7" t="s">
        <v>115</v>
      </c>
      <c r="D47" s="7" t="s">
        <v>489</v>
      </c>
      <c r="E47" s="75" t="s">
        <v>490</v>
      </c>
      <c r="F47" s="14" t="s">
        <v>2534</v>
      </c>
      <c r="G47" s="8" t="s">
        <v>11</v>
      </c>
      <c r="I47" s="152">
        <f>AVERAGE('All-Hands Attendance'!I47:L47,'All-Hands Attendance'!M47:AA47)</f>
        <v>1</v>
      </c>
      <c r="J47" s="153">
        <f>AVERAGE('Workshop Attendance '!R47:AQ47)</f>
        <v>0.6470588235</v>
      </c>
      <c r="K47" s="75" t="str">
        <f t="shared" si="1"/>
        <v>No</v>
      </c>
      <c r="L47" s="142" t="str">
        <f t="shared" si="2"/>
        <v>No</v>
      </c>
    </row>
    <row r="48">
      <c r="A48" s="51">
        <v>9.0</v>
      </c>
      <c r="B48" s="7" t="s">
        <v>113</v>
      </c>
      <c r="C48" s="7" t="s">
        <v>117</v>
      </c>
      <c r="D48" s="7" t="s">
        <v>778</v>
      </c>
      <c r="E48" s="75" t="s">
        <v>779</v>
      </c>
      <c r="F48" s="14" t="s">
        <v>2534</v>
      </c>
      <c r="G48" s="8" t="s">
        <v>11</v>
      </c>
      <c r="I48" s="152">
        <f>AVERAGE('All-Hands Attendance'!I48:L48,'All-Hands Attendance'!M48:AA48)</f>
        <v>1</v>
      </c>
      <c r="J48" s="153">
        <f>AVERAGE('Workshop Attendance '!R48:AQ48)</f>
        <v>0.6176470588</v>
      </c>
      <c r="K48" s="75" t="str">
        <f t="shared" si="1"/>
        <v>No</v>
      </c>
      <c r="L48" s="142" t="str">
        <f t="shared" si="2"/>
        <v>No</v>
      </c>
    </row>
    <row r="49">
      <c r="A49" s="51">
        <v>9.0</v>
      </c>
      <c r="B49" s="7" t="s">
        <v>113</v>
      </c>
      <c r="C49" s="7" t="s">
        <v>119</v>
      </c>
      <c r="D49" s="7" t="s">
        <v>814</v>
      </c>
      <c r="E49" s="75" t="s">
        <v>493</v>
      </c>
      <c r="F49" s="14" t="s">
        <v>2534</v>
      </c>
      <c r="G49" s="8" t="s">
        <v>11</v>
      </c>
      <c r="I49" s="152">
        <f>AVERAGE('All-Hands Attendance'!I49:L49,'All-Hands Attendance'!M49:AA49)</f>
        <v>0.9736842105</v>
      </c>
      <c r="J49" s="153">
        <f>AVERAGE('Workshop Attendance '!R49:AQ49)</f>
        <v>0.5</v>
      </c>
      <c r="K49" s="75" t="str">
        <f t="shared" si="1"/>
        <v>No</v>
      </c>
      <c r="L49" s="142" t="str">
        <f t="shared" si="2"/>
        <v>No</v>
      </c>
    </row>
    <row r="50">
      <c r="A50" s="52">
        <v>9.0</v>
      </c>
      <c r="B50" s="16" t="s">
        <v>113</v>
      </c>
      <c r="C50" s="16" t="s">
        <v>121</v>
      </c>
      <c r="D50" s="16" t="s">
        <v>940</v>
      </c>
      <c r="E50" s="15" t="s">
        <v>458</v>
      </c>
      <c r="F50" s="46" t="s">
        <v>2534</v>
      </c>
      <c r="G50" s="17" t="s">
        <v>11</v>
      </c>
      <c r="H50" s="15"/>
      <c r="I50" s="152">
        <f>AVERAGE('All-Hands Attendance'!I50:L50,'All-Hands Attendance'!M50:AA50)</f>
        <v>0.9473684211</v>
      </c>
      <c r="J50" s="153">
        <f>AVERAGE('Workshop Attendance '!R50:AQ50)</f>
        <v>0.5882352941</v>
      </c>
      <c r="K50" s="75" t="str">
        <f t="shared" si="1"/>
        <v>No</v>
      </c>
      <c r="L50" s="142" t="str">
        <f t="shared" si="2"/>
        <v>No</v>
      </c>
      <c r="M50" s="15"/>
      <c r="N50" s="15"/>
      <c r="O50" s="15"/>
      <c r="P50" s="15"/>
      <c r="Q50" s="15"/>
      <c r="R50" s="15"/>
      <c r="S50" s="15"/>
      <c r="T50" s="15"/>
    </row>
    <row r="51">
      <c r="A51" s="31">
        <v>10.0</v>
      </c>
      <c r="B51" s="7" t="s">
        <v>124</v>
      </c>
      <c r="C51" s="7" t="s">
        <v>123</v>
      </c>
      <c r="D51" s="7" t="s">
        <v>1602</v>
      </c>
      <c r="E51" s="75" t="s">
        <v>654</v>
      </c>
      <c r="F51" s="14" t="s">
        <v>2534</v>
      </c>
      <c r="G51" s="8" t="s">
        <v>11</v>
      </c>
      <c r="I51" s="152">
        <f>AVERAGE('All-Hands Attendance'!I51:L51,'All-Hands Attendance'!M51:AA51)</f>
        <v>0.9473684211</v>
      </c>
      <c r="J51" s="153">
        <f>AVERAGE('Workshop Attendance '!R51:AQ51)</f>
        <v>0.6470588235</v>
      </c>
      <c r="K51" s="75" t="str">
        <f t="shared" si="1"/>
        <v>No</v>
      </c>
      <c r="L51" s="142" t="str">
        <f t="shared" si="2"/>
        <v>No</v>
      </c>
    </row>
    <row r="52">
      <c r="A52" s="31">
        <v>10.0</v>
      </c>
      <c r="B52" s="7" t="s">
        <v>124</v>
      </c>
      <c r="C52" s="7" t="s">
        <v>126</v>
      </c>
      <c r="D52" s="7" t="s">
        <v>2104</v>
      </c>
      <c r="E52" s="75" t="s">
        <v>1266</v>
      </c>
      <c r="F52" s="14" t="s">
        <v>2534</v>
      </c>
      <c r="G52" s="8" t="s">
        <v>11</v>
      </c>
      <c r="I52" s="152">
        <f>AVERAGE('All-Hands Attendance'!I52:L52,'All-Hands Attendance'!M52:AA52)</f>
        <v>0.8684210526</v>
      </c>
      <c r="J52" s="153">
        <f>AVERAGE('Workshop Attendance '!R52:AQ52)</f>
        <v>0.5294117647</v>
      </c>
      <c r="K52" s="75" t="str">
        <f t="shared" si="1"/>
        <v>No</v>
      </c>
      <c r="L52" s="142" t="str">
        <f t="shared" si="2"/>
        <v>No</v>
      </c>
    </row>
    <row r="53">
      <c r="A53" s="31">
        <v>10.0</v>
      </c>
      <c r="B53" s="7" t="s">
        <v>124</v>
      </c>
      <c r="C53" s="7" t="s">
        <v>128</v>
      </c>
      <c r="D53" s="7" t="s">
        <v>561</v>
      </c>
      <c r="E53" s="75" t="s">
        <v>830</v>
      </c>
      <c r="F53" s="14" t="s">
        <v>2534</v>
      </c>
      <c r="G53" s="8" t="s">
        <v>11</v>
      </c>
      <c r="I53" s="152">
        <f>AVERAGE('All-Hands Attendance'!I53:L53,'All-Hands Attendance'!M53:AA53)</f>
        <v>1</v>
      </c>
      <c r="J53" s="153">
        <f>AVERAGE('Workshop Attendance '!R53:AQ53)</f>
        <v>0.6470588235</v>
      </c>
      <c r="K53" s="75" t="str">
        <f t="shared" si="1"/>
        <v>No</v>
      </c>
      <c r="L53" s="142" t="str">
        <f t="shared" si="2"/>
        <v>No</v>
      </c>
    </row>
    <row r="54">
      <c r="A54" s="31">
        <v>10.0</v>
      </c>
      <c r="B54" s="7" t="s">
        <v>124</v>
      </c>
      <c r="C54" s="7" t="s">
        <v>130</v>
      </c>
      <c r="D54" s="7" t="s">
        <v>557</v>
      </c>
      <c r="E54" s="75" t="s">
        <v>558</v>
      </c>
      <c r="F54" s="14" t="s">
        <v>2534</v>
      </c>
      <c r="G54" s="8" t="s">
        <v>11</v>
      </c>
      <c r="I54" s="152">
        <f>AVERAGE('All-Hands Attendance'!I54:L54,'All-Hands Attendance'!M54:AA54)</f>
        <v>1</v>
      </c>
      <c r="J54" s="153">
        <f>AVERAGE('Workshop Attendance '!R54:AQ54)</f>
        <v>0.6111111111</v>
      </c>
      <c r="K54" s="75" t="str">
        <f t="shared" si="1"/>
        <v>No</v>
      </c>
      <c r="L54" s="142" t="str">
        <f t="shared" si="2"/>
        <v>No</v>
      </c>
    </row>
    <row r="55">
      <c r="A55" s="31">
        <v>10.0</v>
      </c>
      <c r="B55" s="7" t="s">
        <v>124</v>
      </c>
      <c r="C55" s="7" t="s">
        <v>132</v>
      </c>
      <c r="D55" s="7" t="s">
        <v>657</v>
      </c>
      <c r="E55" s="75" t="s">
        <v>660</v>
      </c>
      <c r="F55" s="14" t="s">
        <v>2534</v>
      </c>
      <c r="G55" s="8" t="s">
        <v>11</v>
      </c>
      <c r="I55" s="152">
        <f>AVERAGE('All-Hands Attendance'!I55:L55,'All-Hands Attendance'!M55:AA55)</f>
        <v>1</v>
      </c>
      <c r="J55" s="153">
        <f>AVERAGE('Workshop Attendance '!R55:AQ55)</f>
        <v>0.6176470588</v>
      </c>
      <c r="K55" s="75" t="str">
        <f t="shared" si="1"/>
        <v>No</v>
      </c>
      <c r="L55" s="142" t="str">
        <f t="shared" si="2"/>
        <v>No</v>
      </c>
    </row>
    <row r="56">
      <c r="A56" s="33">
        <v>10.0</v>
      </c>
      <c r="B56" s="16" t="s">
        <v>124</v>
      </c>
      <c r="C56" s="16" t="s">
        <v>134</v>
      </c>
      <c r="D56" s="16" t="s">
        <v>643</v>
      </c>
      <c r="E56" s="15" t="s">
        <v>644</v>
      </c>
      <c r="F56" s="46" t="s">
        <v>2534</v>
      </c>
      <c r="G56" s="17" t="s">
        <v>11</v>
      </c>
      <c r="H56" s="15"/>
      <c r="I56" s="152">
        <f>AVERAGE('All-Hands Attendance'!I56:L56,'All-Hands Attendance'!M56:AA56)</f>
        <v>1</v>
      </c>
      <c r="J56" s="153">
        <f>AVERAGE('Workshop Attendance '!R56:AQ56)</f>
        <v>0.6470588235</v>
      </c>
      <c r="K56" s="75" t="str">
        <f t="shared" si="1"/>
        <v>No</v>
      </c>
      <c r="L56" s="142" t="str">
        <f t="shared" si="2"/>
        <v>No</v>
      </c>
      <c r="M56" s="15"/>
      <c r="N56" s="15"/>
      <c r="O56" s="15"/>
      <c r="P56" s="15"/>
      <c r="Q56" s="15"/>
      <c r="R56" s="15"/>
      <c r="S56" s="15"/>
      <c r="T56" s="15"/>
    </row>
    <row r="57">
      <c r="A57" s="9">
        <v>11.0</v>
      </c>
      <c r="B57" s="7" t="s">
        <v>137</v>
      </c>
      <c r="C57" s="7" t="s">
        <v>136</v>
      </c>
      <c r="D57" s="7" t="s">
        <v>587</v>
      </c>
      <c r="E57" s="75" t="s">
        <v>588</v>
      </c>
      <c r="F57" s="14" t="s">
        <v>2534</v>
      </c>
      <c r="G57" s="8" t="s">
        <v>11</v>
      </c>
      <c r="I57" s="152">
        <f>AVERAGE('All-Hands Attendance'!I57:L57,'All-Hands Attendance'!M57:AA57)</f>
        <v>0.8571428571</v>
      </c>
      <c r="J57" s="153">
        <f>AVERAGE('Workshop Attendance '!R57:AQ57)</f>
        <v>0.3529411765</v>
      </c>
      <c r="K57" s="75" t="str">
        <f t="shared" si="1"/>
        <v>No</v>
      </c>
      <c r="L57" s="142" t="str">
        <f t="shared" si="2"/>
        <v>No</v>
      </c>
    </row>
    <row r="58">
      <c r="A58" s="9">
        <v>11.0</v>
      </c>
      <c r="B58" s="7" t="s">
        <v>137</v>
      </c>
      <c r="C58" s="7" t="s">
        <v>139</v>
      </c>
      <c r="D58" s="7" t="s">
        <v>1428</v>
      </c>
      <c r="E58" s="75" t="s">
        <v>1429</v>
      </c>
      <c r="F58" s="14" t="s">
        <v>2534</v>
      </c>
      <c r="G58" s="8" t="s">
        <v>24</v>
      </c>
      <c r="I58" s="152">
        <f>AVERAGE('All-Hands Attendance'!I58:L58,'All-Hands Attendance'!M58:AA58)</f>
        <v>1</v>
      </c>
      <c r="J58" s="153">
        <f>AVERAGE('Workshop Attendance '!R58:AQ58)</f>
        <v>0.2941176471</v>
      </c>
      <c r="K58" s="75" t="str">
        <f t="shared" si="1"/>
        <v>Yes</v>
      </c>
      <c r="L58" s="142" t="str">
        <f t="shared" si="2"/>
        <v>Yes</v>
      </c>
    </row>
    <row r="59">
      <c r="A59" s="9">
        <v>11.0</v>
      </c>
      <c r="B59" s="7" t="s">
        <v>137</v>
      </c>
      <c r="C59" s="7" t="s">
        <v>141</v>
      </c>
      <c r="D59" s="22" t="s">
        <v>803</v>
      </c>
      <c r="E59" s="10" t="s">
        <v>2551</v>
      </c>
      <c r="F59" s="14" t="s">
        <v>2534</v>
      </c>
      <c r="G59" s="11" t="s">
        <v>28</v>
      </c>
      <c r="I59" s="152">
        <f>AVERAGE('All-Hands Attendance'!I59:L59,'All-Hands Attendance'!M59:AA59)</f>
        <v>0.9736842105</v>
      </c>
      <c r="J59" s="153">
        <f>AVERAGE('Workshop Attendance '!R59:AQ59)</f>
        <v>0.6666666667</v>
      </c>
      <c r="K59" s="75" t="str">
        <f t="shared" si="1"/>
        <v>No</v>
      </c>
      <c r="L59" s="142" t="str">
        <f t="shared" si="2"/>
        <v>No</v>
      </c>
    </row>
    <row r="60">
      <c r="A60" s="9">
        <v>11.0</v>
      </c>
      <c r="B60" s="7" t="s">
        <v>137</v>
      </c>
      <c r="C60" s="54" t="s">
        <v>143</v>
      </c>
      <c r="D60" s="22" t="s">
        <v>1835</v>
      </c>
      <c r="E60" s="10" t="s">
        <v>1836</v>
      </c>
      <c r="F60" s="14" t="s">
        <v>2534</v>
      </c>
      <c r="G60" s="55" t="s">
        <v>24</v>
      </c>
      <c r="I60" s="152">
        <f>AVERAGE('All-Hands Attendance'!I60:L60,'All-Hands Attendance'!M60:AA60)</f>
        <v>1</v>
      </c>
      <c r="J60" s="153">
        <f>AVERAGE('Workshop Attendance '!R60:AQ60)</f>
        <v>0.3888888889</v>
      </c>
      <c r="K60" s="75" t="str">
        <f t="shared" si="1"/>
        <v>Yes</v>
      </c>
      <c r="L60" s="142" t="str">
        <f t="shared" si="2"/>
        <v>Yes</v>
      </c>
    </row>
    <row r="61">
      <c r="A61" s="34">
        <v>11.0</v>
      </c>
      <c r="B61" s="162" t="s">
        <v>137</v>
      </c>
      <c r="C61" s="16" t="s">
        <v>145</v>
      </c>
      <c r="D61" s="40" t="s">
        <v>783</v>
      </c>
      <c r="E61" s="19" t="s">
        <v>545</v>
      </c>
      <c r="F61" s="163" t="s">
        <v>2534</v>
      </c>
      <c r="G61" s="17" t="s">
        <v>28</v>
      </c>
      <c r="H61" s="15"/>
      <c r="I61" s="152">
        <f>AVERAGE('All-Hands Attendance'!I61:L61,'All-Hands Attendance'!M61:AA61)</f>
        <v>1</v>
      </c>
      <c r="J61" s="153">
        <f>AVERAGE('Workshop Attendance '!R61:AQ61)</f>
        <v>0.6470588235</v>
      </c>
      <c r="K61" s="75" t="str">
        <f t="shared" si="1"/>
        <v>No</v>
      </c>
      <c r="L61" s="142" t="str">
        <f t="shared" si="2"/>
        <v>No</v>
      </c>
      <c r="M61" s="15"/>
      <c r="N61" s="15"/>
      <c r="O61" s="15"/>
      <c r="P61" s="15"/>
      <c r="Q61" s="15"/>
      <c r="R61" s="15"/>
      <c r="S61" s="15"/>
      <c r="T61" s="15"/>
    </row>
    <row r="62">
      <c r="A62" s="49">
        <v>12.0</v>
      </c>
      <c r="B62" s="37" t="s">
        <v>148</v>
      </c>
      <c r="C62" s="7" t="s">
        <v>147</v>
      </c>
      <c r="D62" s="7" t="s">
        <v>2552</v>
      </c>
      <c r="E62" s="75" t="s">
        <v>2553</v>
      </c>
      <c r="F62" s="14" t="s">
        <v>2534</v>
      </c>
      <c r="G62" s="8" t="s">
        <v>11</v>
      </c>
      <c r="I62" s="152">
        <f>AVERAGE('All-Hands Attendance'!I62:L62,'All-Hands Attendance'!M62:AA62)</f>
        <v>0.9473684211</v>
      </c>
      <c r="J62" s="153">
        <f>AVERAGE('Workshop Attendance '!R62:AQ62)</f>
        <v>0.4117647059</v>
      </c>
      <c r="K62" s="75" t="str">
        <f t="shared" si="1"/>
        <v>No</v>
      </c>
      <c r="L62" s="142" t="str">
        <f t="shared" si="2"/>
        <v>No</v>
      </c>
    </row>
    <row r="63">
      <c r="A63" s="49">
        <v>12.0</v>
      </c>
      <c r="B63" s="7" t="s">
        <v>148</v>
      </c>
      <c r="C63" s="7" t="s">
        <v>150</v>
      </c>
      <c r="D63" s="7" t="s">
        <v>774</v>
      </c>
      <c r="E63" s="75" t="s">
        <v>775</v>
      </c>
      <c r="F63" s="14" t="s">
        <v>2534</v>
      </c>
      <c r="G63" s="8" t="s">
        <v>11</v>
      </c>
      <c r="I63" s="152">
        <f>AVERAGE('All-Hands Attendance'!I63:L63,'All-Hands Attendance'!M63:AA63)</f>
        <v>0.9722222222</v>
      </c>
      <c r="J63" s="153">
        <f>AVERAGE('Workshop Attendance '!R63:AQ63)</f>
        <v>0.4117647059</v>
      </c>
      <c r="K63" s="75" t="str">
        <f t="shared" si="1"/>
        <v>No</v>
      </c>
      <c r="L63" s="142" t="str">
        <f t="shared" si="2"/>
        <v>No</v>
      </c>
    </row>
    <row r="64">
      <c r="A64" s="49">
        <v>12.0</v>
      </c>
      <c r="B64" s="7" t="s">
        <v>148</v>
      </c>
      <c r="C64" s="7" t="s">
        <v>152</v>
      </c>
      <c r="D64" s="7" t="s">
        <v>962</v>
      </c>
      <c r="E64" s="75" t="s">
        <v>769</v>
      </c>
      <c r="F64" s="14" t="s">
        <v>2534</v>
      </c>
      <c r="G64" s="8" t="s">
        <v>11</v>
      </c>
      <c r="I64" s="152">
        <f>AVERAGE('All-Hands Attendance'!I64:L64,'All-Hands Attendance'!M64:AA64)</f>
        <v>1</v>
      </c>
      <c r="J64" s="153">
        <f>AVERAGE('Workshop Attendance '!R64:AQ64)</f>
        <v>0.4117647059</v>
      </c>
      <c r="K64" s="75" t="str">
        <f t="shared" si="1"/>
        <v>No</v>
      </c>
      <c r="L64" s="142" t="str">
        <f t="shared" si="2"/>
        <v>No</v>
      </c>
    </row>
    <row r="65">
      <c r="A65" s="49">
        <v>12.0</v>
      </c>
      <c r="B65" s="7" t="s">
        <v>148</v>
      </c>
      <c r="C65" s="7" t="s">
        <v>154</v>
      </c>
      <c r="D65" s="7" t="s">
        <v>546</v>
      </c>
      <c r="E65" s="75" t="s">
        <v>435</v>
      </c>
      <c r="F65" s="14" t="s">
        <v>2534</v>
      </c>
      <c r="G65" s="8" t="s">
        <v>11</v>
      </c>
      <c r="I65" s="152">
        <f>AVERAGE('All-Hands Attendance'!I65:L65,'All-Hands Attendance'!M65:AA65)</f>
        <v>0.9473684211</v>
      </c>
      <c r="J65" s="153">
        <f>AVERAGE('Workshop Attendance '!R65:AQ65)</f>
        <v>0.5294117647</v>
      </c>
      <c r="K65" s="75" t="str">
        <f t="shared" si="1"/>
        <v>No</v>
      </c>
      <c r="L65" s="142" t="str">
        <f t="shared" si="2"/>
        <v>No</v>
      </c>
    </row>
    <row r="66">
      <c r="A66" s="49">
        <v>12.0</v>
      </c>
      <c r="B66" s="7" t="s">
        <v>148</v>
      </c>
      <c r="C66" s="7" t="s">
        <v>156</v>
      </c>
      <c r="D66" s="7" t="s">
        <v>528</v>
      </c>
      <c r="E66" s="75" t="s">
        <v>529</v>
      </c>
      <c r="F66" s="14" t="s">
        <v>2534</v>
      </c>
      <c r="G66" s="8" t="s">
        <v>11</v>
      </c>
      <c r="I66" s="152">
        <f>AVERAGE('All-Hands Attendance'!I66:L66,'All-Hands Attendance'!M66:AA66)</f>
        <v>0.8888888889</v>
      </c>
      <c r="J66" s="153">
        <f>AVERAGE('Workshop Attendance '!R66:AQ66)</f>
        <v>0.5294117647</v>
      </c>
      <c r="K66" s="75" t="str">
        <f t="shared" si="1"/>
        <v>No</v>
      </c>
      <c r="L66" s="142" t="str">
        <f t="shared" si="2"/>
        <v>No</v>
      </c>
    </row>
    <row r="67">
      <c r="A67" s="50">
        <v>12.0</v>
      </c>
      <c r="B67" s="16" t="s">
        <v>148</v>
      </c>
      <c r="C67" s="16" t="s">
        <v>158</v>
      </c>
      <c r="D67" s="16" t="s">
        <v>540</v>
      </c>
      <c r="E67" s="15" t="s">
        <v>541</v>
      </c>
      <c r="F67" s="46" t="s">
        <v>2534</v>
      </c>
      <c r="G67" s="17" t="s">
        <v>11</v>
      </c>
      <c r="H67" s="15"/>
      <c r="I67" s="152">
        <f>AVERAGE('All-Hands Attendance'!I67:L67,'All-Hands Attendance'!M67:AA67)</f>
        <v>1</v>
      </c>
      <c r="J67" s="153">
        <f>AVERAGE('Workshop Attendance '!R67:AQ67)</f>
        <v>0.7058823529</v>
      </c>
      <c r="K67" s="75" t="str">
        <f t="shared" si="1"/>
        <v>No</v>
      </c>
      <c r="L67" s="142" t="str">
        <f t="shared" si="2"/>
        <v>No</v>
      </c>
      <c r="M67" s="15"/>
      <c r="N67" s="15"/>
      <c r="O67" s="15"/>
      <c r="P67" s="15"/>
      <c r="Q67" s="15"/>
      <c r="R67" s="15"/>
      <c r="S67" s="15"/>
      <c r="T67" s="15"/>
    </row>
    <row r="68">
      <c r="A68" s="31">
        <v>13.0</v>
      </c>
      <c r="B68" s="7" t="s">
        <v>161</v>
      </c>
      <c r="C68" s="7" t="s">
        <v>160</v>
      </c>
      <c r="D68" s="7" t="s">
        <v>631</v>
      </c>
      <c r="E68" s="75" t="s">
        <v>870</v>
      </c>
      <c r="F68" s="14" t="s">
        <v>2534</v>
      </c>
      <c r="G68" s="8" t="s">
        <v>24</v>
      </c>
      <c r="I68" s="152">
        <f>AVERAGE('All-Hands Attendance'!I68:L68,'All-Hands Attendance'!M68:AA68)</f>
        <v>0.9210526316</v>
      </c>
      <c r="J68" s="153">
        <f>AVERAGE('Workshop Attendance '!R68:AQ68)</f>
        <v>0.3823529412</v>
      </c>
      <c r="K68" s="75" t="str">
        <f t="shared" si="1"/>
        <v>Yes</v>
      </c>
      <c r="L68" s="142" t="str">
        <f t="shared" si="2"/>
        <v>No</v>
      </c>
    </row>
    <row r="69">
      <c r="A69" s="31">
        <v>13.0</v>
      </c>
      <c r="B69" s="7" t="s">
        <v>161</v>
      </c>
      <c r="C69" s="7" t="s">
        <v>163</v>
      </c>
      <c r="D69" s="7" t="s">
        <v>425</v>
      </c>
      <c r="E69" s="75" t="s">
        <v>895</v>
      </c>
      <c r="F69" s="14" t="s">
        <v>2534</v>
      </c>
      <c r="G69" s="8" t="s">
        <v>24</v>
      </c>
      <c r="I69" s="152">
        <f>AVERAGE('All-Hands Attendance'!I69:L69,'All-Hands Attendance'!M69:AA69)</f>
        <v>0.9736842105</v>
      </c>
      <c r="J69" s="153">
        <f>AVERAGE('Workshop Attendance '!R69:AQ69)</f>
        <v>0.5</v>
      </c>
      <c r="K69" s="75" t="str">
        <f t="shared" si="1"/>
        <v>Yes</v>
      </c>
      <c r="L69" s="142" t="str">
        <f t="shared" si="2"/>
        <v>No</v>
      </c>
    </row>
    <row r="70">
      <c r="A70" s="31">
        <v>13.0</v>
      </c>
      <c r="B70" s="7" t="s">
        <v>161</v>
      </c>
      <c r="C70" s="7" t="s">
        <v>165</v>
      </c>
      <c r="D70" s="7" t="s">
        <v>847</v>
      </c>
      <c r="E70" s="75" t="s">
        <v>848</v>
      </c>
      <c r="F70" s="14" t="s">
        <v>2534</v>
      </c>
      <c r="G70" s="8" t="s">
        <v>28</v>
      </c>
      <c r="I70" s="152">
        <f>AVERAGE('All-Hands Attendance'!I70:L70,'All-Hands Attendance'!M70:AA70)</f>
        <v>1</v>
      </c>
      <c r="J70" s="153">
        <f>AVERAGE('Workshop Attendance '!R70:AQ70)</f>
        <v>0.5294117647</v>
      </c>
      <c r="K70" s="75" t="str">
        <f t="shared" si="1"/>
        <v>No</v>
      </c>
      <c r="L70" s="142" t="str">
        <f t="shared" si="2"/>
        <v>No</v>
      </c>
    </row>
    <row r="71">
      <c r="A71" s="31">
        <v>13.0</v>
      </c>
      <c r="B71" s="7" t="s">
        <v>161</v>
      </c>
      <c r="C71" s="7" t="s">
        <v>167</v>
      </c>
      <c r="D71" s="7" t="s">
        <v>599</v>
      </c>
      <c r="E71" s="75" t="s">
        <v>600</v>
      </c>
      <c r="F71" s="14" t="s">
        <v>2534</v>
      </c>
      <c r="G71" s="8" t="s">
        <v>28</v>
      </c>
      <c r="I71" s="152">
        <f>AVERAGE('All-Hands Attendance'!I72:L72,'All-Hands Attendance'!M72:AA72)</f>
        <v>1</v>
      </c>
      <c r="J71" s="153">
        <f>AVERAGE('Workshop Attendance '!R71:AQ71)</f>
        <v>0.6470588235</v>
      </c>
      <c r="K71" s="75" t="str">
        <f t="shared" si="1"/>
        <v>No</v>
      </c>
      <c r="L71" s="142" t="str">
        <f t="shared" si="2"/>
        <v>No</v>
      </c>
    </row>
    <row r="72">
      <c r="A72" s="33">
        <v>13.0</v>
      </c>
      <c r="B72" s="16" t="s">
        <v>161</v>
      </c>
      <c r="C72" s="16" t="s">
        <v>169</v>
      </c>
      <c r="D72" s="16" t="s">
        <v>676</v>
      </c>
      <c r="E72" s="15" t="s">
        <v>677</v>
      </c>
      <c r="F72" s="46" t="s">
        <v>2534</v>
      </c>
      <c r="G72" s="17" t="s">
        <v>28</v>
      </c>
      <c r="H72" s="15"/>
      <c r="I72" s="152">
        <f>AVERAGE('All-Hands Attendance'!I73:L73,'All-Hands Attendance'!M73:AA73)</f>
        <v>1</v>
      </c>
      <c r="J72" s="153">
        <f>AVERAGE('Workshop Attendance '!R72:AQ72)</f>
        <v>0.6176470588</v>
      </c>
      <c r="K72" s="75" t="str">
        <f t="shared" si="1"/>
        <v>No</v>
      </c>
      <c r="L72" s="142" t="str">
        <f t="shared" si="2"/>
        <v>No</v>
      </c>
    </row>
    <row r="73">
      <c r="A73" s="21">
        <v>14.0</v>
      </c>
      <c r="B73" s="7" t="s">
        <v>172</v>
      </c>
      <c r="C73" s="7" t="s">
        <v>171</v>
      </c>
      <c r="D73" s="7" t="s">
        <v>609</v>
      </c>
      <c r="E73" s="75" t="s">
        <v>610</v>
      </c>
      <c r="F73" s="14" t="s">
        <v>2534</v>
      </c>
      <c r="G73" s="8" t="s">
        <v>28</v>
      </c>
      <c r="I73" s="152">
        <f>AVERAGE('All-Hands Attendance'!I74:L74,'All-Hands Attendance'!M74:AA74)</f>
        <v>1</v>
      </c>
      <c r="J73" s="153">
        <f>AVERAGE('Workshop Attendance '!R73:AQ73)</f>
        <v>0.6764705882</v>
      </c>
      <c r="K73" s="75" t="str">
        <f t="shared" si="1"/>
        <v>No</v>
      </c>
      <c r="L73" s="142" t="str">
        <f t="shared" si="2"/>
        <v>No</v>
      </c>
      <c r="M73" s="15"/>
      <c r="N73" s="15"/>
      <c r="O73" s="15"/>
      <c r="P73" s="15"/>
      <c r="Q73" s="15"/>
      <c r="R73" s="15"/>
      <c r="S73" s="15"/>
      <c r="T73" s="15"/>
    </row>
    <row r="74">
      <c r="A74" s="21">
        <v>14.0</v>
      </c>
      <c r="B74" s="7" t="s">
        <v>172</v>
      </c>
      <c r="C74" s="7" t="s">
        <v>174</v>
      </c>
      <c r="D74" s="7" t="s">
        <v>2436</v>
      </c>
      <c r="E74" s="75" t="s">
        <v>638</v>
      </c>
      <c r="F74" s="14" t="s">
        <v>2534</v>
      </c>
      <c r="G74" s="8" t="s">
        <v>28</v>
      </c>
      <c r="I74" s="152">
        <f>AVERAGE('All-Hands Attendance'!I75:L75,'All-Hands Attendance'!M75:AA75)</f>
        <v>1</v>
      </c>
      <c r="J74" s="153">
        <f>AVERAGE('Workshop Attendance '!R74:AQ74)</f>
        <v>0.6470588235</v>
      </c>
      <c r="K74" s="75" t="str">
        <f t="shared" si="1"/>
        <v>No</v>
      </c>
      <c r="L74" s="142" t="str">
        <f t="shared" si="2"/>
        <v>No</v>
      </c>
    </row>
    <row r="75">
      <c r="A75" s="21">
        <v>14.0</v>
      </c>
      <c r="B75" s="7" t="s">
        <v>172</v>
      </c>
      <c r="C75" s="7" t="s">
        <v>176</v>
      </c>
      <c r="D75" s="7" t="s">
        <v>1431</v>
      </c>
      <c r="E75" s="75" t="s">
        <v>658</v>
      </c>
      <c r="F75" s="14" t="s">
        <v>2534</v>
      </c>
      <c r="G75" s="8" t="s">
        <v>24</v>
      </c>
      <c r="I75" s="152">
        <f>AVERAGE('All-Hands Attendance'!I76:L76,'All-Hands Attendance'!M76:AA76)</f>
        <v>0.8947368421</v>
      </c>
      <c r="J75" s="153">
        <f>AVERAGE('Workshop Attendance '!R75:AQ75)</f>
        <v>0.3529411765</v>
      </c>
      <c r="K75" s="75" t="str">
        <f t="shared" si="1"/>
        <v>Yes</v>
      </c>
      <c r="L75" s="142" t="str">
        <f t="shared" si="2"/>
        <v>No</v>
      </c>
    </row>
    <row r="76">
      <c r="A76" s="21">
        <v>14.0</v>
      </c>
      <c r="B76" s="7" t="s">
        <v>172</v>
      </c>
      <c r="C76" s="7" t="s">
        <v>178</v>
      </c>
      <c r="D76" s="7" t="s">
        <v>1216</v>
      </c>
      <c r="E76" s="75" t="s">
        <v>689</v>
      </c>
      <c r="F76" s="14" t="s">
        <v>2534</v>
      </c>
      <c r="G76" s="8" t="s">
        <v>24</v>
      </c>
      <c r="I76" s="152">
        <f>AVERAGE('All-Hands Attendance'!I77:L77,'All-Hands Attendance'!M77:AA77)</f>
        <v>1</v>
      </c>
      <c r="J76" s="153">
        <f>AVERAGE('Workshop Attendance '!R76:AQ76)</f>
        <v>0.1764705882</v>
      </c>
      <c r="K76" s="75" t="str">
        <f t="shared" si="1"/>
        <v>No</v>
      </c>
      <c r="L76" s="142" t="str">
        <f t="shared" si="2"/>
        <v>No</v>
      </c>
    </row>
    <row r="77">
      <c r="A77" s="21">
        <v>14.0</v>
      </c>
      <c r="B77" s="7" t="s">
        <v>172</v>
      </c>
      <c r="C77" s="7" t="s">
        <v>180</v>
      </c>
      <c r="D77" s="7" t="s">
        <v>1219</v>
      </c>
      <c r="E77" s="75" t="s">
        <v>1220</v>
      </c>
      <c r="F77" s="14" t="s">
        <v>2534</v>
      </c>
      <c r="G77" s="8" t="s">
        <v>24</v>
      </c>
      <c r="I77" s="152">
        <f>AVERAGE('All-Hands Attendance'!I77:L77,'All-Hands Attendance'!M77:AA77)</f>
        <v>1</v>
      </c>
      <c r="J77" s="153">
        <f>AVERAGE('Workshop Attendance '!R77:AQ77)</f>
        <v>0.2352941176</v>
      </c>
      <c r="K77" s="75" t="str">
        <f t="shared" si="1"/>
        <v>No</v>
      </c>
      <c r="L77" s="142" t="str">
        <f t="shared" si="2"/>
        <v>No</v>
      </c>
    </row>
    <row r="78">
      <c r="A78" s="24">
        <v>14.0</v>
      </c>
      <c r="B78" s="16" t="s">
        <v>172</v>
      </c>
      <c r="C78" s="16" t="s">
        <v>182</v>
      </c>
      <c r="D78" s="16" t="s">
        <v>1203</v>
      </c>
      <c r="E78" s="15" t="s">
        <v>1330</v>
      </c>
      <c r="F78" s="46" t="s">
        <v>2534</v>
      </c>
      <c r="G78" s="17" t="s">
        <v>24</v>
      </c>
      <c r="H78" s="15"/>
      <c r="I78" s="152">
        <f>AVERAGE('All-Hands Attendance'!I78:L78,'All-Hands Attendance'!M78:AA78)</f>
        <v>0.8157894737</v>
      </c>
      <c r="J78" s="153">
        <f>AVERAGE('Workshop Attendance '!R78:AQ78)</f>
        <v>0.2647058824</v>
      </c>
      <c r="K78" s="75" t="str">
        <f t="shared" si="1"/>
        <v>Yes</v>
      </c>
      <c r="L78" s="142" t="str">
        <f t="shared" si="2"/>
        <v>No</v>
      </c>
    </row>
    <row r="79">
      <c r="A79" s="9">
        <v>1.0</v>
      </c>
      <c r="B79" s="7" t="s">
        <v>10</v>
      </c>
      <c r="C79" s="7" t="s">
        <v>184</v>
      </c>
      <c r="D79" s="7" t="s">
        <v>865</v>
      </c>
      <c r="E79" s="75" t="s">
        <v>866</v>
      </c>
      <c r="F79" s="14" t="s">
        <v>2534</v>
      </c>
      <c r="G79" s="8" t="s">
        <v>11</v>
      </c>
      <c r="I79" s="152">
        <f>AVERAGE('All-Hands Attendance'!I79:L79,'All-Hands Attendance'!M79:AA79)</f>
        <v>0.9722222222</v>
      </c>
      <c r="J79" s="153">
        <f>AVERAGE('Workshop Attendance '!R79:AQ79)</f>
        <v>0.5882352941</v>
      </c>
      <c r="K79" s="75" t="str">
        <f t="shared" si="1"/>
        <v>No</v>
      </c>
      <c r="L79" s="142" t="str">
        <f t="shared" si="2"/>
        <v>No</v>
      </c>
    </row>
    <row r="80">
      <c r="A80" s="60">
        <v>15.0</v>
      </c>
      <c r="B80" s="7" t="s">
        <v>185</v>
      </c>
      <c r="C80" s="7" t="s">
        <v>187</v>
      </c>
      <c r="D80" s="7" t="s">
        <v>751</v>
      </c>
      <c r="E80" s="75" t="s">
        <v>647</v>
      </c>
      <c r="F80" s="14" t="s">
        <v>2534</v>
      </c>
      <c r="G80" s="8" t="s">
        <v>24</v>
      </c>
      <c r="I80" s="152">
        <f>AVERAGE('All-Hands Attendance'!I80:L80,'All-Hands Attendance'!M80:AA80)</f>
        <v>0.8888888889</v>
      </c>
      <c r="J80" s="153">
        <f>AVERAGE('Workshop Attendance '!R80:AQ80)</f>
        <v>0.5882352941</v>
      </c>
      <c r="K80" s="75" t="str">
        <f t="shared" si="1"/>
        <v>Yes</v>
      </c>
      <c r="L80" s="142" t="str">
        <f t="shared" si="2"/>
        <v>No</v>
      </c>
      <c r="M80" s="15"/>
      <c r="N80" s="15"/>
      <c r="O80" s="15"/>
      <c r="P80" s="15"/>
      <c r="Q80" s="15"/>
      <c r="R80" s="15"/>
      <c r="S80" s="15"/>
      <c r="T80" s="15"/>
    </row>
    <row r="81">
      <c r="A81" s="60">
        <v>15.0</v>
      </c>
      <c r="B81" s="7" t="s">
        <v>185</v>
      </c>
      <c r="C81" s="7" t="s">
        <v>189</v>
      </c>
      <c r="D81" s="7" t="s">
        <v>561</v>
      </c>
      <c r="E81" s="75" t="s">
        <v>431</v>
      </c>
      <c r="F81" s="14" t="s">
        <v>2534</v>
      </c>
      <c r="G81" s="8" t="s">
        <v>24</v>
      </c>
      <c r="I81" s="152">
        <f>AVERAGE('All-Hands Attendance'!I81:L81,'All-Hands Attendance'!M81:AA81)</f>
        <v>0.8888888889</v>
      </c>
      <c r="J81" s="153">
        <f>AVERAGE('Workshop Attendance '!R81:AQ81)</f>
        <v>0.3823529412</v>
      </c>
      <c r="K81" s="75" t="str">
        <f t="shared" si="1"/>
        <v>Yes</v>
      </c>
      <c r="L81" s="142" t="str">
        <f t="shared" si="2"/>
        <v>No</v>
      </c>
    </row>
    <row r="82">
      <c r="A82" s="60">
        <v>15.0</v>
      </c>
      <c r="B82" s="7" t="s">
        <v>185</v>
      </c>
      <c r="C82" s="7" t="s">
        <v>191</v>
      </c>
      <c r="D82" s="7" t="s">
        <v>512</v>
      </c>
      <c r="E82" s="75" t="s">
        <v>513</v>
      </c>
      <c r="F82" s="14" t="s">
        <v>2534</v>
      </c>
      <c r="G82" s="8" t="s">
        <v>11</v>
      </c>
      <c r="I82" s="152">
        <f>AVERAGE('All-Hands Attendance'!I82:L82,'All-Hands Attendance'!M82:AA82)</f>
        <v>1</v>
      </c>
      <c r="J82" s="153">
        <f>AVERAGE('Workshop Attendance '!R82:AQ82)</f>
        <v>0.5294117647</v>
      </c>
      <c r="K82" s="75" t="str">
        <f t="shared" si="1"/>
        <v>No</v>
      </c>
      <c r="L82" s="142" t="str">
        <f t="shared" si="2"/>
        <v>No</v>
      </c>
    </row>
    <row r="83">
      <c r="A83" s="60">
        <v>15.0</v>
      </c>
      <c r="B83" s="7" t="s">
        <v>185</v>
      </c>
      <c r="C83" s="7" t="s">
        <v>193</v>
      </c>
      <c r="D83" s="7" t="s">
        <v>549</v>
      </c>
      <c r="E83" s="75" t="s">
        <v>550</v>
      </c>
      <c r="F83" s="14" t="s">
        <v>2534</v>
      </c>
      <c r="G83" s="8" t="s">
        <v>28</v>
      </c>
      <c r="I83" s="152">
        <f>AVERAGE('All-Hands Attendance'!I83:L83,'All-Hands Attendance'!M83:AA83)</f>
        <v>0.9444444444</v>
      </c>
      <c r="J83" s="153">
        <f>AVERAGE('Workshop Attendance '!R83:AQ83)</f>
        <v>0.6470588235</v>
      </c>
      <c r="K83" s="75" t="str">
        <f t="shared" si="1"/>
        <v>No</v>
      </c>
      <c r="L83" s="142" t="str">
        <f t="shared" si="2"/>
        <v>No</v>
      </c>
    </row>
    <row r="84">
      <c r="A84" s="62">
        <v>15.0</v>
      </c>
      <c r="B84" s="16" t="s">
        <v>185</v>
      </c>
      <c r="C84" s="16" t="s">
        <v>195</v>
      </c>
      <c r="D84" s="16" t="s">
        <v>501</v>
      </c>
      <c r="E84" s="15" t="s">
        <v>1025</v>
      </c>
      <c r="F84" s="46" t="s">
        <v>2534</v>
      </c>
      <c r="G84" s="17" t="s">
        <v>28</v>
      </c>
      <c r="H84" s="15"/>
      <c r="I84" s="152">
        <f>AVERAGE('All-Hands Attendance'!I84:L84,'All-Hands Attendance'!M84:AA84)</f>
        <v>0.9166666667</v>
      </c>
      <c r="J84" s="153">
        <f>AVERAGE('Workshop Attendance '!R84:AQ84)</f>
        <v>0.5588235294</v>
      </c>
      <c r="K84" s="75" t="str">
        <f t="shared" si="1"/>
        <v>No</v>
      </c>
      <c r="L84" s="142" t="str">
        <f t="shared" si="2"/>
        <v>No</v>
      </c>
    </row>
    <row r="85">
      <c r="A85" s="164">
        <v>16.0</v>
      </c>
      <c r="B85" s="80" t="s">
        <v>198</v>
      </c>
      <c r="C85" s="7" t="s">
        <v>197</v>
      </c>
      <c r="D85" s="80" t="s">
        <v>618</v>
      </c>
      <c r="E85" s="75" t="s">
        <v>619</v>
      </c>
      <c r="F85" s="14" t="s">
        <v>2534</v>
      </c>
      <c r="G85" s="8" t="s">
        <v>11</v>
      </c>
      <c r="I85" s="152">
        <f>AVERAGE('All-Hands Attendance'!I85:L85,'All-Hands Attendance'!M85:AA85)</f>
        <v>0.9473684211</v>
      </c>
      <c r="J85" s="153">
        <f>AVERAGE('Workshop Attendance '!R85:AQ85)</f>
        <v>0.6764705882</v>
      </c>
      <c r="K85" s="75" t="str">
        <f t="shared" si="1"/>
        <v>No</v>
      </c>
      <c r="L85" s="142" t="str">
        <f t="shared" ref="L85:L91" si="3">IF(UPPER(TRIM(G85))="N",
  IF(AND(
    IFERROR(IF(I86&gt;1,I86/100,I86), VALUE(SUBSTITUTE(TRIM(I86),"%",""))/100) &gt;= 1,
    IFERROR(IF(J85&gt;1,J85/100,J85), VALUE(SUBSTITUTE(TRIM(J85),"%",""))/100) &gt;= 0.75
  ), "Yes", "No"),
  IF(UPPER(TRIM(G85))="E",
    IF(AND(
      IFERROR(IF(I86&gt;1,I86/100,I86), VALUE(SUBSTITUTE(TRIM(I86),"%",""))/100) &gt;= 1,
      IFERROR(IF(J85&gt;1,J85/100,J85), VALUE(SUBSTITUTE(TRIM(J85),"%",""))/100) &gt;= 0.25
    ), "Yes", "No"),
  "No")
)
</f>
        <v>No</v>
      </c>
      <c r="M85" s="15"/>
      <c r="N85" s="15"/>
      <c r="O85" s="15"/>
      <c r="P85" s="15"/>
      <c r="Q85" s="15"/>
      <c r="R85" s="15"/>
      <c r="S85" s="15"/>
      <c r="T85" s="15"/>
    </row>
    <row r="86">
      <c r="A86" s="35">
        <v>16.0</v>
      </c>
      <c r="B86" s="7" t="s">
        <v>198</v>
      </c>
      <c r="C86" s="7" t="s">
        <v>200</v>
      </c>
      <c r="D86" s="7" t="s">
        <v>593</v>
      </c>
      <c r="E86" s="75" t="s">
        <v>588</v>
      </c>
      <c r="F86" s="14" t="s">
        <v>2534</v>
      </c>
      <c r="G86" s="8" t="s">
        <v>11</v>
      </c>
      <c r="I86" s="152">
        <f>AVERAGE('All-Hands Attendance'!I86:L86,'All-Hands Attendance'!M86:AA86)</f>
        <v>1</v>
      </c>
      <c r="J86" s="153">
        <f>AVERAGE('Workshop Attendance '!R86:AQ86)</f>
        <v>0.7058823529</v>
      </c>
      <c r="K86" s="75" t="str">
        <f t="shared" si="1"/>
        <v>No</v>
      </c>
      <c r="L86" s="142" t="str">
        <f t="shared" si="3"/>
        <v>No</v>
      </c>
    </row>
    <row r="87">
      <c r="A87" s="35">
        <v>16.0</v>
      </c>
      <c r="B87" s="7" t="s">
        <v>198</v>
      </c>
      <c r="C87" s="7" t="s">
        <v>202</v>
      </c>
      <c r="D87" s="7" t="s">
        <v>634</v>
      </c>
      <c r="E87" s="75" t="s">
        <v>635</v>
      </c>
      <c r="F87" s="13" t="s">
        <v>2539</v>
      </c>
      <c r="G87" s="8" t="s">
        <v>11</v>
      </c>
      <c r="I87" s="152">
        <f>AVERAGE('All-Hands Attendance'!I87:L87,'All-Hands Attendance'!M87:AA87)</f>
        <v>0.4473684211</v>
      </c>
      <c r="J87" s="153">
        <f>AVERAGE('Workshop Attendance '!R87:AQ87)</f>
        <v>0.3823529412</v>
      </c>
      <c r="K87" s="75" t="str">
        <f t="shared" si="1"/>
        <v>No</v>
      </c>
      <c r="L87" s="142" t="str">
        <f t="shared" si="3"/>
        <v>No</v>
      </c>
    </row>
    <row r="88">
      <c r="A88" s="35">
        <v>16.0</v>
      </c>
      <c r="B88" s="7" t="s">
        <v>198</v>
      </c>
      <c r="C88" s="7" t="s">
        <v>204</v>
      </c>
      <c r="D88" s="7" t="s">
        <v>745</v>
      </c>
      <c r="E88" s="75" t="s">
        <v>689</v>
      </c>
      <c r="F88" s="14" t="s">
        <v>2534</v>
      </c>
      <c r="G88" s="8" t="s">
        <v>11</v>
      </c>
      <c r="I88" s="152">
        <f>AVERAGE('All-Hands Attendance'!I88:L88,'All-Hands Attendance'!M88:AA88)</f>
        <v>0.9736842105</v>
      </c>
      <c r="J88" s="153">
        <f>AVERAGE('Workshop Attendance '!R88:AQ88)</f>
        <v>0.5294117647</v>
      </c>
      <c r="K88" s="75" t="str">
        <f t="shared" si="1"/>
        <v>No</v>
      </c>
      <c r="L88" s="142" t="str">
        <f t="shared" si="3"/>
        <v>No</v>
      </c>
    </row>
    <row r="89">
      <c r="A89" s="35">
        <v>16.0</v>
      </c>
      <c r="B89" s="7" t="s">
        <v>198</v>
      </c>
      <c r="C89" s="7" t="s">
        <v>206</v>
      </c>
      <c r="D89" s="7" t="s">
        <v>445</v>
      </c>
      <c r="E89" s="75" t="s">
        <v>1018</v>
      </c>
      <c r="F89" s="14" t="s">
        <v>2534</v>
      </c>
      <c r="G89" s="8" t="s">
        <v>24</v>
      </c>
      <c r="I89" s="152">
        <f>AVERAGE('All-Hands Attendance'!I89:L89,'All-Hands Attendance'!M89:AA89)</f>
        <v>0.6578947368</v>
      </c>
      <c r="J89" s="153">
        <f>AVERAGE('Workshop Attendance '!R89:AQ89)</f>
        <v>0.5</v>
      </c>
      <c r="K89" s="75" t="str">
        <f t="shared" si="1"/>
        <v>Yes</v>
      </c>
      <c r="L89" s="142" t="str">
        <f t="shared" si="3"/>
        <v>No</v>
      </c>
    </row>
    <row r="90">
      <c r="A90" s="36">
        <v>16.0</v>
      </c>
      <c r="B90" s="16" t="s">
        <v>198</v>
      </c>
      <c r="C90" s="16" t="s">
        <v>208</v>
      </c>
      <c r="D90" s="162" t="s">
        <v>701</v>
      </c>
      <c r="E90" s="15" t="s">
        <v>1022</v>
      </c>
      <c r="F90" s="46" t="s">
        <v>2534</v>
      </c>
      <c r="G90" s="8" t="s">
        <v>28</v>
      </c>
      <c r="H90" s="15"/>
      <c r="I90" s="152">
        <f>AVERAGE('All-Hands Attendance'!I90:L90,'All-Hands Attendance'!M90:AA90)</f>
        <v>0.6578947368</v>
      </c>
      <c r="J90" s="153">
        <f>AVERAGE('Workshop Attendance '!R90:AQ90)</f>
        <v>0.5588235294</v>
      </c>
      <c r="K90" s="75" t="str">
        <f t="shared" si="1"/>
        <v>No</v>
      </c>
      <c r="L90" s="142" t="str">
        <f t="shared" si="3"/>
        <v>No</v>
      </c>
    </row>
    <row r="91">
      <c r="A91" s="63">
        <v>17.0</v>
      </c>
      <c r="B91" s="7" t="s">
        <v>211</v>
      </c>
      <c r="C91" s="7" t="s">
        <v>210</v>
      </c>
      <c r="D91" s="37" t="s">
        <v>711</v>
      </c>
      <c r="E91" s="75" t="s">
        <v>712</v>
      </c>
      <c r="F91" s="14" t="s">
        <v>2534</v>
      </c>
      <c r="G91" s="8" t="s">
        <v>28</v>
      </c>
      <c r="I91" s="152">
        <f>AVERAGE('All-Hands Attendance'!I91:L91,'All-Hands Attendance'!M91:AA91)</f>
        <v>0.6315789474</v>
      </c>
      <c r="J91" s="153">
        <f>AVERAGE('Workshop Attendance '!R91:AQ91)</f>
        <v>0.5588235294</v>
      </c>
      <c r="K91" s="75" t="str">
        <f t="shared" si="1"/>
        <v>No</v>
      </c>
      <c r="L91" s="142" t="str">
        <f t="shared" si="3"/>
        <v>No</v>
      </c>
      <c r="M91" s="15"/>
      <c r="N91" s="15"/>
      <c r="O91" s="15"/>
      <c r="P91" s="15"/>
      <c r="Q91" s="15"/>
      <c r="R91" s="15"/>
      <c r="S91" s="15"/>
      <c r="T91" s="15"/>
    </row>
    <row r="92">
      <c r="A92" s="63">
        <v>17.0</v>
      </c>
      <c r="B92" s="7" t="s">
        <v>211</v>
      </c>
      <c r="C92" s="7" t="s">
        <v>213</v>
      </c>
      <c r="D92" s="7" t="s">
        <v>728</v>
      </c>
      <c r="E92" s="75" t="s">
        <v>729</v>
      </c>
      <c r="F92" s="14" t="s">
        <v>2534</v>
      </c>
      <c r="G92" s="8" t="s">
        <v>11</v>
      </c>
      <c r="I92" s="152">
        <f>AVERAGE('All-Hands Attendance'!I92:L92,'All-Hands Attendance'!M92:AA92)</f>
        <v>0.9210526316</v>
      </c>
      <c r="J92" s="153">
        <f>AVERAGE('Workshop Attendance '!R92:AQ92)</f>
        <v>0.5882352941</v>
      </c>
      <c r="K92" s="75" t="str">
        <f t="shared" si="1"/>
        <v>No</v>
      </c>
      <c r="L92" s="142" t="str">
        <f>IF(UPPER(TRIM(G92))="N",
  IF(AND(
    IFERROR(IF(#REF!&gt;1,#REF!/100,#REF!), VALUE(SUBSTITUTE(TRIM(#REF!),"%",""))/100) &gt;= 1,
    IFERROR(IF(J92&gt;1,J92/100,J92), VALUE(SUBSTITUTE(TRIM(J92),"%",""))/100) &gt;= 0.75
  ), "Yes", "No"),
  IF(UPPER(TRIM(G92))="E",
    IF(AND(
      IFERROR(IF(#REF!&gt;1,#REF!/100,#REF!), VALUE(SUBSTITUTE(TRIM(#REF!),"%",""))/100) &gt;= 1,
      IFERROR(IF(J92&gt;1,J92/100,J92), VALUE(SUBSTITUTE(TRIM(J92),"%",""))/100) &gt;= 0.25
    ), "Yes", "No"),
  "No")
)
</f>
        <v>#REF!</v>
      </c>
    </row>
    <row r="93">
      <c r="A93" s="63">
        <v>17.0</v>
      </c>
      <c r="B93" s="7" t="s">
        <v>211</v>
      </c>
      <c r="C93" s="7" t="s">
        <v>215</v>
      </c>
      <c r="D93" s="7" t="s">
        <v>452</v>
      </c>
      <c r="E93" s="75" t="s">
        <v>453</v>
      </c>
      <c r="F93" s="14" t="s">
        <v>2534</v>
      </c>
      <c r="G93" s="8" t="s">
        <v>11</v>
      </c>
      <c r="I93" s="152">
        <f>AVERAGE('All-Hands Attendance'!I71:L71,'All-Hands Attendance'!M71:AA71)</f>
        <v>0.9736842105</v>
      </c>
      <c r="J93" s="153">
        <f>AVERAGE('Workshop Attendance '!R93:AQ93)</f>
        <v>0.5588235294</v>
      </c>
      <c r="K93" s="75" t="str">
        <f t="shared" si="1"/>
        <v>No</v>
      </c>
      <c r="L93" s="142" t="str">
        <f t="shared" ref="L93:L104" si="4">IF(UPPER(TRIM(G93))="N",
  IF(AND(
    IFERROR(IF(I93&gt;1,I93/100,I93), VALUE(SUBSTITUTE(TRIM(I93),"%",""))/100) &gt;= 1,
    IFERROR(IF(J93&gt;1,J93/100,J93), VALUE(SUBSTITUTE(TRIM(J93),"%",""))/100) &gt;= 0.75
  ), "Yes", "No"),
  IF(UPPER(TRIM(G93))="E",
    IF(AND(
      IFERROR(IF(I93&gt;1,I93/100,I93), VALUE(SUBSTITUTE(TRIM(I93),"%",""))/100) &gt;= 1,
      IFERROR(IF(J93&gt;1,J93/100,J93), VALUE(SUBSTITUTE(TRIM(J93),"%",""))/100) &gt;= 0.25
    ), "Yes", "No"),
  "No")
)
</f>
        <v>No</v>
      </c>
    </row>
    <row r="94">
      <c r="A94" s="63">
        <v>17.0</v>
      </c>
      <c r="B94" s="7" t="s">
        <v>211</v>
      </c>
      <c r="C94" s="7" t="s">
        <v>217</v>
      </c>
      <c r="D94" s="7" t="s">
        <v>816</v>
      </c>
      <c r="E94" s="75" t="s">
        <v>647</v>
      </c>
      <c r="F94" s="14" t="s">
        <v>2534</v>
      </c>
      <c r="G94" s="8" t="s">
        <v>11</v>
      </c>
      <c r="I94" s="152">
        <f>AVERAGE('All-Hands Attendance'!I94:L94,'All-Hands Attendance'!M94:AA94)</f>
        <v>1</v>
      </c>
      <c r="J94" s="153">
        <f>AVERAGE('Workshop Attendance '!R94:AQ94)</f>
        <v>0.6176470588</v>
      </c>
      <c r="K94" s="75" t="str">
        <f t="shared" si="1"/>
        <v>No</v>
      </c>
      <c r="L94" s="142" t="str">
        <f t="shared" si="4"/>
        <v>No</v>
      </c>
    </row>
    <row r="95">
      <c r="A95" s="63">
        <v>17.0</v>
      </c>
      <c r="B95" s="7" t="s">
        <v>211</v>
      </c>
      <c r="C95" s="7" t="s">
        <v>219</v>
      </c>
      <c r="D95" s="7" t="s">
        <v>818</v>
      </c>
      <c r="E95" s="75" t="s">
        <v>1156</v>
      </c>
      <c r="F95" s="14" t="s">
        <v>2534</v>
      </c>
      <c r="G95" s="8" t="s">
        <v>11</v>
      </c>
      <c r="I95" s="152">
        <f>AVERAGE('All-Hands Attendance'!I95:L95,'All-Hands Attendance'!M95:AA95)</f>
        <v>0.3947368421</v>
      </c>
      <c r="J95" s="153">
        <f>AVERAGE('Workshop Attendance '!R95:AQ95)</f>
        <v>0.2647058824</v>
      </c>
      <c r="K95" s="75" t="str">
        <f t="shared" si="1"/>
        <v>No</v>
      </c>
      <c r="L95" s="142" t="str">
        <f t="shared" si="4"/>
        <v>No</v>
      </c>
    </row>
    <row r="96">
      <c r="A96" s="67">
        <v>17.0</v>
      </c>
      <c r="B96" s="16" t="s">
        <v>211</v>
      </c>
      <c r="C96" s="16" t="s">
        <v>221</v>
      </c>
      <c r="D96" s="16" t="s">
        <v>787</v>
      </c>
      <c r="E96" s="15" t="s">
        <v>651</v>
      </c>
      <c r="F96" s="46" t="s">
        <v>2534</v>
      </c>
      <c r="G96" s="8" t="s">
        <v>11</v>
      </c>
      <c r="H96" s="15"/>
      <c r="I96" s="152">
        <f>AVERAGE('All-Hands Attendance'!I96:L96,'All-Hands Attendance'!M96:AA96)</f>
        <v>1</v>
      </c>
      <c r="J96" s="153">
        <f>AVERAGE('Workshop Attendance '!R96:AQ96)</f>
        <v>0.6470588235</v>
      </c>
      <c r="K96" s="75" t="str">
        <f t="shared" si="1"/>
        <v>No</v>
      </c>
      <c r="L96" s="142" t="str">
        <f t="shared" si="4"/>
        <v>No</v>
      </c>
      <c r="M96" s="15"/>
      <c r="N96" s="15"/>
      <c r="O96" s="15"/>
      <c r="P96" s="15"/>
      <c r="Q96" s="15"/>
      <c r="R96" s="15"/>
      <c r="S96" s="15"/>
      <c r="T96" s="15"/>
    </row>
    <row r="97">
      <c r="A97" s="21">
        <v>18.0</v>
      </c>
      <c r="B97" s="7" t="s">
        <v>224</v>
      </c>
      <c r="C97" s="7" t="s">
        <v>223</v>
      </c>
      <c r="D97" s="7" t="s">
        <v>741</v>
      </c>
      <c r="E97" s="75" t="s">
        <v>506</v>
      </c>
      <c r="F97" s="14" t="s">
        <v>2534</v>
      </c>
      <c r="G97" s="122" t="s">
        <v>28</v>
      </c>
      <c r="I97" s="152">
        <f>AVERAGE('All-Hands Attendance'!I97:L97,'All-Hands Attendance'!M97:AA97)</f>
        <v>0.9444444444</v>
      </c>
      <c r="J97" s="153">
        <f>AVERAGE('Workshop Attendance '!R97:AQ97)</f>
        <v>0.5294117647</v>
      </c>
      <c r="K97" s="75" t="str">
        <f t="shared" si="1"/>
        <v>No</v>
      </c>
      <c r="L97" s="142" t="str">
        <f t="shared" si="4"/>
        <v>No</v>
      </c>
    </row>
    <row r="98">
      <c r="A98" s="21">
        <v>18.0</v>
      </c>
      <c r="B98" s="7" t="s">
        <v>224</v>
      </c>
      <c r="C98" s="7" t="s">
        <v>226</v>
      </c>
      <c r="D98" s="7" t="s">
        <v>668</v>
      </c>
      <c r="E98" s="75" t="s">
        <v>581</v>
      </c>
      <c r="F98" s="14" t="s">
        <v>2534</v>
      </c>
      <c r="G98" s="8" t="s">
        <v>11</v>
      </c>
      <c r="I98" s="152">
        <f>AVERAGE('All-Hands Attendance'!I98:L98,'All-Hands Attendance'!M98:AA98)</f>
        <v>0.9166666667</v>
      </c>
      <c r="J98" s="153">
        <f>AVERAGE('Workshop Attendance '!R98:AQ98)</f>
        <v>0.5294117647</v>
      </c>
      <c r="K98" s="75" t="str">
        <f t="shared" si="1"/>
        <v>No</v>
      </c>
      <c r="L98" s="142" t="str">
        <f t="shared" si="4"/>
        <v>No</v>
      </c>
    </row>
    <row r="99">
      <c r="A99" s="21">
        <v>18.0</v>
      </c>
      <c r="B99" s="7" t="s">
        <v>224</v>
      </c>
      <c r="C99" s="7" t="s">
        <v>228</v>
      </c>
      <c r="D99" s="22" t="s">
        <v>905</v>
      </c>
      <c r="E99" s="10" t="s">
        <v>573</v>
      </c>
      <c r="F99" s="14" t="s">
        <v>2534</v>
      </c>
      <c r="G99" s="8" t="s">
        <v>11</v>
      </c>
      <c r="I99" s="152">
        <f>AVERAGE('All-Hands Attendance'!I99:L99,'All-Hands Attendance'!M99:AA99)</f>
        <v>0.9444444444</v>
      </c>
      <c r="J99" s="153">
        <f>AVERAGE('Workshop Attendance '!R99:AQ99)</f>
        <v>0.6470588235</v>
      </c>
      <c r="K99" s="75" t="str">
        <f t="shared" si="1"/>
        <v>No</v>
      </c>
      <c r="L99" s="142" t="str">
        <f t="shared" si="4"/>
        <v>No</v>
      </c>
    </row>
    <row r="100">
      <c r="A100" s="21">
        <v>18.0</v>
      </c>
      <c r="B100" s="7" t="s">
        <v>224</v>
      </c>
      <c r="C100" s="7" t="s">
        <v>230</v>
      </c>
      <c r="D100" s="22" t="s">
        <v>911</v>
      </c>
      <c r="E100" s="10" t="s">
        <v>573</v>
      </c>
      <c r="F100" s="165" t="s">
        <v>2534</v>
      </c>
      <c r="G100" s="11" t="s">
        <v>28</v>
      </c>
      <c r="I100" s="152">
        <f>AVERAGE('All-Hands Attendance'!I100:L100,'All-Hands Attendance'!M100:AA100)</f>
        <v>1</v>
      </c>
      <c r="J100" s="153">
        <f>AVERAGE('Workshop Attendance '!R100:AQ100)</f>
        <v>0.5294117647</v>
      </c>
      <c r="K100" s="75" t="str">
        <f t="shared" si="1"/>
        <v>No</v>
      </c>
      <c r="L100" s="142" t="str">
        <f t="shared" si="4"/>
        <v>No</v>
      </c>
    </row>
    <row r="101">
      <c r="A101" s="21">
        <v>18.0</v>
      </c>
      <c r="B101" s="7" t="s">
        <v>224</v>
      </c>
      <c r="C101" s="7" t="s">
        <v>232</v>
      </c>
      <c r="D101" s="22" t="s">
        <v>2554</v>
      </c>
      <c r="E101" s="10" t="s">
        <v>1179</v>
      </c>
      <c r="F101" s="165" t="s">
        <v>2534</v>
      </c>
      <c r="G101" s="166" t="s">
        <v>24</v>
      </c>
      <c r="I101" s="152">
        <f>AVERAGE('All-Hands Attendance'!I101:L101,'All-Hands Attendance'!M101:AA101)</f>
        <v>1</v>
      </c>
      <c r="J101" s="153">
        <f>AVERAGE('Workshop Attendance '!R101:AQ101)</f>
        <v>0.2058823529</v>
      </c>
      <c r="K101" s="75" t="str">
        <f t="shared" si="1"/>
        <v>No</v>
      </c>
      <c r="L101" s="142" t="str">
        <f t="shared" si="4"/>
        <v>No</v>
      </c>
    </row>
    <row r="102">
      <c r="A102" s="21">
        <v>18.0</v>
      </c>
      <c r="B102" s="7" t="s">
        <v>224</v>
      </c>
      <c r="C102" s="7" t="s">
        <v>235</v>
      </c>
      <c r="D102" s="22" t="s">
        <v>2555</v>
      </c>
      <c r="E102" s="10" t="s">
        <v>891</v>
      </c>
      <c r="F102" s="165" t="s">
        <v>2534</v>
      </c>
      <c r="G102" s="11" t="s">
        <v>28</v>
      </c>
      <c r="I102" s="152">
        <f>AVERAGE('All-Hands Attendance'!I102:L102,'All-Hands Attendance'!M102:AA102)</f>
        <v>1</v>
      </c>
      <c r="J102" s="153">
        <f>AVERAGE('Workshop Attendance '!R102:AQ102)</f>
        <v>0.5</v>
      </c>
      <c r="K102" s="75" t="str">
        <f t="shared" si="1"/>
        <v>No</v>
      </c>
      <c r="L102" s="142" t="str">
        <f t="shared" si="4"/>
        <v>No</v>
      </c>
    </row>
    <row r="103">
      <c r="A103" s="24">
        <v>18.0</v>
      </c>
      <c r="B103" s="16" t="s">
        <v>224</v>
      </c>
      <c r="C103" s="16" t="s">
        <v>237</v>
      </c>
      <c r="D103" s="40" t="s">
        <v>580</v>
      </c>
      <c r="E103" s="19" t="s">
        <v>2556</v>
      </c>
      <c r="F103" s="46" t="s">
        <v>2534</v>
      </c>
      <c r="G103" s="8" t="s">
        <v>28</v>
      </c>
      <c r="H103" s="15"/>
      <c r="I103" s="152">
        <f>AVERAGE('All-Hands Attendance'!I103:L103,'All-Hands Attendance'!M103:AA103)</f>
        <v>1</v>
      </c>
      <c r="J103" s="153">
        <f>AVERAGE('Workshop Attendance '!R103:AQ103)</f>
        <v>0.5588235294</v>
      </c>
      <c r="K103" s="75" t="str">
        <f t="shared" si="1"/>
        <v>No</v>
      </c>
      <c r="L103" s="142" t="str">
        <f t="shared" si="4"/>
        <v>No</v>
      </c>
      <c r="M103" s="15"/>
      <c r="N103" s="15"/>
      <c r="O103" s="15"/>
      <c r="P103" s="15"/>
      <c r="Q103" s="15"/>
      <c r="R103" s="15"/>
      <c r="S103" s="15"/>
      <c r="T103" s="15"/>
    </row>
    <row r="104">
      <c r="A104" s="49">
        <v>19.0</v>
      </c>
      <c r="B104" s="7" t="s">
        <v>240</v>
      </c>
      <c r="C104" s="7" t="s">
        <v>239</v>
      </c>
      <c r="D104" s="22" t="s">
        <v>725</v>
      </c>
      <c r="E104" s="10" t="s">
        <v>1892</v>
      </c>
      <c r="F104" s="14" t="s">
        <v>2534</v>
      </c>
      <c r="G104" s="8" t="s">
        <v>24</v>
      </c>
      <c r="I104" s="152">
        <f>AVERAGE('All-Hands Attendance'!I104:L104,'All-Hands Attendance'!M104:AA104)</f>
        <v>1</v>
      </c>
      <c r="J104" s="153">
        <f>AVERAGE('Workshop Attendance '!R104:AQ104)</f>
        <v>0.2647058824</v>
      </c>
      <c r="K104" s="75" t="str">
        <f t="shared" si="1"/>
        <v>Yes</v>
      </c>
      <c r="L104" s="142" t="str">
        <f t="shared" si="4"/>
        <v>Yes</v>
      </c>
    </row>
    <row r="105">
      <c r="A105" s="49">
        <v>19.0</v>
      </c>
      <c r="B105" s="7" t="s">
        <v>240</v>
      </c>
      <c r="C105" s="7" t="s">
        <v>242</v>
      </c>
      <c r="D105" s="22" t="s">
        <v>679</v>
      </c>
      <c r="E105" s="10" t="s">
        <v>680</v>
      </c>
      <c r="F105" s="14" t="s">
        <v>2534</v>
      </c>
      <c r="G105" s="68" t="s">
        <v>28</v>
      </c>
      <c r="I105" s="152">
        <f>AVERAGE('All-Hands Attendance'!I105:L105,'All-Hands Attendance'!M105:AA105)</f>
        <v>1</v>
      </c>
      <c r="J105" s="153">
        <f>AVERAGE('Workshop Attendance '!R105:AQ105)</f>
        <v>0.5882352941</v>
      </c>
      <c r="K105" s="75" t="str">
        <f t="shared" si="1"/>
        <v>No</v>
      </c>
      <c r="L105" s="142" t="str">
        <f t="shared" ref="L105:L181" si="5">IF(UPPER(TRIM(G104))="N",
  IF(AND(
    IFERROR(IF(I105&gt;1,I105/100,I105), VALUE(SUBSTITUTE(TRIM(I105),"%",""))/100) &gt;= 1,
    IFERROR(IF(J105&gt;1,J105/100,J105), VALUE(SUBSTITUTE(TRIM(J105),"%",""))/100) &gt;= 0.75
  ), "Yes", "No"),
  IF(UPPER(TRIM(G104))="E",
    IF(AND(
      IFERROR(IF(I105&gt;1,I105/100,I105), VALUE(SUBSTITUTE(TRIM(I105),"%",""))/100) &gt;= 1,
      IFERROR(IF(J105&gt;1,J105/100,J105), VALUE(SUBSTITUTE(TRIM(J105),"%",""))/100) &gt;= 0.25
    ), "Yes", "No"),
  "No")
)
</f>
        <v>Yes</v>
      </c>
    </row>
    <row r="106">
      <c r="A106" s="49">
        <v>19.0</v>
      </c>
      <c r="B106" s="7" t="s">
        <v>240</v>
      </c>
      <c r="C106" s="7" t="s">
        <v>244</v>
      </c>
      <c r="D106" s="22" t="s">
        <v>1160</v>
      </c>
      <c r="E106" s="10" t="s">
        <v>1161</v>
      </c>
      <c r="F106" s="14" t="s">
        <v>2534</v>
      </c>
      <c r="G106" s="32" t="s">
        <v>24</v>
      </c>
      <c r="I106" s="152">
        <f>AVERAGE('All-Hands Attendance'!I106:L106,'All-Hands Attendance'!M106:AA106)</f>
        <v>0.9722222222</v>
      </c>
      <c r="J106" s="153">
        <f>AVERAGE('Workshop Attendance '!R106:AQ106)</f>
        <v>0.4411764706</v>
      </c>
      <c r="K106" s="75" t="str">
        <f t="shared" si="1"/>
        <v>Yes</v>
      </c>
      <c r="L106" s="142" t="str">
        <f t="shared" si="5"/>
        <v>No</v>
      </c>
    </row>
    <row r="107">
      <c r="A107" s="49">
        <v>19.0</v>
      </c>
      <c r="B107" s="7" t="s">
        <v>240</v>
      </c>
      <c r="C107" s="7" t="s">
        <v>246</v>
      </c>
      <c r="D107" s="22" t="s">
        <v>818</v>
      </c>
      <c r="E107" s="10" t="s">
        <v>704</v>
      </c>
      <c r="F107" s="14" t="s">
        <v>2534</v>
      </c>
      <c r="G107" s="69" t="s">
        <v>24</v>
      </c>
      <c r="I107" s="152">
        <f>AVERAGE('All-Hands Attendance'!I107:L107,'All-Hands Attendance'!M107:AA107)</f>
        <v>1</v>
      </c>
      <c r="J107" s="153">
        <f>AVERAGE('Workshop Attendance '!R107:AQ107)</f>
        <v>0.6176470588</v>
      </c>
      <c r="K107" s="75" t="str">
        <f t="shared" si="1"/>
        <v>Yes</v>
      </c>
      <c r="L107" s="142" t="str">
        <f t="shared" si="5"/>
        <v>Yes</v>
      </c>
    </row>
    <row r="108">
      <c r="A108" s="49">
        <v>19.0</v>
      </c>
      <c r="B108" s="7" t="s">
        <v>240</v>
      </c>
      <c r="C108" s="7" t="s">
        <v>248</v>
      </c>
      <c r="D108" s="22" t="s">
        <v>1896</v>
      </c>
      <c r="E108" s="10" t="s">
        <v>1897</v>
      </c>
      <c r="F108" s="14" t="s">
        <v>2534</v>
      </c>
      <c r="G108" s="8" t="s">
        <v>24</v>
      </c>
      <c r="I108" s="152">
        <f>AVERAGE('All-Hands Attendance'!I108:L108,'All-Hands Attendance'!M108:AA108)</f>
        <v>0.9722222222</v>
      </c>
      <c r="J108" s="153">
        <f>AVERAGE('Workshop Attendance '!R108:AQ108)</f>
        <v>0.2941176471</v>
      </c>
      <c r="K108" s="75" t="str">
        <f t="shared" si="1"/>
        <v>Yes</v>
      </c>
      <c r="L108" s="142" t="str">
        <f t="shared" si="5"/>
        <v>No</v>
      </c>
    </row>
    <row r="109">
      <c r="A109" s="49">
        <v>19.0</v>
      </c>
      <c r="B109" s="7" t="s">
        <v>240</v>
      </c>
      <c r="C109" s="7" t="s">
        <v>250</v>
      </c>
      <c r="D109" s="22" t="s">
        <v>2016</v>
      </c>
      <c r="E109" s="10" t="s">
        <v>2017</v>
      </c>
      <c r="F109" s="14" t="s">
        <v>2534</v>
      </c>
      <c r="G109" s="8" t="s">
        <v>24</v>
      </c>
      <c r="I109" s="152">
        <f>AVERAGE('All-Hands Attendance'!I109:L109,'All-Hands Attendance'!M109:AA109)</f>
        <v>1</v>
      </c>
      <c r="J109" s="153">
        <f>AVERAGE('Workshop Attendance '!R109:AQ109)</f>
        <v>0.2941176471</v>
      </c>
      <c r="K109" s="75" t="str">
        <f t="shared" si="1"/>
        <v>Yes</v>
      </c>
      <c r="L109" s="142" t="str">
        <f t="shared" si="5"/>
        <v>Yes</v>
      </c>
    </row>
    <row r="110">
      <c r="A110" s="50">
        <v>19.0</v>
      </c>
      <c r="B110" s="16" t="s">
        <v>240</v>
      </c>
      <c r="C110" s="16" t="s">
        <v>252</v>
      </c>
      <c r="D110" s="40" t="s">
        <v>901</v>
      </c>
      <c r="E110" s="19" t="s">
        <v>614</v>
      </c>
      <c r="F110" s="46" t="s">
        <v>2534</v>
      </c>
      <c r="G110" s="17" t="s">
        <v>28</v>
      </c>
      <c r="H110" s="15"/>
      <c r="I110" s="152">
        <f>AVERAGE('All-Hands Attendance'!I110:L110,'All-Hands Attendance'!M110:AA110)</f>
        <v>1</v>
      </c>
      <c r="J110" s="153">
        <f>AVERAGE('Workshop Attendance '!R110:AQ110)</f>
        <v>0.6470588235</v>
      </c>
      <c r="K110" s="75" t="str">
        <f t="shared" si="1"/>
        <v>No</v>
      </c>
      <c r="L110" s="142" t="str">
        <f t="shared" si="5"/>
        <v>Yes</v>
      </c>
      <c r="M110" s="15"/>
      <c r="N110" s="15"/>
      <c r="O110" s="15"/>
      <c r="P110" s="15"/>
      <c r="Q110" s="15"/>
      <c r="R110" s="15"/>
      <c r="S110" s="15"/>
      <c r="T110" s="15"/>
    </row>
    <row r="111">
      <c r="A111" s="47">
        <v>20.0</v>
      </c>
      <c r="B111" s="7" t="s">
        <v>255</v>
      </c>
      <c r="C111" s="7" t="s">
        <v>254</v>
      </c>
      <c r="D111" s="22" t="s">
        <v>1343</v>
      </c>
      <c r="E111" s="10" t="s">
        <v>566</v>
      </c>
      <c r="F111" s="14" t="s">
        <v>2534</v>
      </c>
      <c r="G111" s="11" t="s">
        <v>11</v>
      </c>
      <c r="I111" s="152">
        <f>AVERAGE('All-Hands Attendance'!I111:L111,'All-Hands Attendance'!M111:AA111)</f>
        <v>1</v>
      </c>
      <c r="J111" s="153">
        <f>AVERAGE('Workshop Attendance '!R111:AQ111)</f>
        <v>0.5294117647</v>
      </c>
      <c r="K111" s="75" t="str">
        <f t="shared" si="1"/>
        <v>No</v>
      </c>
      <c r="L111" s="142" t="str">
        <f t="shared" si="5"/>
        <v>No</v>
      </c>
    </row>
    <row r="112">
      <c r="A112" s="47">
        <v>20.0</v>
      </c>
      <c r="B112" s="7" t="s">
        <v>255</v>
      </c>
      <c r="C112" s="7" t="s">
        <v>257</v>
      </c>
      <c r="D112" s="22" t="s">
        <v>856</v>
      </c>
      <c r="E112" s="10" t="s">
        <v>2557</v>
      </c>
      <c r="F112" s="13" t="s">
        <v>2539</v>
      </c>
      <c r="G112" s="32" t="s">
        <v>24</v>
      </c>
      <c r="I112" s="152">
        <f>AVERAGE('All-Hands Attendance'!I112:L112,'All-Hands Attendance'!M112:AA112)</f>
        <v>0.5277777778</v>
      </c>
      <c r="J112" s="153">
        <f>AVERAGE('Workshop Attendance '!R112:AQ112)</f>
        <v>0.2352941176</v>
      </c>
      <c r="K112" s="75" t="str">
        <f t="shared" si="1"/>
        <v>No</v>
      </c>
      <c r="L112" s="142" t="str">
        <f t="shared" si="5"/>
        <v>No</v>
      </c>
    </row>
    <row r="113">
      <c r="A113" s="47">
        <v>20.0</v>
      </c>
      <c r="B113" s="7" t="s">
        <v>255</v>
      </c>
      <c r="C113" s="7" t="s">
        <v>259</v>
      </c>
      <c r="D113" s="22" t="s">
        <v>606</v>
      </c>
      <c r="E113" s="10" t="s">
        <v>607</v>
      </c>
      <c r="F113" s="13" t="s">
        <v>2539</v>
      </c>
      <c r="G113" s="32" t="s">
        <v>24</v>
      </c>
      <c r="I113" s="152">
        <f>AVERAGE('All-Hands Attendance'!I113:L113,'All-Hands Attendance'!M113:AA113)</f>
        <v>0.6388888889</v>
      </c>
      <c r="J113" s="153">
        <f>AVERAGE('Workshop Attendance '!R113:AQ113)</f>
        <v>0.2352941176</v>
      </c>
      <c r="K113" s="75" t="str">
        <f t="shared" si="1"/>
        <v>No</v>
      </c>
      <c r="L113" s="142" t="str">
        <f t="shared" si="5"/>
        <v>No</v>
      </c>
    </row>
    <row r="114">
      <c r="A114" s="47">
        <v>20.0</v>
      </c>
      <c r="B114" s="7" t="s">
        <v>255</v>
      </c>
      <c r="C114" s="7" t="s">
        <v>261</v>
      </c>
      <c r="D114" s="22" t="s">
        <v>1210</v>
      </c>
      <c r="E114" s="10" t="s">
        <v>1211</v>
      </c>
      <c r="F114" s="13" t="s">
        <v>2539</v>
      </c>
      <c r="G114" s="32" t="s">
        <v>24</v>
      </c>
      <c r="I114" s="152">
        <f>AVERAGE('All-Hands Attendance'!I114:L114,'All-Hands Attendance'!M114:AA114)</f>
        <v>0.6666666667</v>
      </c>
      <c r="J114" s="153">
        <f>AVERAGE('Workshop Attendance '!R114:AQ114)</f>
        <v>0.3529411765</v>
      </c>
      <c r="K114" s="75" t="str">
        <f t="shared" si="1"/>
        <v>Yes</v>
      </c>
      <c r="L114" s="142" t="str">
        <f t="shared" si="5"/>
        <v>No</v>
      </c>
    </row>
    <row r="115">
      <c r="A115" s="48">
        <v>20.0</v>
      </c>
      <c r="B115" s="16" t="s">
        <v>255</v>
      </c>
      <c r="C115" s="7" t="s">
        <v>263</v>
      </c>
      <c r="D115" s="16" t="s">
        <v>505</v>
      </c>
      <c r="E115" s="15" t="s">
        <v>506</v>
      </c>
      <c r="F115" s="46" t="s">
        <v>2534</v>
      </c>
      <c r="G115" s="8" t="s">
        <v>28</v>
      </c>
      <c r="H115" s="15"/>
      <c r="I115" s="152">
        <f>AVERAGE('All-Hands Attendance'!I115:L115,'All-Hands Attendance'!M115:AA115)</f>
        <v>1</v>
      </c>
      <c r="J115" s="153">
        <f>AVERAGE('Workshop Attendance '!R115:AQ115)</f>
        <v>0.5882352941</v>
      </c>
      <c r="K115" s="75" t="str">
        <f t="shared" si="1"/>
        <v>No</v>
      </c>
      <c r="L115" s="142" t="str">
        <f t="shared" si="5"/>
        <v>Yes</v>
      </c>
      <c r="M115" s="15"/>
      <c r="N115" s="15"/>
      <c r="O115" s="15"/>
      <c r="P115" s="15"/>
      <c r="Q115" s="15"/>
      <c r="R115" s="15"/>
      <c r="S115" s="15"/>
      <c r="T115" s="15"/>
    </row>
    <row r="116">
      <c r="A116" s="31">
        <v>21.0</v>
      </c>
      <c r="B116" s="7" t="s">
        <v>266</v>
      </c>
      <c r="C116" s="121" t="s">
        <v>265</v>
      </c>
      <c r="D116" s="7" t="s">
        <v>733</v>
      </c>
      <c r="E116" s="75" t="s">
        <v>734</v>
      </c>
      <c r="F116" s="14" t="s">
        <v>2534</v>
      </c>
      <c r="G116" s="122" t="s">
        <v>11</v>
      </c>
      <c r="I116" s="152">
        <f>AVERAGE('All-Hands Attendance'!I116:L116,'All-Hands Attendance'!M116:AA116)</f>
        <v>0.9473684211</v>
      </c>
      <c r="J116" s="153">
        <f>AVERAGE('Workshop Attendance '!R116:AQ116)</f>
        <v>0.6176470588</v>
      </c>
      <c r="K116" s="75" t="str">
        <f t="shared" si="1"/>
        <v>No</v>
      </c>
      <c r="L116" s="142" t="str">
        <f t="shared" si="5"/>
        <v>No</v>
      </c>
    </row>
    <row r="117">
      <c r="A117" s="31">
        <v>21.0</v>
      </c>
      <c r="B117" s="7" t="s">
        <v>266</v>
      </c>
      <c r="C117" s="7" t="s">
        <v>268</v>
      </c>
      <c r="D117" s="7" t="s">
        <v>722</v>
      </c>
      <c r="E117" s="75" t="s">
        <v>723</v>
      </c>
      <c r="F117" s="14" t="s">
        <v>2534</v>
      </c>
      <c r="G117" s="8" t="s">
        <v>11</v>
      </c>
      <c r="I117" s="152">
        <f>AVERAGE('All-Hands Attendance'!I117:L117,'All-Hands Attendance'!M117:AA117)</f>
        <v>0.7894736842</v>
      </c>
      <c r="J117" s="153">
        <f>AVERAGE('Workshop Attendance '!R117:AQ117)</f>
        <v>0.6470588235</v>
      </c>
      <c r="K117" s="75" t="str">
        <f t="shared" si="1"/>
        <v>No</v>
      </c>
      <c r="L117" s="142" t="str">
        <f t="shared" si="5"/>
        <v>No</v>
      </c>
    </row>
    <row r="118">
      <c r="A118" s="31">
        <v>21.0</v>
      </c>
      <c r="B118" s="7" t="s">
        <v>266</v>
      </c>
      <c r="C118" s="7" t="s">
        <v>270</v>
      </c>
      <c r="D118" s="7" t="s">
        <v>1089</v>
      </c>
      <c r="E118" s="75" t="s">
        <v>647</v>
      </c>
      <c r="F118" s="14" t="s">
        <v>2534</v>
      </c>
      <c r="G118" s="8" t="s">
        <v>28</v>
      </c>
      <c r="I118" s="152">
        <f>AVERAGE('All-Hands Attendance'!I118:L118,'All-Hands Attendance'!M118:AA118)</f>
        <v>1</v>
      </c>
      <c r="J118" s="153">
        <f>AVERAGE('Workshop Attendance '!R118:AQ118)</f>
        <v>0.5882352941</v>
      </c>
      <c r="K118" s="75" t="str">
        <f t="shared" si="1"/>
        <v>No</v>
      </c>
      <c r="L118" s="142" t="str">
        <f t="shared" si="5"/>
        <v>No</v>
      </c>
    </row>
    <row r="119">
      <c r="A119" s="31">
        <v>21.0</v>
      </c>
      <c r="B119" s="7" t="s">
        <v>266</v>
      </c>
      <c r="C119" s="7" t="s">
        <v>272</v>
      </c>
      <c r="D119" s="7" t="s">
        <v>671</v>
      </c>
      <c r="E119" s="75" t="s">
        <v>509</v>
      </c>
      <c r="F119" s="14" t="s">
        <v>2534</v>
      </c>
      <c r="G119" s="8" t="s">
        <v>11</v>
      </c>
      <c r="I119" s="152">
        <f>AVERAGE('All-Hands Attendance'!I119:L119,'All-Hands Attendance'!M119:AA119)</f>
        <v>0.8684210526</v>
      </c>
      <c r="J119" s="153">
        <f>AVERAGE('Workshop Attendance '!R119:AQ119)</f>
        <v>0.5588235294</v>
      </c>
      <c r="K119" s="75" t="str">
        <f t="shared" si="1"/>
        <v>No</v>
      </c>
      <c r="L119" s="142" t="str">
        <f t="shared" si="5"/>
        <v>No</v>
      </c>
    </row>
    <row r="120">
      <c r="A120" s="31">
        <v>21.0</v>
      </c>
      <c r="B120" s="7" t="s">
        <v>266</v>
      </c>
      <c r="C120" s="7" t="s">
        <v>274</v>
      </c>
      <c r="D120" s="7" t="s">
        <v>602</v>
      </c>
      <c r="E120" s="75" t="s">
        <v>603</v>
      </c>
      <c r="F120" s="14" t="s">
        <v>2534</v>
      </c>
      <c r="G120" s="8" t="s">
        <v>11</v>
      </c>
      <c r="I120" s="152">
        <f>AVERAGE('All-Hands Attendance'!I120:L120,'All-Hands Attendance'!M120:AA120)</f>
        <v>0.9736842105</v>
      </c>
      <c r="J120" s="153">
        <f>AVERAGE('Workshop Attendance '!R120:AQ120)</f>
        <v>0.5</v>
      </c>
      <c r="K120" s="75" t="str">
        <f t="shared" si="1"/>
        <v>No</v>
      </c>
      <c r="L120" s="142" t="str">
        <f t="shared" si="5"/>
        <v>No</v>
      </c>
    </row>
    <row r="121">
      <c r="A121" s="31">
        <v>21.0</v>
      </c>
      <c r="B121" s="7" t="s">
        <v>266</v>
      </c>
      <c r="C121" s="7" t="s">
        <v>276</v>
      </c>
      <c r="D121" s="7" t="s">
        <v>714</v>
      </c>
      <c r="E121" s="75" t="s">
        <v>715</v>
      </c>
      <c r="F121" s="14" t="s">
        <v>2534</v>
      </c>
      <c r="G121" s="8" t="s">
        <v>11</v>
      </c>
      <c r="I121" s="152">
        <f>AVERAGE('All-Hands Attendance'!I121:L121,'All-Hands Attendance'!M121:AA121)</f>
        <v>0.9210526316</v>
      </c>
      <c r="J121" s="153">
        <f>AVERAGE('Workshop Attendance '!R121:AQ121)</f>
        <v>0.5882352941</v>
      </c>
      <c r="K121" s="75" t="str">
        <f t="shared" si="1"/>
        <v>No</v>
      </c>
      <c r="L121" s="142" t="str">
        <f t="shared" si="5"/>
        <v>No</v>
      </c>
    </row>
    <row r="122">
      <c r="A122" s="33">
        <v>21.0</v>
      </c>
      <c r="B122" s="16" t="s">
        <v>266</v>
      </c>
      <c r="C122" s="16" t="s">
        <v>278</v>
      </c>
      <c r="D122" s="16" t="s">
        <v>2558</v>
      </c>
      <c r="E122" s="15" t="s">
        <v>623</v>
      </c>
      <c r="F122" s="46" t="s">
        <v>2534</v>
      </c>
      <c r="G122" s="17" t="s">
        <v>11</v>
      </c>
      <c r="H122" s="15"/>
      <c r="I122" s="152">
        <f>AVERAGE('All-Hands Attendance'!I122:L122,'All-Hands Attendance'!M122:AA122)</f>
        <v>0.8947368421</v>
      </c>
      <c r="J122" s="153">
        <f>AVERAGE('Workshop Attendance '!R122:AQ122)</f>
        <v>0.5882352941</v>
      </c>
      <c r="K122" s="75" t="str">
        <f t="shared" si="1"/>
        <v>No</v>
      </c>
      <c r="L122" s="142" t="str">
        <f t="shared" si="5"/>
        <v>No</v>
      </c>
      <c r="M122" s="15"/>
      <c r="N122" s="15"/>
      <c r="O122" s="15"/>
      <c r="P122" s="15"/>
      <c r="Q122" s="15"/>
      <c r="R122" s="15"/>
      <c r="S122" s="15"/>
      <c r="T122" s="15"/>
    </row>
    <row r="123">
      <c r="A123" s="51">
        <v>22.0</v>
      </c>
      <c r="B123" s="7" t="s">
        <v>281</v>
      </c>
      <c r="C123" s="7" t="s">
        <v>280</v>
      </c>
      <c r="D123" s="7" t="s">
        <v>476</v>
      </c>
      <c r="E123" s="75" t="s">
        <v>477</v>
      </c>
      <c r="F123" s="14" t="s">
        <v>2534</v>
      </c>
      <c r="G123" s="8" t="s">
        <v>11</v>
      </c>
      <c r="I123" s="152">
        <f>AVERAGE('All-Hands Attendance'!I123:L123,'All-Hands Attendance'!M123:AA123)</f>
        <v>0.8947368421</v>
      </c>
      <c r="J123" s="153">
        <f>AVERAGE('Workshop Attendance '!R123:AQ123)</f>
        <v>0.5588235294</v>
      </c>
      <c r="K123" s="75" t="str">
        <f t="shared" si="1"/>
        <v>No</v>
      </c>
      <c r="L123" s="142" t="str">
        <f t="shared" si="5"/>
        <v>No</v>
      </c>
    </row>
    <row r="124">
      <c r="A124" s="51">
        <v>22.0</v>
      </c>
      <c r="B124" s="7" t="s">
        <v>281</v>
      </c>
      <c r="C124" s="7" t="s">
        <v>283</v>
      </c>
      <c r="D124" s="7" t="s">
        <v>425</v>
      </c>
      <c r="E124" s="75" t="s">
        <v>426</v>
      </c>
      <c r="F124" s="14" t="s">
        <v>2534</v>
      </c>
      <c r="G124" s="8" t="s">
        <v>11</v>
      </c>
      <c r="I124" s="152">
        <f>AVERAGE('All-Hands Attendance'!I124:L124,'All-Hands Attendance'!M124:AA124)</f>
        <v>0.8947368421</v>
      </c>
      <c r="J124" s="153">
        <f>AVERAGE('Workshop Attendance '!R124:AQ124)</f>
        <v>0.5</v>
      </c>
      <c r="K124" s="75" t="str">
        <f t="shared" si="1"/>
        <v>No</v>
      </c>
      <c r="L124" s="142" t="str">
        <f t="shared" si="5"/>
        <v>No</v>
      </c>
    </row>
    <row r="125">
      <c r="A125" s="51">
        <v>22.0</v>
      </c>
      <c r="B125" s="7" t="s">
        <v>281</v>
      </c>
      <c r="C125" s="7" t="s">
        <v>285</v>
      </c>
      <c r="D125" s="7" t="s">
        <v>790</v>
      </c>
      <c r="E125" s="75" t="s">
        <v>791</v>
      </c>
      <c r="F125" s="14" t="s">
        <v>2534</v>
      </c>
      <c r="G125" s="8" t="s">
        <v>11</v>
      </c>
      <c r="I125" s="152">
        <f>AVERAGE('All-Hands Attendance'!I125:L125,'All-Hands Attendance'!M125:AA125)</f>
        <v>0.9473684211</v>
      </c>
      <c r="J125" s="153">
        <f>AVERAGE('Workshop Attendance '!R125:AQ125)</f>
        <v>0.6470588235</v>
      </c>
      <c r="K125" s="75" t="str">
        <f t="shared" si="1"/>
        <v>No</v>
      </c>
      <c r="L125" s="142" t="str">
        <f t="shared" si="5"/>
        <v>No</v>
      </c>
    </row>
    <row r="126">
      <c r="A126" s="51">
        <v>22.0</v>
      </c>
      <c r="B126" s="7" t="s">
        <v>281</v>
      </c>
      <c r="C126" s="7" t="s">
        <v>287</v>
      </c>
      <c r="D126" s="7" t="s">
        <v>989</v>
      </c>
      <c r="E126" s="75" t="s">
        <v>466</v>
      </c>
      <c r="F126" s="14" t="s">
        <v>2534</v>
      </c>
      <c r="G126" s="8" t="s">
        <v>11</v>
      </c>
      <c r="I126" s="152">
        <f>AVERAGE('All-Hands Attendance'!I126:L126,'All-Hands Attendance'!M126:AA126)</f>
        <v>0.9736842105</v>
      </c>
      <c r="J126" s="153">
        <f>AVERAGE('Workshop Attendance '!R126:AQ126)</f>
        <v>0.5882352941</v>
      </c>
      <c r="K126" s="75" t="str">
        <f t="shared" si="1"/>
        <v>No</v>
      </c>
      <c r="L126" s="142" t="str">
        <f t="shared" si="5"/>
        <v>No</v>
      </c>
    </row>
    <row r="127">
      <c r="A127" s="51">
        <v>22.0</v>
      </c>
      <c r="B127" s="7" t="s">
        <v>281</v>
      </c>
      <c r="C127" s="7" t="s">
        <v>289</v>
      </c>
      <c r="D127" s="7" t="s">
        <v>735</v>
      </c>
      <c r="E127" s="75" t="s">
        <v>736</v>
      </c>
      <c r="F127" s="14" t="s">
        <v>2534</v>
      </c>
      <c r="G127" s="8" t="s">
        <v>28</v>
      </c>
      <c r="I127" s="152">
        <f>AVERAGE('All-Hands Attendance'!I127:L127,'All-Hands Attendance'!M127:AA127)</f>
        <v>1</v>
      </c>
      <c r="J127" s="153">
        <f>AVERAGE('Workshop Attendance '!R127:AQ127)</f>
        <v>0.6470588235</v>
      </c>
      <c r="K127" s="75" t="str">
        <f t="shared" si="1"/>
        <v>No</v>
      </c>
      <c r="L127" s="142" t="str">
        <f t="shared" si="5"/>
        <v>No</v>
      </c>
    </row>
    <row r="128">
      <c r="A128" s="52">
        <v>22.0</v>
      </c>
      <c r="B128" s="16" t="s">
        <v>281</v>
      </c>
      <c r="C128" s="16" t="s">
        <v>291</v>
      </c>
      <c r="D128" s="16" t="s">
        <v>682</v>
      </c>
      <c r="E128" s="15" t="s">
        <v>683</v>
      </c>
      <c r="F128" s="46" t="s">
        <v>2534</v>
      </c>
      <c r="G128" s="17" t="s">
        <v>28</v>
      </c>
      <c r="H128" s="15"/>
      <c r="I128" s="152">
        <f>AVERAGE('All-Hands Attendance'!I128:L128,'All-Hands Attendance'!M128:AA128)</f>
        <v>0.9166666667</v>
      </c>
      <c r="J128" s="153">
        <f>AVERAGE('Workshop Attendance '!R128:AQ128)</f>
        <v>0.4117647059</v>
      </c>
      <c r="K128" s="75" t="str">
        <f t="shared" si="1"/>
        <v>No</v>
      </c>
      <c r="L128" s="142" t="str">
        <f t="shared" si="5"/>
        <v>No</v>
      </c>
      <c r="M128" s="15"/>
      <c r="N128" s="15"/>
      <c r="O128" s="15"/>
      <c r="P128" s="15"/>
      <c r="Q128" s="15"/>
      <c r="R128" s="15"/>
      <c r="S128" s="15"/>
      <c r="T128" s="15"/>
    </row>
    <row r="129">
      <c r="A129" s="38">
        <v>23.0</v>
      </c>
      <c r="B129" s="7" t="s">
        <v>294</v>
      </c>
      <c r="C129" s="7" t="s">
        <v>293</v>
      </c>
      <c r="D129" s="7" t="s">
        <v>448</v>
      </c>
      <c r="E129" s="75" t="s">
        <v>449</v>
      </c>
      <c r="F129" s="14" t="s">
        <v>2534</v>
      </c>
      <c r="G129" s="8" t="s">
        <v>28</v>
      </c>
      <c r="I129" s="152">
        <f>AVERAGE('All-Hands Attendance'!I129:L129,'All-Hands Attendance'!M129:AA129)</f>
        <v>1</v>
      </c>
      <c r="J129" s="153">
        <f>AVERAGE('Workshop Attendance '!R129:AQ129)</f>
        <v>0.6470588235</v>
      </c>
      <c r="K129" s="75" t="str">
        <f t="shared" si="1"/>
        <v>No</v>
      </c>
      <c r="L129" s="142" t="str">
        <f t="shared" si="5"/>
        <v>No</v>
      </c>
    </row>
    <row r="130">
      <c r="A130" s="38">
        <v>23.0</v>
      </c>
      <c r="B130" s="7" t="s">
        <v>294</v>
      </c>
      <c r="C130" s="7" t="s">
        <v>296</v>
      </c>
      <c r="D130" s="7" t="s">
        <v>853</v>
      </c>
      <c r="E130" s="75" t="s">
        <v>854</v>
      </c>
      <c r="F130" s="14" t="s">
        <v>2534</v>
      </c>
      <c r="G130" s="8" t="s">
        <v>28</v>
      </c>
      <c r="I130" s="152">
        <f>AVERAGE('All-Hands Attendance'!I130:L130,'All-Hands Attendance'!M130:AA130)</f>
        <v>0.9473684211</v>
      </c>
      <c r="J130" s="153">
        <f>AVERAGE('Workshop Attendance '!R130:AQ130)</f>
        <v>0.4705882353</v>
      </c>
      <c r="K130" s="75" t="str">
        <f t="shared" si="1"/>
        <v>No</v>
      </c>
      <c r="L130" s="142" t="str">
        <f t="shared" si="5"/>
        <v>No</v>
      </c>
    </row>
    <row r="131">
      <c r="A131" s="38">
        <v>23.0</v>
      </c>
      <c r="B131" s="7" t="s">
        <v>294</v>
      </c>
      <c r="C131" s="7" t="s">
        <v>298</v>
      </c>
      <c r="D131" s="7" t="s">
        <v>460</v>
      </c>
      <c r="E131" s="75" t="s">
        <v>461</v>
      </c>
      <c r="F131" s="14" t="s">
        <v>2534</v>
      </c>
      <c r="G131" s="8" t="s">
        <v>28</v>
      </c>
      <c r="I131" s="152">
        <f>AVERAGE('All-Hands Attendance'!I131:L131,'All-Hands Attendance'!M131:AA131)</f>
        <v>0.9736842105</v>
      </c>
      <c r="J131" s="153">
        <f>AVERAGE('Workshop Attendance '!R131:AQ131)</f>
        <v>0.6176470588</v>
      </c>
      <c r="K131" s="75" t="str">
        <f t="shared" si="1"/>
        <v>No</v>
      </c>
      <c r="L131" s="142" t="str">
        <f t="shared" si="5"/>
        <v>No</v>
      </c>
    </row>
    <row r="132">
      <c r="A132" s="38">
        <v>23.0</v>
      </c>
      <c r="B132" s="7" t="s">
        <v>294</v>
      </c>
      <c r="C132" s="7" t="s">
        <v>300</v>
      </c>
      <c r="D132" s="7" t="s">
        <v>1031</v>
      </c>
      <c r="E132" s="75" t="s">
        <v>838</v>
      </c>
      <c r="F132" s="14" t="s">
        <v>2534</v>
      </c>
      <c r="G132" s="74" t="s">
        <v>24</v>
      </c>
      <c r="I132" s="152">
        <f>AVERAGE('All-Hands Attendance'!I132:L132,'All-Hands Attendance'!M132:AA132)</f>
        <v>0.9736842105</v>
      </c>
      <c r="J132" s="153">
        <f>AVERAGE('Workshop Attendance '!R132:AQ132)</f>
        <v>0.2352941176</v>
      </c>
      <c r="K132" s="75" t="str">
        <f t="shared" si="1"/>
        <v>No</v>
      </c>
      <c r="L132" s="142" t="str">
        <f t="shared" si="5"/>
        <v>No</v>
      </c>
    </row>
    <row r="133">
      <c r="A133" s="38">
        <v>23.0</v>
      </c>
      <c r="B133" s="37" t="s">
        <v>294</v>
      </c>
      <c r="C133" s="7" t="s">
        <v>302</v>
      </c>
      <c r="D133" s="7" t="s">
        <v>814</v>
      </c>
      <c r="E133" s="75" t="s">
        <v>1468</v>
      </c>
      <c r="F133" s="165" t="s">
        <v>2534</v>
      </c>
      <c r="G133" s="8" t="s">
        <v>28</v>
      </c>
      <c r="I133" s="152">
        <f>AVERAGE('All-Hands Attendance'!I133:L133,'All-Hands Attendance'!M133:AA133)</f>
        <v>1</v>
      </c>
      <c r="J133" s="153">
        <f>AVERAGE('Workshop Attendance '!R133:AQ133)</f>
        <v>0.4705882353</v>
      </c>
      <c r="K133" s="75" t="str">
        <f t="shared" si="1"/>
        <v>No</v>
      </c>
      <c r="L133" s="142" t="str">
        <f t="shared" si="5"/>
        <v>Yes</v>
      </c>
    </row>
    <row r="134">
      <c r="A134" s="38">
        <v>23.0</v>
      </c>
      <c r="B134" s="7" t="s">
        <v>294</v>
      </c>
      <c r="C134" s="7" t="s">
        <v>304</v>
      </c>
      <c r="D134" s="7" t="s">
        <v>994</v>
      </c>
      <c r="E134" s="75" t="s">
        <v>748</v>
      </c>
      <c r="F134" s="14" t="s">
        <v>2534</v>
      </c>
      <c r="G134" s="8" t="s">
        <v>24</v>
      </c>
      <c r="I134" s="152">
        <f>AVERAGE('All-Hands Attendance'!I134:L134,'All-Hands Attendance'!M134:AA134)</f>
        <v>0.9473684211</v>
      </c>
      <c r="J134" s="153">
        <f>AVERAGE('Workshop Attendance '!R134:AQ134)</f>
        <v>0.4705882353</v>
      </c>
      <c r="K134" s="75" t="str">
        <f t="shared" si="1"/>
        <v>Yes</v>
      </c>
      <c r="L134" s="142" t="str">
        <f t="shared" si="5"/>
        <v>No</v>
      </c>
    </row>
    <row r="135">
      <c r="A135" s="42">
        <v>23.0</v>
      </c>
      <c r="B135" s="16" t="s">
        <v>294</v>
      </c>
      <c r="C135" s="16" t="s">
        <v>306</v>
      </c>
      <c r="D135" s="16" t="s">
        <v>480</v>
      </c>
      <c r="E135" s="15" t="s">
        <v>1381</v>
      </c>
      <c r="F135" s="45" t="s">
        <v>2539</v>
      </c>
      <c r="G135" s="17" t="s">
        <v>11</v>
      </c>
      <c r="H135" s="15"/>
      <c r="I135" s="152">
        <f>AVERAGE('All-Hands Attendance'!I135:L135,'All-Hands Attendance'!M135:AA135)</f>
        <v>0.8076923077</v>
      </c>
      <c r="J135" s="153">
        <f>AVERAGE('Workshop Attendance '!R135:AQ135)</f>
        <v>0.5</v>
      </c>
      <c r="K135" s="75" t="str">
        <f t="shared" si="1"/>
        <v>No</v>
      </c>
      <c r="L135" s="142" t="str">
        <f t="shared" si="5"/>
        <v>No</v>
      </c>
      <c r="M135" s="15"/>
      <c r="N135" s="15"/>
      <c r="O135" s="15"/>
      <c r="P135" s="15"/>
      <c r="Q135" s="15"/>
      <c r="R135" s="15"/>
      <c r="S135" s="15"/>
      <c r="T135" s="15"/>
    </row>
    <row r="136">
      <c r="A136" s="9">
        <v>24.0</v>
      </c>
      <c r="B136" s="7" t="s">
        <v>309</v>
      </c>
      <c r="C136" s="7" t="s">
        <v>308</v>
      </c>
      <c r="D136" s="7" t="s">
        <v>685</v>
      </c>
      <c r="E136" s="75" t="s">
        <v>686</v>
      </c>
      <c r="F136" s="14" t="s">
        <v>2534</v>
      </c>
      <c r="G136" s="8" t="s">
        <v>24</v>
      </c>
      <c r="I136" s="152">
        <f>AVERAGE('All-Hands Attendance'!I136:L136,'All-Hands Attendance'!M136:AA136)</f>
        <v>0.6842105263</v>
      </c>
      <c r="J136" s="153">
        <f>AVERAGE('Workshop Attendance '!R136:AQ136)</f>
        <v>0.2941176471</v>
      </c>
      <c r="K136" s="75" t="str">
        <f t="shared" si="1"/>
        <v>Yes</v>
      </c>
      <c r="L136" s="142" t="str">
        <f t="shared" si="5"/>
        <v>No</v>
      </c>
    </row>
    <row r="137">
      <c r="A137" s="9">
        <v>24.0</v>
      </c>
      <c r="B137" s="7" t="s">
        <v>309</v>
      </c>
      <c r="C137" s="7" t="s">
        <v>311</v>
      </c>
      <c r="D137" s="7" t="s">
        <v>1040</v>
      </c>
      <c r="E137" s="75" t="s">
        <v>1041</v>
      </c>
      <c r="F137" s="14" t="s">
        <v>2534</v>
      </c>
      <c r="G137" s="8" t="s">
        <v>28</v>
      </c>
      <c r="I137" s="152">
        <f>AVERAGE('All-Hands Attendance'!I137:L137,'All-Hands Attendance'!M137:AA137)</f>
        <v>0.8684210526</v>
      </c>
      <c r="J137" s="153">
        <f>AVERAGE('Workshop Attendance '!R137:AQ137)</f>
        <v>0.3823529412</v>
      </c>
      <c r="K137" s="75" t="str">
        <f t="shared" si="1"/>
        <v>No</v>
      </c>
      <c r="L137" s="142" t="str">
        <f t="shared" si="5"/>
        <v>No</v>
      </c>
    </row>
    <row r="138">
      <c r="A138" s="9">
        <v>24.0</v>
      </c>
      <c r="B138" s="7" t="s">
        <v>309</v>
      </c>
      <c r="C138" s="7" t="s">
        <v>313</v>
      </c>
      <c r="D138" s="7" t="s">
        <v>2559</v>
      </c>
      <c r="E138" s="75" t="s">
        <v>2330</v>
      </c>
      <c r="F138" s="14" t="s">
        <v>2534</v>
      </c>
      <c r="G138" s="8" t="s">
        <v>24</v>
      </c>
      <c r="I138" s="152">
        <f>AVERAGE('All-Hands Attendance'!I138:L138,'All-Hands Attendance'!M138:AA138)</f>
        <v>0.8157894737</v>
      </c>
      <c r="J138" s="153">
        <f>AVERAGE('Workshop Attendance '!R138:AQ138)</f>
        <v>0.08823529412</v>
      </c>
      <c r="K138" s="75" t="str">
        <f t="shared" si="1"/>
        <v>No</v>
      </c>
      <c r="L138" s="142" t="str">
        <f t="shared" si="5"/>
        <v>No</v>
      </c>
    </row>
    <row r="139">
      <c r="A139" s="9">
        <v>24.0</v>
      </c>
      <c r="B139" s="7" t="s">
        <v>309</v>
      </c>
      <c r="C139" s="7" t="s">
        <v>315</v>
      </c>
      <c r="D139" s="7" t="s">
        <v>1960</v>
      </c>
      <c r="E139" s="75" t="s">
        <v>1961</v>
      </c>
      <c r="F139" s="14" t="s">
        <v>2534</v>
      </c>
      <c r="G139" s="8" t="s">
        <v>24</v>
      </c>
      <c r="I139" s="152">
        <f>AVERAGE('All-Hands Attendance'!I139:L139,'All-Hands Attendance'!M139:AA139)</f>
        <v>0.9210526316</v>
      </c>
      <c r="J139" s="153">
        <f>AVERAGE('Workshop Attendance '!R139:AQ139)</f>
        <v>0.1176470588</v>
      </c>
      <c r="K139" s="75" t="str">
        <f t="shared" si="1"/>
        <v>No</v>
      </c>
      <c r="L139" s="142" t="str">
        <f t="shared" si="5"/>
        <v>No</v>
      </c>
    </row>
    <row r="140">
      <c r="A140" s="34">
        <v>24.0</v>
      </c>
      <c r="B140" s="16" t="s">
        <v>309</v>
      </c>
      <c r="C140" s="16" t="s">
        <v>317</v>
      </c>
      <c r="D140" s="16" t="s">
        <v>615</v>
      </c>
      <c r="E140" s="15" t="s">
        <v>2116</v>
      </c>
      <c r="F140" s="46" t="s">
        <v>2534</v>
      </c>
      <c r="G140" s="17" t="s">
        <v>24</v>
      </c>
      <c r="H140" s="15"/>
      <c r="I140" s="152">
        <f>AVERAGE('All-Hands Attendance'!I140:L140,'All-Hands Attendance'!M140:AA140)</f>
        <v>0.5789473684</v>
      </c>
      <c r="J140" s="153">
        <f>AVERAGE('Workshop Attendance '!R140:AQ140)</f>
        <v>0.2941176471</v>
      </c>
      <c r="K140" s="75" t="str">
        <f t="shared" si="1"/>
        <v>Yes</v>
      </c>
      <c r="L140" s="142" t="str">
        <f t="shared" si="5"/>
        <v>No</v>
      </c>
      <c r="M140" s="15"/>
      <c r="N140" s="15"/>
      <c r="O140" s="15"/>
      <c r="P140" s="15"/>
      <c r="Q140" s="15"/>
      <c r="R140" s="15"/>
      <c r="S140" s="15"/>
      <c r="T140" s="15"/>
    </row>
    <row r="141">
      <c r="A141" s="167">
        <v>25.0</v>
      </c>
      <c r="B141" s="80" t="s">
        <v>320</v>
      </c>
      <c r="C141" s="7" t="s">
        <v>319</v>
      </c>
      <c r="D141" s="80" t="s">
        <v>1452</v>
      </c>
      <c r="E141" s="75" t="s">
        <v>692</v>
      </c>
      <c r="F141" s="14" t="s">
        <v>2534</v>
      </c>
      <c r="G141" s="8" t="s">
        <v>28</v>
      </c>
      <c r="I141" s="152">
        <f>AVERAGE('All-Hands Attendance'!I141:L141,'All-Hands Attendance'!M141:AA141)</f>
        <v>0.9736842105</v>
      </c>
      <c r="J141" s="153">
        <f>AVERAGE('Workshop Attendance '!R141:AQ141)</f>
        <v>0.5882352941</v>
      </c>
      <c r="K141" s="75" t="str">
        <f t="shared" si="1"/>
        <v>No</v>
      </c>
      <c r="L141" s="142" t="str">
        <f t="shared" si="5"/>
        <v>No</v>
      </c>
    </row>
    <row r="142">
      <c r="A142" s="21">
        <v>25.0</v>
      </c>
      <c r="B142" s="7" t="s">
        <v>320</v>
      </c>
      <c r="C142" s="7" t="s">
        <v>322</v>
      </c>
      <c r="D142" s="22" t="s">
        <v>631</v>
      </c>
      <c r="E142" s="10" t="s">
        <v>632</v>
      </c>
      <c r="F142" s="14" t="s">
        <v>2534</v>
      </c>
      <c r="G142" s="11" t="s">
        <v>11</v>
      </c>
      <c r="I142" s="152">
        <f>AVERAGE('All-Hands Attendance'!I142:L142,'All-Hands Attendance'!M142:AA142)</f>
        <v>1</v>
      </c>
      <c r="J142" s="153">
        <f>AVERAGE('Workshop Attendance '!R142:AQ142)</f>
        <v>0.5882352941</v>
      </c>
      <c r="K142" s="75" t="str">
        <f t="shared" si="1"/>
        <v>No</v>
      </c>
      <c r="L142" s="142" t="str">
        <f t="shared" si="5"/>
        <v>No</v>
      </c>
    </row>
    <row r="143">
      <c r="A143" s="155">
        <v>25.0</v>
      </c>
      <c r="B143" s="7" t="s">
        <v>320</v>
      </c>
      <c r="C143" s="7" t="s">
        <v>324</v>
      </c>
      <c r="D143" s="22" t="s">
        <v>590</v>
      </c>
      <c r="E143" s="10" t="s">
        <v>591</v>
      </c>
      <c r="F143" s="14" t="s">
        <v>2534</v>
      </c>
      <c r="G143" s="8" t="s">
        <v>28</v>
      </c>
      <c r="I143" s="152">
        <f>AVERAGE('All-Hands Attendance'!I143:L143,'All-Hands Attendance'!M143:AA143)</f>
        <v>1</v>
      </c>
      <c r="J143" s="153">
        <f>AVERAGE('Workshop Attendance '!R143:AQ143)</f>
        <v>0.5294117647</v>
      </c>
      <c r="K143" s="75" t="str">
        <f t="shared" si="1"/>
        <v>No</v>
      </c>
      <c r="L143" s="142" t="str">
        <f t="shared" si="5"/>
        <v>No</v>
      </c>
    </row>
    <row r="144">
      <c r="A144" s="21">
        <v>25.0</v>
      </c>
      <c r="B144" s="7" t="s">
        <v>320</v>
      </c>
      <c r="C144" s="7" t="s">
        <v>326</v>
      </c>
      <c r="D144" s="22" t="s">
        <v>1148</v>
      </c>
      <c r="E144" s="10" t="s">
        <v>698</v>
      </c>
      <c r="F144" s="14" t="s">
        <v>2534</v>
      </c>
      <c r="G144" s="11" t="s">
        <v>11</v>
      </c>
      <c r="I144" s="152">
        <f>AVERAGE('All-Hands Attendance'!I144:L144,'All-Hands Attendance'!M144:AA144)</f>
        <v>1</v>
      </c>
      <c r="J144" s="153">
        <f>AVERAGE('Workshop Attendance '!R144:AQ144)</f>
        <v>0.6111111111</v>
      </c>
      <c r="K144" s="75" t="str">
        <f t="shared" si="1"/>
        <v>No</v>
      </c>
      <c r="L144" s="142" t="str">
        <f t="shared" si="5"/>
        <v>No</v>
      </c>
    </row>
    <row r="145">
      <c r="A145" s="21">
        <v>25.0</v>
      </c>
      <c r="B145" s="7" t="s">
        <v>320</v>
      </c>
      <c r="C145" s="7" t="s">
        <v>328</v>
      </c>
      <c r="D145" s="22" t="s">
        <v>826</v>
      </c>
      <c r="E145" s="10" t="s">
        <v>827</v>
      </c>
      <c r="F145" s="14" t="s">
        <v>2534</v>
      </c>
      <c r="G145" s="8" t="s">
        <v>28</v>
      </c>
      <c r="I145" s="152">
        <f>AVERAGE('All-Hands Attendance'!I145:L145,'All-Hands Attendance'!M145:AA145)</f>
        <v>0.9736842105</v>
      </c>
      <c r="J145" s="153">
        <f>AVERAGE('Workshop Attendance '!R145:AQ145)</f>
        <v>0.6111111111</v>
      </c>
      <c r="K145" s="75" t="str">
        <f t="shared" si="1"/>
        <v>No</v>
      </c>
      <c r="L145" s="142" t="str">
        <f t="shared" si="5"/>
        <v>No</v>
      </c>
    </row>
    <row r="146">
      <c r="A146" s="21">
        <v>25.0</v>
      </c>
      <c r="B146" s="7" t="s">
        <v>320</v>
      </c>
      <c r="C146" s="7" t="s">
        <v>330</v>
      </c>
      <c r="D146" s="22" t="s">
        <v>2560</v>
      </c>
      <c r="E146" s="10" t="s">
        <v>663</v>
      </c>
      <c r="F146" s="14" t="s">
        <v>2534</v>
      </c>
      <c r="G146" s="8" t="s">
        <v>28</v>
      </c>
      <c r="I146" s="152">
        <f>AVERAGE('All-Hands Attendance'!I146:L146,'All-Hands Attendance'!M146:AA146)</f>
        <v>1</v>
      </c>
      <c r="J146" s="153">
        <f>AVERAGE('Workshop Attendance '!R146:AQ146)</f>
        <v>0.6111111111</v>
      </c>
      <c r="K146" s="75" t="str">
        <f t="shared" si="1"/>
        <v>No</v>
      </c>
      <c r="L146" s="142" t="str">
        <f t="shared" si="5"/>
        <v>No</v>
      </c>
    </row>
    <row r="147">
      <c r="A147" s="24">
        <v>25.0</v>
      </c>
      <c r="B147" s="16" t="s">
        <v>320</v>
      </c>
      <c r="C147" s="77" t="s">
        <v>332</v>
      </c>
      <c r="D147" s="40" t="s">
        <v>445</v>
      </c>
      <c r="E147" s="19" t="s">
        <v>739</v>
      </c>
      <c r="F147" s="46" t="s">
        <v>2534</v>
      </c>
      <c r="G147" s="8" t="s">
        <v>24</v>
      </c>
      <c r="H147" s="15"/>
      <c r="I147" s="152">
        <f>AVERAGE('All-Hands Attendance'!I147:L147,'All-Hands Attendance'!M147:AA147)</f>
        <v>1</v>
      </c>
      <c r="J147" s="153">
        <f>AVERAGE('Workshop Attendance '!R147:AQ147)</f>
        <v>0.3529411765</v>
      </c>
      <c r="K147" s="75" t="str">
        <f t="shared" si="1"/>
        <v>Yes</v>
      </c>
      <c r="L147" s="142" t="str">
        <f t="shared" si="5"/>
        <v>No</v>
      </c>
      <c r="M147" s="15"/>
      <c r="N147" s="15"/>
      <c r="O147" s="15"/>
      <c r="P147" s="15"/>
      <c r="Q147" s="15"/>
      <c r="R147" s="15"/>
      <c r="S147" s="15"/>
      <c r="T147" s="15"/>
    </row>
    <row r="148">
      <c r="A148" s="47">
        <v>26.0</v>
      </c>
      <c r="B148" s="7" t="s">
        <v>335</v>
      </c>
      <c r="C148" s="80" t="s">
        <v>334</v>
      </c>
      <c r="D148" s="37" t="s">
        <v>1145</v>
      </c>
      <c r="E148" s="75" t="s">
        <v>1146</v>
      </c>
      <c r="F148" s="14" t="s">
        <v>2534</v>
      </c>
      <c r="G148" s="8" t="s">
        <v>24</v>
      </c>
      <c r="I148" s="152">
        <f>AVERAGE('All-Hands Attendance'!I148:L148,'All-Hands Attendance'!M148:AA148)</f>
        <v>0.9722222222</v>
      </c>
      <c r="J148" s="153">
        <f>AVERAGE('Workshop Attendance '!R148:AQ148)</f>
        <v>0.2352941176</v>
      </c>
      <c r="K148" s="75" t="str">
        <f t="shared" si="1"/>
        <v>No</v>
      </c>
      <c r="L148" s="142" t="str">
        <f t="shared" si="5"/>
        <v>No</v>
      </c>
    </row>
    <row r="149">
      <c r="A149" s="47">
        <v>26.0</v>
      </c>
      <c r="B149" s="7" t="s">
        <v>335</v>
      </c>
      <c r="C149" s="7" t="s">
        <v>337</v>
      </c>
      <c r="D149" s="22" t="s">
        <v>1351</v>
      </c>
      <c r="E149" s="10" t="s">
        <v>466</v>
      </c>
      <c r="F149" s="14" t="s">
        <v>2534</v>
      </c>
      <c r="G149" s="69" t="s">
        <v>24</v>
      </c>
      <c r="I149" s="152">
        <f>AVERAGE('All-Hands Attendance'!I149:L149,'All-Hands Attendance'!M149:AA149)</f>
        <v>1</v>
      </c>
      <c r="J149" s="153">
        <f>AVERAGE('Workshop Attendance '!R149:AQ149)</f>
        <v>0.2941176471</v>
      </c>
      <c r="K149" s="75" t="str">
        <f t="shared" si="1"/>
        <v>Yes</v>
      </c>
      <c r="L149" s="142" t="str">
        <f t="shared" si="5"/>
        <v>Yes</v>
      </c>
    </row>
    <row r="150">
      <c r="A150" s="47">
        <v>26.0</v>
      </c>
      <c r="B150" s="7" t="s">
        <v>335</v>
      </c>
      <c r="C150" s="7" t="s">
        <v>339</v>
      </c>
      <c r="D150" s="22" t="s">
        <v>858</v>
      </c>
      <c r="E150" s="10" t="s">
        <v>726</v>
      </c>
      <c r="F150" s="165" t="s">
        <v>2534</v>
      </c>
      <c r="G150" s="166" t="s">
        <v>24</v>
      </c>
      <c r="I150" s="152">
        <f>AVERAGE('All-Hands Attendance'!I150:L150,'All-Hands Attendance'!M150:AA150)</f>
        <v>0.9722222222</v>
      </c>
      <c r="J150" s="153">
        <f>AVERAGE('Workshop Attendance '!R150:AQ150)</f>
        <v>0.4117647059</v>
      </c>
      <c r="K150" s="75" t="str">
        <f t="shared" si="1"/>
        <v>Yes</v>
      </c>
      <c r="L150" s="142" t="str">
        <f t="shared" si="5"/>
        <v>No</v>
      </c>
    </row>
    <row r="151">
      <c r="A151" s="47">
        <v>26.0</v>
      </c>
      <c r="B151" s="7" t="s">
        <v>335</v>
      </c>
      <c r="C151" s="7" t="s">
        <v>341</v>
      </c>
      <c r="D151" s="22" t="s">
        <v>1047</v>
      </c>
      <c r="E151" s="10" t="s">
        <v>1048</v>
      </c>
      <c r="F151" s="14" t="s">
        <v>2534</v>
      </c>
      <c r="G151" s="11" t="s">
        <v>28</v>
      </c>
      <c r="I151" s="152">
        <f>AVERAGE('All-Hands Attendance'!I151:L151,'All-Hands Attendance'!M151:AA151)</f>
        <v>0.8888888889</v>
      </c>
      <c r="J151" s="153">
        <f>AVERAGE('Workshop Attendance '!R151:AQ151)</f>
        <v>0.5588235294</v>
      </c>
      <c r="K151" s="75" t="str">
        <f t="shared" si="1"/>
        <v>No</v>
      </c>
      <c r="L151" s="142" t="str">
        <f t="shared" si="5"/>
        <v>No</v>
      </c>
    </row>
    <row r="152">
      <c r="A152" s="48">
        <v>26.0</v>
      </c>
      <c r="B152" s="16" t="s">
        <v>335</v>
      </c>
      <c r="C152" s="16" t="s">
        <v>343</v>
      </c>
      <c r="D152" s="40" t="s">
        <v>1346</v>
      </c>
      <c r="E152" s="19" t="s">
        <v>632</v>
      </c>
      <c r="F152" s="46" t="s">
        <v>2534</v>
      </c>
      <c r="G152" s="8" t="s">
        <v>28</v>
      </c>
      <c r="H152" s="15"/>
      <c r="I152" s="152">
        <f>AVERAGE('All-Hands Attendance'!I152:L152,'All-Hands Attendance'!M152:AA152)</f>
        <v>0.8888888889</v>
      </c>
      <c r="J152" s="153">
        <f>AVERAGE('Workshop Attendance '!R152:AQ152)</f>
        <v>0.4705882353</v>
      </c>
      <c r="K152" s="75" t="str">
        <f t="shared" si="1"/>
        <v>No</v>
      </c>
      <c r="L152" s="142" t="str">
        <f t="shared" si="5"/>
        <v>No</v>
      </c>
      <c r="M152" s="15"/>
      <c r="N152" s="15"/>
      <c r="O152" s="15"/>
      <c r="P152" s="15"/>
      <c r="Q152" s="15"/>
      <c r="R152" s="15"/>
      <c r="S152" s="15"/>
      <c r="T152" s="15"/>
    </row>
    <row r="153">
      <c r="A153" s="168">
        <v>27.0</v>
      </c>
      <c r="B153" s="80" t="s">
        <v>346</v>
      </c>
      <c r="C153" s="7" t="s">
        <v>345</v>
      </c>
      <c r="D153" s="80" t="s">
        <v>492</v>
      </c>
      <c r="E153" s="75" t="s">
        <v>493</v>
      </c>
      <c r="F153" s="14" t="s">
        <v>2534</v>
      </c>
      <c r="G153" s="32" t="s">
        <v>24</v>
      </c>
      <c r="I153" s="152">
        <f>AVERAGE('All-Hands Attendance'!I153:L153,'All-Hands Attendance'!M153:AA153)</f>
        <v>0.8421052632</v>
      </c>
      <c r="J153" s="153">
        <f>AVERAGE('Workshop Attendance '!R153:AQ153)</f>
        <v>0.2647058824</v>
      </c>
      <c r="K153" s="75" t="str">
        <f t="shared" si="1"/>
        <v>Yes</v>
      </c>
      <c r="L153" s="142" t="str">
        <f t="shared" si="5"/>
        <v>No</v>
      </c>
    </row>
    <row r="154">
      <c r="A154" s="49">
        <v>27.0</v>
      </c>
      <c r="B154" s="7" t="s">
        <v>346</v>
      </c>
      <c r="C154" s="7" t="s">
        <v>348</v>
      </c>
      <c r="D154" s="7" t="s">
        <v>1505</v>
      </c>
      <c r="E154" s="75" t="s">
        <v>487</v>
      </c>
      <c r="F154" s="14" t="s">
        <v>2534</v>
      </c>
      <c r="G154" s="32" t="s">
        <v>24</v>
      </c>
      <c r="I154" s="152">
        <f>AVERAGE('All-Hands Attendance'!I154:L154,'All-Hands Attendance'!M154:AA154)</f>
        <v>0.7894736842</v>
      </c>
      <c r="J154" s="153">
        <f>AVERAGE('Workshop Attendance '!R154:AQ154)</f>
        <v>0.1764705882</v>
      </c>
      <c r="K154" s="75" t="str">
        <f t="shared" si="1"/>
        <v>No</v>
      </c>
      <c r="L154" s="142" t="str">
        <f t="shared" si="5"/>
        <v>No</v>
      </c>
    </row>
    <row r="155">
      <c r="A155" s="49">
        <v>27.0</v>
      </c>
      <c r="B155" s="7" t="s">
        <v>346</v>
      </c>
      <c r="C155" s="7" t="s">
        <v>350</v>
      </c>
      <c r="D155" s="7" t="s">
        <v>807</v>
      </c>
      <c r="E155" s="75" t="s">
        <v>808</v>
      </c>
      <c r="F155" s="14" t="s">
        <v>2534</v>
      </c>
      <c r="G155" s="166" t="s">
        <v>24</v>
      </c>
      <c r="I155" s="152">
        <f>AVERAGE('All-Hands Attendance'!I155:L155,'All-Hands Attendance'!M155:AA155)</f>
        <v>0.7894736842</v>
      </c>
      <c r="J155" s="153">
        <f>AVERAGE('Workshop Attendance '!R155:AQ155)</f>
        <v>0.2941176471</v>
      </c>
      <c r="K155" s="75" t="str">
        <f t="shared" si="1"/>
        <v>Yes</v>
      </c>
      <c r="L155" s="142" t="str">
        <f t="shared" si="5"/>
        <v>No</v>
      </c>
    </row>
    <row r="156">
      <c r="A156" s="49">
        <v>27.0</v>
      </c>
      <c r="B156" s="7" t="s">
        <v>346</v>
      </c>
      <c r="C156" s="7" t="s">
        <v>352</v>
      </c>
      <c r="D156" s="7" t="s">
        <v>555</v>
      </c>
      <c r="E156" s="75" t="s">
        <v>556</v>
      </c>
      <c r="F156" s="14" t="s">
        <v>2534</v>
      </c>
      <c r="G156" s="8" t="s">
        <v>28</v>
      </c>
      <c r="I156" s="152">
        <f>AVERAGE('All-Hands Attendance'!I156:L156,'All-Hands Attendance'!M156:AA156)</f>
        <v>0.3684210526</v>
      </c>
      <c r="J156" s="153">
        <f>AVERAGE('Workshop Attendance '!R156:AQ156)</f>
        <v>0.5588235294</v>
      </c>
      <c r="K156" s="75" t="str">
        <f t="shared" si="1"/>
        <v>No</v>
      </c>
      <c r="L156" s="142" t="str">
        <f t="shared" si="5"/>
        <v>No</v>
      </c>
    </row>
    <row r="157">
      <c r="A157" s="49">
        <v>27.0</v>
      </c>
      <c r="B157" s="7" t="s">
        <v>346</v>
      </c>
      <c r="C157" s="7" t="s">
        <v>354</v>
      </c>
      <c r="D157" s="7" t="s">
        <v>518</v>
      </c>
      <c r="E157" s="75" t="s">
        <v>519</v>
      </c>
      <c r="F157" s="14" t="s">
        <v>2534</v>
      </c>
      <c r="G157" s="8" t="s">
        <v>28</v>
      </c>
      <c r="I157" s="152">
        <f>AVERAGE('All-Hands Attendance'!I157:L157,'All-Hands Attendance'!M157:AA157)</f>
        <v>0.9473684211</v>
      </c>
      <c r="J157" s="153">
        <f>AVERAGE('Workshop Attendance '!R157:AQ157)</f>
        <v>0.5882352941</v>
      </c>
      <c r="K157" s="75" t="str">
        <f t="shared" si="1"/>
        <v>No</v>
      </c>
      <c r="L157" s="142" t="str">
        <f t="shared" si="5"/>
        <v>No</v>
      </c>
    </row>
    <row r="158">
      <c r="A158" s="50">
        <v>27.0</v>
      </c>
      <c r="B158" s="16" t="s">
        <v>346</v>
      </c>
      <c r="C158" s="16" t="s">
        <v>356</v>
      </c>
      <c r="D158" s="16" t="s">
        <v>544</v>
      </c>
      <c r="E158" s="15" t="s">
        <v>545</v>
      </c>
      <c r="F158" s="46" t="s">
        <v>2534</v>
      </c>
      <c r="G158" s="8" t="s">
        <v>28</v>
      </c>
      <c r="H158" s="15"/>
      <c r="I158" s="152">
        <f>AVERAGE('All-Hands Attendance'!I158:L158,'All-Hands Attendance'!M158:AA158)</f>
        <v>0.8684210526</v>
      </c>
      <c r="J158" s="153">
        <f>AVERAGE('Workshop Attendance '!R158:AQ158)</f>
        <v>0.4705882353</v>
      </c>
      <c r="K158" s="75" t="str">
        <f t="shared" si="1"/>
        <v>No</v>
      </c>
      <c r="L158" s="142" t="str">
        <f t="shared" si="5"/>
        <v>No</v>
      </c>
      <c r="M158" s="15"/>
      <c r="N158" s="15"/>
      <c r="O158" s="15"/>
      <c r="P158" s="15"/>
      <c r="Q158" s="15"/>
      <c r="R158" s="15"/>
      <c r="S158" s="15"/>
      <c r="T158" s="15"/>
    </row>
    <row r="159">
      <c r="A159" s="38">
        <v>28.0</v>
      </c>
      <c r="B159" s="7" t="s">
        <v>359</v>
      </c>
      <c r="C159" s="7" t="s">
        <v>358</v>
      </c>
      <c r="D159" s="7" t="s">
        <v>2561</v>
      </c>
      <c r="E159" s="75" t="s">
        <v>801</v>
      </c>
      <c r="F159" s="14" t="s">
        <v>2534</v>
      </c>
      <c r="G159" s="8" t="s">
        <v>28</v>
      </c>
      <c r="I159" s="152">
        <f>AVERAGE('All-Hands Attendance'!I159:L159,'All-Hands Attendance'!M159:AA159)</f>
        <v>1</v>
      </c>
      <c r="J159" s="153">
        <f>AVERAGE('Workshop Attendance '!R159:AQ159)</f>
        <v>0.5294117647</v>
      </c>
      <c r="K159" s="75" t="str">
        <f t="shared" si="1"/>
        <v>No</v>
      </c>
      <c r="L159" s="142" t="str">
        <f t="shared" si="5"/>
        <v>No</v>
      </c>
    </row>
    <row r="160">
      <c r="A160" s="38">
        <v>28.0</v>
      </c>
      <c r="B160" s="7" t="s">
        <v>359</v>
      </c>
      <c r="C160" s="7" t="s">
        <v>361</v>
      </c>
      <c r="D160" s="7" t="s">
        <v>625</v>
      </c>
      <c r="E160" s="75" t="s">
        <v>626</v>
      </c>
      <c r="F160" s="14" t="s">
        <v>2534</v>
      </c>
      <c r="G160" s="8" t="s">
        <v>24</v>
      </c>
      <c r="I160" s="152">
        <f>AVERAGE('All-Hands Attendance'!I160:L160,'All-Hands Attendance'!M160:AA160)</f>
        <v>1</v>
      </c>
      <c r="J160" s="153">
        <f>AVERAGE('Workshop Attendance '!R160:AQ160)</f>
        <v>0.6470588235</v>
      </c>
      <c r="K160" s="75" t="str">
        <f t="shared" si="1"/>
        <v>Yes</v>
      </c>
      <c r="L160" s="142" t="str">
        <f t="shared" si="5"/>
        <v>No</v>
      </c>
    </row>
    <row r="161">
      <c r="A161" s="38">
        <v>28.0</v>
      </c>
      <c r="B161" s="7" t="s">
        <v>359</v>
      </c>
      <c r="C161" s="7" t="s">
        <v>363</v>
      </c>
      <c r="D161" s="7" t="s">
        <v>430</v>
      </c>
      <c r="E161" s="75" t="s">
        <v>431</v>
      </c>
      <c r="F161" s="14" t="s">
        <v>2534</v>
      </c>
      <c r="G161" s="8" t="s">
        <v>24</v>
      </c>
      <c r="I161" s="152">
        <f>AVERAGE('All-Hands Attendance'!I161:L161,'All-Hands Attendance'!M161:AA161)</f>
        <v>0.8888888889</v>
      </c>
      <c r="J161" s="153">
        <f>AVERAGE('Workshop Attendance '!R161:AQ161)</f>
        <v>0.2941176471</v>
      </c>
      <c r="K161" s="75" t="str">
        <f t="shared" si="1"/>
        <v>Yes</v>
      </c>
      <c r="L161" s="142" t="str">
        <f t="shared" si="5"/>
        <v>No</v>
      </c>
    </row>
    <row r="162">
      <c r="A162" s="38">
        <v>28.0</v>
      </c>
      <c r="B162" s="7" t="s">
        <v>359</v>
      </c>
      <c r="C162" s="7" t="s">
        <v>365</v>
      </c>
      <c r="D162" s="7" t="s">
        <v>653</v>
      </c>
      <c r="E162" s="75" t="s">
        <v>654</v>
      </c>
      <c r="F162" s="14" t="s">
        <v>2534</v>
      </c>
      <c r="G162" s="8" t="s">
        <v>28</v>
      </c>
      <c r="I162" s="152">
        <f>AVERAGE('All-Hands Attendance'!I162:L162,'All-Hands Attendance'!M162:AA162)</f>
        <v>0.9411764706</v>
      </c>
      <c r="J162" s="153">
        <f>AVERAGE('Workshop Attendance '!R162:AQ162)</f>
        <v>0.5882352941</v>
      </c>
      <c r="K162" s="75" t="str">
        <f t="shared" si="1"/>
        <v>No</v>
      </c>
      <c r="L162" s="142" t="str">
        <f t="shared" si="5"/>
        <v>No</v>
      </c>
    </row>
    <row r="163">
      <c r="A163" s="42">
        <v>28.0</v>
      </c>
      <c r="B163" s="16" t="s">
        <v>359</v>
      </c>
      <c r="C163" s="16" t="s">
        <v>367</v>
      </c>
      <c r="D163" s="16" t="s">
        <v>959</v>
      </c>
      <c r="E163" s="15" t="s">
        <v>2562</v>
      </c>
      <c r="F163" s="46" t="s">
        <v>2534</v>
      </c>
      <c r="G163" s="17" t="s">
        <v>28</v>
      </c>
      <c r="H163" s="15"/>
      <c r="I163" s="152">
        <f>AVERAGE('All-Hands Attendance'!I163:L163,'All-Hands Attendance'!M163:AA163)</f>
        <v>0.9722222222</v>
      </c>
      <c r="J163" s="153">
        <f>AVERAGE('Workshop Attendance '!R163:AQ163)</f>
        <v>0.5</v>
      </c>
      <c r="K163" s="75" t="str">
        <f t="shared" si="1"/>
        <v>No</v>
      </c>
      <c r="L163" s="142" t="str">
        <f t="shared" si="5"/>
        <v>No</v>
      </c>
      <c r="M163" s="15"/>
      <c r="N163" s="15"/>
      <c r="O163" s="15"/>
      <c r="P163" s="15"/>
      <c r="Q163" s="15"/>
      <c r="R163" s="15"/>
      <c r="S163" s="15"/>
      <c r="T163" s="15"/>
    </row>
    <row r="164">
      <c r="A164" s="21">
        <v>29.0</v>
      </c>
      <c r="B164" s="7" t="s">
        <v>370</v>
      </c>
      <c r="C164" s="7" t="s">
        <v>369</v>
      </c>
      <c r="D164" s="7" t="s">
        <v>457</v>
      </c>
      <c r="E164" s="75" t="s">
        <v>458</v>
      </c>
      <c r="F164" s="14" t="s">
        <v>2534</v>
      </c>
      <c r="G164" s="8" t="s">
        <v>24</v>
      </c>
      <c r="I164" s="152">
        <f>AVERAGE('All-Hands Attendance'!I164:L164,'All-Hands Attendance'!M164:AA164)</f>
        <v>1</v>
      </c>
      <c r="J164" s="153">
        <f>AVERAGE('Workshop Attendance '!R164:AQ164)</f>
        <v>0.2941176471</v>
      </c>
      <c r="K164" s="75" t="str">
        <f t="shared" si="1"/>
        <v>Yes</v>
      </c>
      <c r="L164" s="142" t="str">
        <f t="shared" si="5"/>
        <v>No</v>
      </c>
    </row>
    <row r="165">
      <c r="A165" s="21">
        <v>29.0</v>
      </c>
      <c r="B165" s="7" t="s">
        <v>370</v>
      </c>
      <c r="C165" s="7" t="s">
        <v>372</v>
      </c>
      <c r="D165" s="7" t="s">
        <v>486</v>
      </c>
      <c r="E165" s="75" t="s">
        <v>487</v>
      </c>
      <c r="F165" s="14" t="s">
        <v>2534</v>
      </c>
      <c r="G165" s="8" t="s">
        <v>24</v>
      </c>
      <c r="I165" s="152">
        <f>AVERAGE('All-Hands Attendance'!I165:L165,'All-Hands Attendance'!M165:AA165)</f>
        <v>0.9166666667</v>
      </c>
      <c r="J165" s="153">
        <f>AVERAGE('Workshop Attendance '!R165:AQ165)</f>
        <v>0.4117647059</v>
      </c>
      <c r="K165" s="75" t="str">
        <f t="shared" si="1"/>
        <v>Yes</v>
      </c>
      <c r="L165" s="142" t="str">
        <f t="shared" si="5"/>
        <v>No</v>
      </c>
    </row>
    <row r="166">
      <c r="A166" s="21">
        <v>29.0</v>
      </c>
      <c r="B166" s="7" t="s">
        <v>370</v>
      </c>
      <c r="C166" s="7" t="s">
        <v>374</v>
      </c>
      <c r="D166" s="7" t="s">
        <v>1027</v>
      </c>
      <c r="E166" s="75" t="s">
        <v>458</v>
      </c>
      <c r="F166" s="14" t="s">
        <v>2534</v>
      </c>
      <c r="G166" s="8" t="s">
        <v>24</v>
      </c>
      <c r="I166" s="152">
        <f>AVERAGE('All-Hands Attendance'!I166:L166,'All-Hands Attendance'!M166:AA166)</f>
        <v>0.9722222222</v>
      </c>
      <c r="J166" s="153">
        <f>AVERAGE('Workshop Attendance '!R166:AQ166)</f>
        <v>0.2647058824</v>
      </c>
      <c r="K166" s="75" t="str">
        <f t="shared" si="1"/>
        <v>Yes</v>
      </c>
      <c r="L166" s="142" t="str">
        <f t="shared" si="5"/>
        <v>No</v>
      </c>
    </row>
    <row r="167">
      <c r="A167" s="21">
        <v>29.0</v>
      </c>
      <c r="B167" s="7" t="s">
        <v>370</v>
      </c>
      <c r="C167" s="7" t="s">
        <v>376</v>
      </c>
      <c r="D167" s="7" t="s">
        <v>877</v>
      </c>
      <c r="E167" s="75" t="s">
        <v>878</v>
      </c>
      <c r="F167" s="14" t="s">
        <v>2534</v>
      </c>
      <c r="G167" s="8" t="s">
        <v>24</v>
      </c>
      <c r="I167" s="152">
        <f>AVERAGE('All-Hands Attendance'!I167:L167,'All-Hands Attendance'!M167:AA167)</f>
        <v>1</v>
      </c>
      <c r="J167" s="153">
        <f>AVERAGE('Workshop Attendance '!R167:AQ167)</f>
        <v>0.2941176471</v>
      </c>
      <c r="K167" s="75" t="str">
        <f t="shared" si="1"/>
        <v>Yes</v>
      </c>
      <c r="L167" s="142" t="str">
        <f t="shared" si="5"/>
        <v>Yes</v>
      </c>
    </row>
    <row r="168">
      <c r="A168" s="21">
        <v>29.0</v>
      </c>
      <c r="B168" s="7" t="s">
        <v>370</v>
      </c>
      <c r="C168" s="7" t="s">
        <v>378</v>
      </c>
      <c r="D168" s="7" t="s">
        <v>1205</v>
      </c>
      <c r="E168" s="75" t="s">
        <v>1206</v>
      </c>
      <c r="F168" s="14" t="s">
        <v>2534</v>
      </c>
      <c r="G168" s="8" t="s">
        <v>24</v>
      </c>
      <c r="I168" s="152">
        <f>AVERAGE('All-Hands Attendance'!I168:L168,'All-Hands Attendance'!M168:AA168)</f>
        <v>1</v>
      </c>
      <c r="J168" s="153">
        <f>AVERAGE('Workshop Attendance '!R168:AQ168)</f>
        <v>0.4117647059</v>
      </c>
      <c r="K168" s="75" t="str">
        <f t="shared" si="1"/>
        <v>Yes</v>
      </c>
      <c r="L168" s="142" t="str">
        <f t="shared" si="5"/>
        <v>Yes</v>
      </c>
    </row>
    <row r="169">
      <c r="A169" s="24">
        <v>29.0</v>
      </c>
      <c r="B169" s="16" t="s">
        <v>370</v>
      </c>
      <c r="C169" s="16" t="s">
        <v>380</v>
      </c>
      <c r="D169" s="16" t="s">
        <v>439</v>
      </c>
      <c r="E169" s="15" t="s">
        <v>440</v>
      </c>
      <c r="F169" s="46" t="s">
        <v>2534</v>
      </c>
      <c r="G169" s="8" t="s">
        <v>24</v>
      </c>
      <c r="H169" s="15"/>
      <c r="I169" s="152">
        <f>AVERAGE('All-Hands Attendance'!I169:L169,'All-Hands Attendance'!M169:AA169)</f>
        <v>1</v>
      </c>
      <c r="J169" s="153">
        <f>AVERAGE('Workshop Attendance '!R169:AQ169)</f>
        <v>0.4117647059</v>
      </c>
      <c r="K169" s="75" t="str">
        <f t="shared" si="1"/>
        <v>Yes</v>
      </c>
      <c r="L169" s="142" t="str">
        <f t="shared" si="5"/>
        <v>Yes</v>
      </c>
      <c r="M169" s="15"/>
      <c r="N169" s="15"/>
      <c r="O169" s="15"/>
      <c r="P169" s="15"/>
      <c r="Q169" s="15"/>
      <c r="R169" s="15"/>
      <c r="S169" s="15"/>
      <c r="T169" s="15"/>
    </row>
    <row r="170">
      <c r="A170" s="51">
        <v>30.0</v>
      </c>
      <c r="B170" s="7" t="s">
        <v>383</v>
      </c>
      <c r="C170" s="7" t="s">
        <v>382</v>
      </c>
      <c r="D170" s="7" t="s">
        <v>2472</v>
      </c>
      <c r="E170" s="75" t="s">
        <v>458</v>
      </c>
      <c r="F170" s="14" t="s">
        <v>2534</v>
      </c>
      <c r="G170" s="8" t="s">
        <v>11</v>
      </c>
      <c r="I170" s="152">
        <f>AVERAGE('All-Hands Attendance'!I170:L170,'All-Hands Attendance'!M170:AA170)</f>
        <v>0.9473684211</v>
      </c>
      <c r="J170" s="153">
        <f>AVERAGE('Workshop Attendance '!R170:AQ170)</f>
        <v>0.6176470588</v>
      </c>
      <c r="K170" s="75" t="str">
        <f t="shared" si="1"/>
        <v>No</v>
      </c>
      <c r="L170" s="142" t="str">
        <f t="shared" si="5"/>
        <v>No</v>
      </c>
    </row>
    <row r="171">
      <c r="A171" s="51">
        <v>30.0</v>
      </c>
      <c r="B171" s="7" t="s">
        <v>383</v>
      </c>
      <c r="C171" s="7" t="s">
        <v>385</v>
      </c>
      <c r="D171" s="7" t="s">
        <v>465</v>
      </c>
      <c r="E171" s="75" t="s">
        <v>466</v>
      </c>
      <c r="F171" s="14" t="s">
        <v>2534</v>
      </c>
      <c r="G171" s="11" t="s">
        <v>11</v>
      </c>
      <c r="I171" s="152">
        <f>AVERAGE('All-Hands Attendance'!I171:L171,'All-Hands Attendance'!M171:AA171)</f>
        <v>1</v>
      </c>
      <c r="J171" s="153">
        <f>AVERAGE('Workshop Attendance '!R171:AQ171)</f>
        <v>0.6470588235</v>
      </c>
      <c r="K171" s="75" t="str">
        <f t="shared" si="1"/>
        <v>No</v>
      </c>
      <c r="L171" s="142" t="str">
        <f t="shared" si="5"/>
        <v>No</v>
      </c>
    </row>
    <row r="172">
      <c r="A172" s="51">
        <v>30.0</v>
      </c>
      <c r="B172" s="7" t="s">
        <v>383</v>
      </c>
      <c r="C172" s="7" t="s">
        <v>387</v>
      </c>
      <c r="D172" s="22" t="s">
        <v>1998</v>
      </c>
      <c r="E172" s="10" t="s">
        <v>666</v>
      </c>
      <c r="F172" s="14" t="s">
        <v>2534</v>
      </c>
      <c r="G172" s="11" t="s">
        <v>11</v>
      </c>
      <c r="I172" s="152">
        <f>AVERAGE('All-Hands Attendance'!I172:L172,'All-Hands Attendance'!M172:AA172)</f>
        <v>0.9210526316</v>
      </c>
      <c r="J172" s="153">
        <f>AVERAGE('Workshop Attendance '!R172:AQ172)</f>
        <v>0.5</v>
      </c>
      <c r="K172" s="75" t="str">
        <f t="shared" si="1"/>
        <v>No</v>
      </c>
      <c r="L172" s="142" t="str">
        <f t="shared" si="5"/>
        <v>No</v>
      </c>
    </row>
    <row r="173">
      <c r="A173" s="51">
        <v>30.0</v>
      </c>
      <c r="B173" s="7" t="s">
        <v>211</v>
      </c>
      <c r="C173" s="7" t="s">
        <v>389</v>
      </c>
      <c r="D173" s="22" t="s">
        <v>731</v>
      </c>
      <c r="E173" s="10" t="s">
        <v>666</v>
      </c>
      <c r="F173" s="14" t="s">
        <v>2534</v>
      </c>
      <c r="G173" s="8" t="s">
        <v>11</v>
      </c>
      <c r="I173" s="152">
        <f>AVERAGE('All-Hands Attendance'!I173:L173,'All-Hands Attendance'!M173:AA173)</f>
        <v>0.9210526316</v>
      </c>
      <c r="J173" s="153">
        <f>AVERAGE('Workshop Attendance '!R173:AQ173)</f>
        <v>0.5588235294</v>
      </c>
      <c r="K173" s="75" t="str">
        <f t="shared" si="1"/>
        <v>No</v>
      </c>
      <c r="L173" s="142" t="str">
        <f t="shared" si="5"/>
        <v>No</v>
      </c>
    </row>
    <row r="174">
      <c r="A174" s="52">
        <v>30.0</v>
      </c>
      <c r="B174" s="16" t="s">
        <v>211</v>
      </c>
      <c r="C174" s="16" t="s">
        <v>391</v>
      </c>
      <c r="D174" s="40" t="s">
        <v>472</v>
      </c>
      <c r="E174" s="19" t="s">
        <v>473</v>
      </c>
      <c r="F174" s="46" t="s">
        <v>2534</v>
      </c>
      <c r="G174" s="8" t="s">
        <v>11</v>
      </c>
      <c r="H174" s="15"/>
      <c r="I174" s="152">
        <f>AVERAGE('All-Hands Attendance'!I174:L174,'All-Hands Attendance'!M174:AA174)</f>
        <v>0.6842105263</v>
      </c>
      <c r="J174" s="153">
        <f>AVERAGE('Workshop Attendance '!R174:AQ174)</f>
        <v>0.4705882353</v>
      </c>
      <c r="K174" s="75" t="str">
        <f t="shared" si="1"/>
        <v>No</v>
      </c>
      <c r="L174" s="142" t="str">
        <f t="shared" si="5"/>
        <v>No</v>
      </c>
      <c r="M174" s="15"/>
      <c r="N174" s="15"/>
      <c r="O174" s="15"/>
      <c r="P174" s="15"/>
      <c r="Q174" s="15"/>
      <c r="R174" s="15"/>
      <c r="S174" s="15"/>
      <c r="T174" s="15"/>
    </row>
    <row r="175">
      <c r="A175" s="47">
        <v>31.0</v>
      </c>
      <c r="B175" s="7" t="s">
        <v>394</v>
      </c>
      <c r="C175" s="7" t="s">
        <v>393</v>
      </c>
      <c r="D175" s="22" t="s">
        <v>657</v>
      </c>
      <c r="E175" s="75" t="s">
        <v>658</v>
      </c>
      <c r="F175" s="14" t="s">
        <v>2534</v>
      </c>
      <c r="G175" s="8" t="s">
        <v>11</v>
      </c>
      <c r="I175" s="152">
        <f>AVERAGE('All-Hands Attendance'!I175:L175,'All-Hands Attendance'!M175:AA175)</f>
        <v>0.9210526316</v>
      </c>
      <c r="J175" s="153">
        <f>AVERAGE('Workshop Attendance '!R175:AQ175)</f>
        <v>0.5555555556</v>
      </c>
      <c r="K175" s="75" t="str">
        <f t="shared" si="1"/>
        <v>No</v>
      </c>
      <c r="L175" s="142" t="str">
        <f t="shared" si="5"/>
        <v>No</v>
      </c>
    </row>
    <row r="176">
      <c r="A176" s="47">
        <v>31.0</v>
      </c>
      <c r="B176" s="7" t="s">
        <v>394</v>
      </c>
      <c r="C176" s="7" t="s">
        <v>396</v>
      </c>
      <c r="D176" s="7" t="s">
        <v>593</v>
      </c>
      <c r="E176" s="75" t="s">
        <v>594</v>
      </c>
      <c r="F176" s="14" t="s">
        <v>2534</v>
      </c>
      <c r="G176" s="8" t="s">
        <v>11</v>
      </c>
      <c r="I176" s="152">
        <f>AVERAGE('All-Hands Attendance'!I176:L176,'All-Hands Attendance'!M176:AA176)</f>
        <v>1</v>
      </c>
      <c r="J176" s="153">
        <f>AVERAGE('Workshop Attendance '!R176:AQ176)</f>
        <v>0.6111111111</v>
      </c>
      <c r="K176" s="75" t="str">
        <f t="shared" si="1"/>
        <v>No</v>
      </c>
      <c r="L176" s="142" t="str">
        <f t="shared" si="5"/>
        <v>No</v>
      </c>
    </row>
    <row r="177">
      <c r="A177" s="47">
        <v>31.0</v>
      </c>
      <c r="B177" s="7" t="s">
        <v>394</v>
      </c>
      <c r="C177" s="7" t="s">
        <v>398</v>
      </c>
      <c r="D177" s="7" t="s">
        <v>751</v>
      </c>
      <c r="E177" s="75" t="s">
        <v>752</v>
      </c>
      <c r="F177" s="14" t="s">
        <v>2534</v>
      </c>
      <c r="G177" s="8" t="s">
        <v>11</v>
      </c>
      <c r="I177" s="152">
        <f>AVERAGE('All-Hands Attendance'!I177:L177,'All-Hands Attendance'!M177:AA177)</f>
        <v>1</v>
      </c>
      <c r="J177" s="153">
        <f>AVERAGE('Workshop Attendance '!R177:AQ177)</f>
        <v>0.5294117647</v>
      </c>
      <c r="K177" s="75" t="str">
        <f t="shared" si="1"/>
        <v>No</v>
      </c>
      <c r="L177" s="142" t="str">
        <f t="shared" si="5"/>
        <v>No</v>
      </c>
    </row>
    <row r="178">
      <c r="A178" s="47">
        <v>31.0</v>
      </c>
      <c r="B178" s="7" t="s">
        <v>394</v>
      </c>
      <c r="C178" s="7" t="s">
        <v>400</v>
      </c>
      <c r="D178" s="7" t="s">
        <v>445</v>
      </c>
      <c r="E178" s="75" t="s">
        <v>641</v>
      </c>
      <c r="F178" s="14" t="s">
        <v>2534</v>
      </c>
      <c r="G178" s="8" t="s">
        <v>24</v>
      </c>
      <c r="I178" s="152">
        <f>AVERAGE('All-Hands Attendance'!I178:L178,'All-Hands Attendance'!M178:AA178)</f>
        <v>1</v>
      </c>
      <c r="J178" s="153">
        <f>AVERAGE('Workshop Attendance '!R178:AQ178)</f>
        <v>0.5882352941</v>
      </c>
      <c r="K178" s="75" t="str">
        <f t="shared" si="1"/>
        <v>Yes</v>
      </c>
      <c r="L178" s="142" t="str">
        <f t="shared" si="5"/>
        <v>No</v>
      </c>
    </row>
    <row r="179">
      <c r="A179" s="47">
        <v>31.0</v>
      </c>
      <c r="B179" s="7" t="s">
        <v>394</v>
      </c>
      <c r="C179" s="7" t="s">
        <v>402</v>
      </c>
      <c r="D179" s="7" t="s">
        <v>834</v>
      </c>
      <c r="E179" s="75" t="s">
        <v>835</v>
      </c>
      <c r="F179" s="14" t="s">
        <v>2534</v>
      </c>
      <c r="G179" s="8" t="s">
        <v>24</v>
      </c>
      <c r="I179" s="152">
        <f>AVERAGE('All-Hands Attendance'!I179:L179,'All-Hands Attendance'!M179:AA179)</f>
        <v>0.9736842105</v>
      </c>
      <c r="J179" s="153">
        <f>AVERAGE('Workshop Attendance '!R179:AQ179)</f>
        <v>0.4705882353</v>
      </c>
      <c r="K179" s="75" t="str">
        <f t="shared" si="1"/>
        <v>Yes</v>
      </c>
      <c r="L179" s="142" t="str">
        <f t="shared" si="5"/>
        <v>No</v>
      </c>
    </row>
    <row r="180">
      <c r="A180" s="47">
        <v>31.0</v>
      </c>
      <c r="B180" s="7" t="s">
        <v>394</v>
      </c>
      <c r="C180" s="7" t="s">
        <v>404</v>
      </c>
      <c r="D180" s="7" t="s">
        <v>583</v>
      </c>
      <c r="E180" s="75" t="s">
        <v>584</v>
      </c>
      <c r="F180" s="14" t="s">
        <v>2534</v>
      </c>
      <c r="G180" s="8" t="s">
        <v>24</v>
      </c>
      <c r="I180" s="152">
        <f>AVERAGE('All-Hands Attendance'!I180:L180,'All-Hands Attendance'!M180:AA180)</f>
        <v>0.9722222222</v>
      </c>
      <c r="J180" s="153">
        <f>AVERAGE('Workshop Attendance '!R180:AQ180)</f>
        <v>0.3888888889</v>
      </c>
      <c r="K180" s="75" t="str">
        <f t="shared" si="1"/>
        <v>Yes</v>
      </c>
      <c r="L180" s="142" t="str">
        <f t="shared" si="5"/>
        <v>No</v>
      </c>
    </row>
    <row r="181">
      <c r="A181" s="48">
        <v>31.0</v>
      </c>
      <c r="B181" s="16" t="s">
        <v>394</v>
      </c>
      <c r="C181" s="16" t="s">
        <v>406</v>
      </c>
      <c r="D181" s="16" t="s">
        <v>2563</v>
      </c>
      <c r="E181" s="15" t="s">
        <v>651</v>
      </c>
      <c r="F181" s="46" t="s">
        <v>2534</v>
      </c>
      <c r="G181" s="169" t="s">
        <v>24</v>
      </c>
      <c r="H181" s="15"/>
      <c r="I181" s="152">
        <f>AVERAGE('All-Hands Attendance'!I181:L181,'All-Hands Attendance'!M181:AA181)</f>
        <v>0.9473684211</v>
      </c>
      <c r="J181" s="153">
        <f>AVERAGE('Workshop Attendance '!R181:AQ181)</f>
        <v>0.2941176471</v>
      </c>
      <c r="K181" s="75" t="str">
        <f t="shared" si="1"/>
        <v>Yes</v>
      </c>
      <c r="L181" s="142" t="str">
        <f t="shared" si="5"/>
        <v>No</v>
      </c>
      <c r="M181" s="15"/>
      <c r="N181" s="15"/>
      <c r="O181" s="15"/>
      <c r="P181" s="15"/>
      <c r="Q181" s="15"/>
      <c r="R181" s="15"/>
      <c r="S181" s="15"/>
      <c r="T181" s="15"/>
    </row>
    <row r="182">
      <c r="A182" s="14"/>
      <c r="B182" s="14"/>
      <c r="D182" s="14"/>
      <c r="E182" s="14"/>
      <c r="F182" s="14"/>
      <c r="G182" s="14"/>
      <c r="J182" s="153"/>
      <c r="L182" s="142"/>
    </row>
    <row r="183">
      <c r="A183" s="14"/>
      <c r="B183" s="14"/>
      <c r="D183" s="14"/>
      <c r="E183" s="14"/>
      <c r="F183" s="14"/>
      <c r="G183" s="14"/>
      <c r="J183" s="153"/>
      <c r="L183" s="142"/>
    </row>
    <row r="184">
      <c r="A184" s="14"/>
      <c r="B184" s="14"/>
      <c r="D184" s="14"/>
      <c r="E184" s="14"/>
      <c r="F184" s="14"/>
      <c r="G184" s="14"/>
      <c r="J184" s="170"/>
      <c r="L184" s="142"/>
    </row>
    <row r="185">
      <c r="A185" s="14"/>
      <c r="B185" s="14"/>
      <c r="D185" s="14"/>
      <c r="E185" s="14"/>
      <c r="F185" s="14"/>
      <c r="G185" s="14"/>
      <c r="J185" s="170"/>
      <c r="L185" s="142"/>
    </row>
    <row r="186">
      <c r="A186" s="14"/>
      <c r="B186" s="14"/>
      <c r="D186" s="14"/>
      <c r="E186" s="14"/>
      <c r="F186" s="14"/>
      <c r="G186" s="14"/>
      <c r="J186" s="170"/>
      <c r="L186" s="142"/>
    </row>
    <row r="187">
      <c r="A187" s="14"/>
      <c r="B187" s="14"/>
      <c r="D187" s="14"/>
      <c r="E187" s="14"/>
      <c r="F187" s="14"/>
      <c r="G187" s="14"/>
      <c r="J187" s="170"/>
      <c r="L187" s="142"/>
    </row>
    <row r="188">
      <c r="A188" s="14"/>
      <c r="B188" s="14"/>
      <c r="D188" s="14"/>
      <c r="E188" s="14"/>
      <c r="F188" s="14"/>
      <c r="G188" s="14"/>
      <c r="J188" s="170"/>
      <c r="L188" s="142"/>
    </row>
    <row r="189">
      <c r="A189" s="14"/>
      <c r="B189" s="14"/>
      <c r="D189" s="14"/>
      <c r="E189" s="14"/>
      <c r="F189" s="14"/>
      <c r="G189" s="14"/>
      <c r="J189" s="170"/>
      <c r="L189" s="142"/>
    </row>
    <row r="190">
      <c r="A190" s="14"/>
      <c r="B190" s="14"/>
      <c r="D190" s="14"/>
      <c r="E190" s="14"/>
      <c r="F190" s="14"/>
      <c r="G190" s="14"/>
      <c r="J190" s="170"/>
      <c r="L190" s="142"/>
    </row>
    <row r="191">
      <c r="A191" s="14"/>
      <c r="B191" s="14"/>
      <c r="D191" s="14"/>
      <c r="E191" s="14"/>
      <c r="F191" s="14"/>
      <c r="G191" s="14"/>
      <c r="J191" s="170"/>
      <c r="L191" s="142"/>
    </row>
    <row r="192">
      <c r="A192" s="14"/>
      <c r="B192" s="14"/>
      <c r="D192" s="14"/>
      <c r="E192" s="14"/>
      <c r="F192" s="14"/>
      <c r="G192" s="14"/>
      <c r="J192" s="170"/>
      <c r="L192" s="142"/>
    </row>
    <row r="193">
      <c r="A193" s="14"/>
      <c r="B193" s="14"/>
      <c r="D193" s="14"/>
      <c r="E193" s="14"/>
      <c r="F193" s="14"/>
      <c r="G193" s="14"/>
      <c r="J193" s="170"/>
      <c r="L193" s="142"/>
    </row>
    <row r="194">
      <c r="A194" s="14"/>
      <c r="B194" s="14"/>
      <c r="D194" s="14"/>
      <c r="E194" s="14"/>
      <c r="F194" s="14"/>
      <c r="G194" s="14"/>
      <c r="J194" s="170"/>
      <c r="L194" s="142"/>
    </row>
    <row r="195">
      <c r="A195" s="14"/>
      <c r="B195" s="14"/>
      <c r="D195" s="14"/>
      <c r="E195" s="14"/>
      <c r="F195" s="14"/>
      <c r="G195" s="14"/>
      <c r="J195" s="170"/>
      <c r="L195" s="142"/>
    </row>
    <row r="196">
      <c r="A196" s="14"/>
      <c r="B196" s="14"/>
      <c r="D196" s="14"/>
      <c r="E196" s="14"/>
      <c r="F196" s="14"/>
      <c r="G196" s="14"/>
      <c r="J196" s="170"/>
      <c r="L196" s="142"/>
    </row>
    <row r="197">
      <c r="A197" s="14"/>
      <c r="B197" s="14"/>
      <c r="D197" s="14"/>
      <c r="E197" s="14"/>
      <c r="F197" s="14"/>
      <c r="G197" s="14"/>
      <c r="J197" s="170"/>
      <c r="L197" s="142"/>
    </row>
    <row r="198">
      <c r="A198" s="14"/>
      <c r="B198" s="14"/>
      <c r="D198" s="14"/>
      <c r="E198" s="14"/>
      <c r="F198" s="14"/>
      <c r="G198" s="14"/>
      <c r="J198" s="170"/>
      <c r="L198" s="142"/>
    </row>
    <row r="199">
      <c r="A199" s="14"/>
      <c r="B199" s="14"/>
      <c r="D199" s="14"/>
      <c r="E199" s="14"/>
      <c r="F199" s="14"/>
      <c r="G199" s="14"/>
      <c r="J199" s="170"/>
      <c r="L199" s="142"/>
    </row>
    <row r="200">
      <c r="A200" s="14"/>
      <c r="B200" s="14"/>
      <c r="D200" s="14"/>
      <c r="E200" s="14"/>
      <c r="F200" s="14"/>
      <c r="G200" s="14"/>
      <c r="J200" s="170"/>
      <c r="L200" s="142"/>
    </row>
    <row r="201">
      <c r="A201" s="14"/>
      <c r="B201" s="14"/>
      <c r="D201" s="14"/>
      <c r="E201" s="14"/>
      <c r="F201" s="14"/>
      <c r="G201" s="14"/>
      <c r="J201" s="170"/>
      <c r="L201" s="142"/>
    </row>
    <row r="202">
      <c r="A202" s="14"/>
      <c r="B202" s="14"/>
      <c r="D202" s="14"/>
      <c r="E202" s="14"/>
      <c r="F202" s="14"/>
      <c r="G202" s="14"/>
      <c r="J202" s="170"/>
      <c r="L202" s="142"/>
    </row>
    <row r="203">
      <c r="A203" s="14"/>
      <c r="B203" s="14"/>
      <c r="D203" s="14"/>
      <c r="E203" s="14"/>
      <c r="F203" s="14"/>
      <c r="G203" s="14"/>
      <c r="J203" s="170"/>
      <c r="L203" s="142"/>
    </row>
    <row r="204">
      <c r="A204" s="14"/>
      <c r="B204" s="14"/>
      <c r="D204" s="14"/>
      <c r="E204" s="14"/>
      <c r="F204" s="14"/>
      <c r="G204" s="14"/>
      <c r="J204" s="170"/>
      <c r="L204" s="142"/>
    </row>
    <row r="205">
      <c r="A205" s="14"/>
      <c r="B205" s="14"/>
      <c r="D205" s="14"/>
      <c r="E205" s="14"/>
      <c r="F205" s="14"/>
      <c r="G205" s="14"/>
      <c r="L205" s="142"/>
    </row>
    <row r="206">
      <c r="A206" s="14"/>
      <c r="B206" s="14"/>
      <c r="D206" s="14"/>
      <c r="E206" s="14"/>
      <c r="F206" s="14"/>
      <c r="G206" s="14"/>
      <c r="L206" s="142"/>
    </row>
    <row r="207">
      <c r="A207" s="14"/>
      <c r="B207" s="14"/>
      <c r="D207" s="14"/>
      <c r="E207" s="14"/>
      <c r="F207" s="14"/>
      <c r="G207" s="14"/>
      <c r="L207" s="142"/>
    </row>
    <row r="208">
      <c r="A208" s="14"/>
      <c r="B208" s="14"/>
      <c r="D208" s="14"/>
      <c r="E208" s="14"/>
      <c r="F208" s="14"/>
      <c r="G208" s="14"/>
      <c r="L208" s="142"/>
    </row>
    <row r="209">
      <c r="A209" s="14"/>
      <c r="B209" s="14"/>
      <c r="D209" s="14"/>
      <c r="E209" s="14"/>
      <c r="F209" s="14"/>
      <c r="G209" s="14"/>
      <c r="L209" s="142"/>
    </row>
    <row r="210">
      <c r="A210" s="14"/>
      <c r="B210" s="14"/>
      <c r="D210" s="14"/>
      <c r="E210" s="14"/>
      <c r="F210" s="14"/>
      <c r="G210" s="14"/>
      <c r="L210" s="142"/>
    </row>
    <row r="211">
      <c r="A211" s="14"/>
      <c r="B211" s="14"/>
      <c r="D211" s="14"/>
      <c r="E211" s="14"/>
      <c r="F211" s="14"/>
      <c r="G211" s="14"/>
      <c r="L211" s="142"/>
    </row>
    <row r="212">
      <c r="A212" s="14"/>
      <c r="B212" s="14"/>
      <c r="D212" s="14"/>
      <c r="E212" s="14"/>
      <c r="F212" s="14"/>
      <c r="G212" s="14"/>
      <c r="L212" s="142"/>
    </row>
    <row r="213">
      <c r="A213" s="14"/>
      <c r="B213" s="14"/>
      <c r="D213" s="14"/>
      <c r="E213" s="14"/>
      <c r="F213" s="14"/>
      <c r="G213" s="14"/>
      <c r="L213" s="142"/>
    </row>
    <row r="214">
      <c r="A214" s="14"/>
      <c r="B214" s="14"/>
      <c r="D214" s="14"/>
      <c r="E214" s="14"/>
      <c r="F214" s="14"/>
      <c r="G214" s="14"/>
      <c r="L214" s="142"/>
    </row>
    <row r="215">
      <c r="A215" s="14"/>
      <c r="B215" s="14"/>
      <c r="D215" s="14"/>
      <c r="E215" s="14"/>
      <c r="F215" s="14"/>
      <c r="G215" s="14"/>
      <c r="L215" s="142"/>
    </row>
    <row r="216">
      <c r="A216" s="14"/>
      <c r="B216" s="14"/>
      <c r="D216" s="14"/>
      <c r="E216" s="14"/>
      <c r="F216" s="14"/>
      <c r="G216" s="14"/>
      <c r="L216" s="142"/>
    </row>
    <row r="217">
      <c r="A217" s="14"/>
      <c r="B217" s="14"/>
      <c r="D217" s="14"/>
      <c r="E217" s="14"/>
      <c r="F217" s="14"/>
      <c r="G217" s="14"/>
      <c r="L217" s="142"/>
    </row>
    <row r="218">
      <c r="A218" s="14"/>
      <c r="B218" s="14"/>
      <c r="D218" s="14"/>
      <c r="E218" s="14"/>
      <c r="F218" s="14"/>
      <c r="G218" s="14"/>
      <c r="L218" s="142"/>
    </row>
    <row r="219">
      <c r="A219" s="14"/>
      <c r="B219" s="14"/>
      <c r="D219" s="14"/>
      <c r="E219" s="14"/>
      <c r="F219" s="14"/>
      <c r="G219" s="14"/>
      <c r="L219" s="142"/>
    </row>
    <row r="220">
      <c r="A220" s="14"/>
      <c r="B220" s="14"/>
      <c r="D220" s="14"/>
      <c r="E220" s="14"/>
      <c r="F220" s="14"/>
      <c r="G220" s="14"/>
      <c r="L220" s="142"/>
    </row>
    <row r="221">
      <c r="A221" s="14"/>
      <c r="B221" s="14"/>
      <c r="D221" s="14"/>
      <c r="E221" s="14"/>
      <c r="F221" s="14"/>
      <c r="G221" s="14"/>
      <c r="L221" s="142"/>
    </row>
    <row r="222">
      <c r="A222" s="14"/>
      <c r="B222" s="14"/>
      <c r="D222" s="14"/>
      <c r="E222" s="14"/>
      <c r="F222" s="14"/>
      <c r="G222" s="14"/>
      <c r="L222" s="142"/>
    </row>
    <row r="223">
      <c r="A223" s="14"/>
      <c r="B223" s="14"/>
      <c r="D223" s="14"/>
      <c r="E223" s="14"/>
      <c r="F223" s="14"/>
      <c r="G223" s="14"/>
      <c r="L223" s="142"/>
    </row>
    <row r="224">
      <c r="A224" s="14"/>
      <c r="B224" s="14"/>
      <c r="D224" s="14"/>
      <c r="E224" s="14"/>
      <c r="F224" s="14"/>
      <c r="G224" s="14"/>
      <c r="L224" s="142"/>
    </row>
    <row r="225">
      <c r="A225" s="14"/>
      <c r="B225" s="14"/>
      <c r="D225" s="14"/>
      <c r="E225" s="14"/>
      <c r="F225" s="14"/>
      <c r="G225" s="14"/>
      <c r="L225" s="142"/>
    </row>
    <row r="226">
      <c r="A226" s="14"/>
      <c r="B226" s="14"/>
      <c r="D226" s="14"/>
      <c r="E226" s="14"/>
      <c r="F226" s="14"/>
      <c r="G226" s="14"/>
      <c r="L226" s="142"/>
    </row>
    <row r="227">
      <c r="A227" s="14"/>
      <c r="B227" s="14"/>
      <c r="D227" s="14"/>
      <c r="E227" s="14"/>
      <c r="F227" s="14"/>
      <c r="G227" s="14"/>
      <c r="L227" s="142"/>
    </row>
    <row r="228">
      <c r="A228" s="14"/>
      <c r="B228" s="14"/>
      <c r="D228" s="14"/>
      <c r="E228" s="14"/>
      <c r="F228" s="14"/>
      <c r="G228" s="14"/>
      <c r="L228" s="142"/>
    </row>
    <row r="229">
      <c r="A229" s="14"/>
      <c r="B229" s="14"/>
      <c r="D229" s="14"/>
      <c r="E229" s="14"/>
      <c r="F229" s="14"/>
      <c r="G229" s="14"/>
      <c r="L229" s="142"/>
    </row>
    <row r="230">
      <c r="A230" s="14"/>
      <c r="B230" s="14"/>
      <c r="D230" s="14"/>
      <c r="E230" s="14"/>
      <c r="F230" s="14"/>
      <c r="G230" s="14"/>
      <c r="L230" s="142"/>
    </row>
    <row r="231">
      <c r="A231" s="14"/>
      <c r="B231" s="14"/>
      <c r="D231" s="14"/>
      <c r="E231" s="14"/>
      <c r="F231" s="14"/>
      <c r="G231" s="14"/>
      <c r="L231" s="142"/>
    </row>
    <row r="232">
      <c r="A232" s="14"/>
      <c r="B232" s="14"/>
      <c r="D232" s="14"/>
      <c r="E232" s="14"/>
      <c r="F232" s="14"/>
      <c r="G232" s="14"/>
      <c r="L232" s="142"/>
    </row>
    <row r="233">
      <c r="A233" s="14"/>
      <c r="B233" s="14"/>
      <c r="D233" s="14"/>
      <c r="E233" s="14"/>
      <c r="F233" s="14"/>
      <c r="G233" s="14"/>
      <c r="L233" s="142"/>
    </row>
    <row r="234">
      <c r="A234" s="14"/>
      <c r="B234" s="14"/>
      <c r="D234" s="14"/>
      <c r="E234" s="14"/>
      <c r="F234" s="14"/>
      <c r="G234" s="14"/>
      <c r="L234" s="142"/>
    </row>
    <row r="235">
      <c r="A235" s="14"/>
      <c r="B235" s="14"/>
      <c r="D235" s="14"/>
      <c r="E235" s="14"/>
      <c r="F235" s="14"/>
      <c r="G235" s="14"/>
      <c r="L235" s="142"/>
    </row>
    <row r="236">
      <c r="A236" s="14"/>
      <c r="B236" s="14"/>
      <c r="D236" s="14"/>
      <c r="E236" s="14"/>
      <c r="F236" s="14"/>
      <c r="G236" s="14"/>
      <c r="L236" s="142"/>
    </row>
    <row r="237">
      <c r="A237" s="14"/>
      <c r="B237" s="14"/>
      <c r="D237" s="14"/>
      <c r="E237" s="14"/>
      <c r="F237" s="14"/>
      <c r="G237" s="14"/>
      <c r="L237" s="142"/>
    </row>
    <row r="238">
      <c r="A238" s="14"/>
      <c r="B238" s="14"/>
      <c r="D238" s="14"/>
      <c r="E238" s="14"/>
      <c r="F238" s="14"/>
      <c r="G238" s="14"/>
      <c r="L238" s="142"/>
    </row>
    <row r="239">
      <c r="A239" s="14"/>
      <c r="B239" s="14"/>
      <c r="D239" s="14"/>
      <c r="E239" s="14"/>
      <c r="F239" s="14"/>
      <c r="G239" s="14"/>
      <c r="L239" s="142"/>
    </row>
    <row r="240">
      <c r="A240" s="14"/>
      <c r="B240" s="14"/>
      <c r="D240" s="14"/>
      <c r="E240" s="14"/>
      <c r="F240" s="14"/>
      <c r="G240" s="14"/>
      <c r="L240" s="142"/>
    </row>
    <row r="241">
      <c r="A241" s="14"/>
      <c r="B241" s="14"/>
      <c r="D241" s="14"/>
      <c r="E241" s="14"/>
      <c r="F241" s="14"/>
      <c r="G241" s="14"/>
      <c r="L241" s="142"/>
    </row>
    <row r="242">
      <c r="A242" s="14"/>
      <c r="B242" s="14"/>
      <c r="D242" s="14"/>
      <c r="E242" s="14"/>
      <c r="F242" s="14"/>
      <c r="G242" s="14"/>
      <c r="L242" s="142"/>
    </row>
    <row r="243">
      <c r="A243" s="14"/>
      <c r="B243" s="14"/>
      <c r="D243" s="14"/>
      <c r="E243" s="14"/>
      <c r="F243" s="14"/>
      <c r="G243" s="14"/>
      <c r="L243" s="142"/>
    </row>
    <row r="244">
      <c r="A244" s="14"/>
      <c r="B244" s="14"/>
      <c r="D244" s="14"/>
      <c r="E244" s="14"/>
      <c r="F244" s="14"/>
      <c r="G244" s="14"/>
      <c r="L244" s="142"/>
    </row>
    <row r="245">
      <c r="A245" s="14"/>
      <c r="B245" s="14"/>
      <c r="D245" s="14"/>
      <c r="E245" s="14"/>
      <c r="F245" s="14"/>
      <c r="G245" s="14"/>
      <c r="L245" s="142"/>
    </row>
    <row r="246">
      <c r="A246" s="14"/>
      <c r="B246" s="14"/>
      <c r="D246" s="14"/>
      <c r="E246" s="14"/>
      <c r="F246" s="14"/>
      <c r="G246" s="14"/>
      <c r="L246" s="142"/>
    </row>
    <row r="247">
      <c r="A247" s="14"/>
      <c r="B247" s="14"/>
      <c r="D247" s="14"/>
      <c r="E247" s="14"/>
      <c r="F247" s="14"/>
      <c r="G247" s="14"/>
      <c r="L247" s="142"/>
    </row>
    <row r="248">
      <c r="A248" s="14"/>
      <c r="B248" s="14"/>
      <c r="D248" s="14"/>
      <c r="E248" s="14"/>
      <c r="F248" s="14"/>
      <c r="G248" s="14"/>
      <c r="L248" s="142"/>
    </row>
    <row r="249">
      <c r="A249" s="14"/>
      <c r="B249" s="14"/>
      <c r="D249" s="14"/>
      <c r="E249" s="14"/>
      <c r="F249" s="14"/>
      <c r="G249" s="14"/>
      <c r="L249" s="142"/>
    </row>
    <row r="250">
      <c r="A250" s="14"/>
      <c r="B250" s="14"/>
      <c r="D250" s="14"/>
      <c r="E250" s="14"/>
      <c r="F250" s="14"/>
      <c r="G250" s="14"/>
      <c r="L250" s="142"/>
    </row>
    <row r="251">
      <c r="A251" s="14"/>
      <c r="B251" s="14"/>
      <c r="D251" s="14"/>
      <c r="E251" s="14"/>
      <c r="F251" s="14"/>
      <c r="G251" s="14"/>
      <c r="L251" s="142"/>
    </row>
    <row r="252">
      <c r="A252" s="14"/>
      <c r="B252" s="14"/>
      <c r="D252" s="14"/>
      <c r="E252" s="14"/>
      <c r="F252" s="14"/>
      <c r="G252" s="14"/>
      <c r="L252" s="142"/>
    </row>
    <row r="253">
      <c r="A253" s="14"/>
      <c r="B253" s="14"/>
      <c r="D253" s="14"/>
      <c r="E253" s="14"/>
      <c r="F253" s="14"/>
      <c r="G253" s="14"/>
      <c r="L253" s="142"/>
    </row>
    <row r="254">
      <c r="A254" s="14"/>
      <c r="B254" s="14"/>
      <c r="D254" s="14"/>
      <c r="E254" s="14"/>
      <c r="F254" s="14"/>
      <c r="G254" s="14"/>
      <c r="L254" s="142"/>
    </row>
    <row r="255">
      <c r="A255" s="14"/>
      <c r="B255" s="14"/>
      <c r="D255" s="14"/>
      <c r="E255" s="14"/>
      <c r="F255" s="14"/>
      <c r="G255" s="14"/>
      <c r="L255" s="142"/>
    </row>
    <row r="256">
      <c r="A256" s="14"/>
      <c r="B256" s="14"/>
      <c r="D256" s="14"/>
      <c r="E256" s="14"/>
      <c r="F256" s="14"/>
      <c r="G256" s="14"/>
      <c r="L256" s="142"/>
    </row>
    <row r="257">
      <c r="A257" s="14"/>
      <c r="B257" s="14"/>
      <c r="D257" s="14"/>
      <c r="E257" s="14"/>
      <c r="F257" s="14"/>
      <c r="G257" s="14"/>
      <c r="L257" s="142"/>
    </row>
    <row r="258">
      <c r="A258" s="14"/>
      <c r="B258" s="14"/>
      <c r="D258" s="14"/>
      <c r="E258" s="14"/>
      <c r="F258" s="14"/>
      <c r="G258" s="14"/>
      <c r="L258" s="142"/>
    </row>
    <row r="259">
      <c r="A259" s="14"/>
      <c r="B259" s="14"/>
      <c r="D259" s="14"/>
      <c r="E259" s="14"/>
      <c r="F259" s="14"/>
      <c r="G259" s="14"/>
      <c r="L259" s="142"/>
    </row>
    <row r="260">
      <c r="A260" s="14"/>
      <c r="B260" s="14"/>
      <c r="D260" s="14"/>
      <c r="E260" s="14"/>
      <c r="F260" s="14"/>
      <c r="G260" s="14"/>
      <c r="L260" s="142"/>
    </row>
    <row r="261">
      <c r="A261" s="14"/>
      <c r="B261" s="14"/>
      <c r="D261" s="14"/>
      <c r="E261" s="14"/>
      <c r="F261" s="14"/>
      <c r="G261" s="14"/>
      <c r="L261" s="142"/>
    </row>
    <row r="262">
      <c r="A262" s="14"/>
      <c r="B262" s="14"/>
      <c r="D262" s="14"/>
      <c r="E262" s="14"/>
      <c r="F262" s="14"/>
      <c r="G262" s="14"/>
      <c r="L262" s="142"/>
    </row>
    <row r="263">
      <c r="A263" s="14"/>
      <c r="B263" s="14"/>
      <c r="D263" s="14"/>
      <c r="E263" s="14"/>
      <c r="F263" s="14"/>
      <c r="G263" s="14"/>
      <c r="L263" s="142"/>
    </row>
    <row r="264">
      <c r="A264" s="14"/>
      <c r="B264" s="14"/>
      <c r="D264" s="14"/>
      <c r="E264" s="14"/>
      <c r="F264" s="14"/>
      <c r="G264" s="14"/>
      <c r="L264" s="142"/>
    </row>
    <row r="265">
      <c r="A265" s="14"/>
      <c r="B265" s="14"/>
      <c r="D265" s="14"/>
      <c r="E265" s="14"/>
      <c r="F265" s="14"/>
      <c r="G265" s="14"/>
      <c r="L265" s="142"/>
    </row>
    <row r="266">
      <c r="A266" s="14"/>
      <c r="B266" s="14"/>
      <c r="D266" s="14"/>
      <c r="E266" s="14"/>
      <c r="F266" s="14"/>
      <c r="G266" s="14"/>
      <c r="L266" s="142"/>
    </row>
    <row r="267">
      <c r="A267" s="14"/>
      <c r="B267" s="14"/>
      <c r="D267" s="14"/>
      <c r="E267" s="14"/>
      <c r="F267" s="14"/>
      <c r="G267" s="14"/>
      <c r="L267" s="142"/>
    </row>
    <row r="268">
      <c r="A268" s="14"/>
      <c r="B268" s="14"/>
      <c r="D268" s="14"/>
      <c r="E268" s="14"/>
      <c r="F268" s="14"/>
      <c r="G268" s="14"/>
      <c r="L268" s="142"/>
    </row>
    <row r="269">
      <c r="A269" s="14"/>
      <c r="B269" s="14"/>
      <c r="D269" s="14"/>
      <c r="E269" s="14"/>
      <c r="F269" s="14"/>
      <c r="G269" s="14"/>
      <c r="L269" s="142"/>
    </row>
    <row r="270">
      <c r="A270" s="14"/>
      <c r="B270" s="14"/>
      <c r="D270" s="14"/>
      <c r="E270" s="14"/>
      <c r="F270" s="14"/>
      <c r="G270" s="14"/>
      <c r="L270" s="142"/>
    </row>
    <row r="271">
      <c r="A271" s="14"/>
      <c r="B271" s="14"/>
      <c r="D271" s="14"/>
      <c r="E271" s="14"/>
      <c r="F271" s="14"/>
      <c r="G271" s="14"/>
      <c r="L271" s="142"/>
    </row>
    <row r="272">
      <c r="A272" s="14"/>
      <c r="B272" s="14"/>
      <c r="D272" s="14"/>
      <c r="E272" s="14"/>
      <c r="F272" s="14"/>
      <c r="G272" s="14"/>
      <c r="L272" s="142"/>
    </row>
    <row r="273">
      <c r="A273" s="14"/>
      <c r="B273" s="14"/>
      <c r="D273" s="14"/>
      <c r="E273" s="14"/>
      <c r="F273" s="14"/>
      <c r="G273" s="14"/>
      <c r="L273" s="142"/>
    </row>
    <row r="274">
      <c r="A274" s="14"/>
      <c r="B274" s="14"/>
      <c r="D274" s="14"/>
      <c r="E274" s="14"/>
      <c r="F274" s="14"/>
      <c r="G274" s="14"/>
      <c r="L274" s="142"/>
    </row>
    <row r="275">
      <c r="A275" s="14"/>
      <c r="B275" s="14"/>
      <c r="D275" s="14"/>
      <c r="E275" s="14"/>
      <c r="F275" s="14"/>
      <c r="G275" s="14"/>
      <c r="L275" s="142"/>
    </row>
    <row r="276">
      <c r="A276" s="14"/>
      <c r="B276" s="14"/>
      <c r="D276" s="14"/>
      <c r="E276" s="14"/>
      <c r="F276" s="14"/>
      <c r="G276" s="14"/>
      <c r="L276" s="142"/>
    </row>
    <row r="277">
      <c r="A277" s="14"/>
      <c r="B277" s="14"/>
      <c r="D277" s="14"/>
      <c r="E277" s="14"/>
      <c r="F277" s="14"/>
      <c r="G277" s="14"/>
      <c r="L277" s="142"/>
    </row>
    <row r="278">
      <c r="A278" s="14"/>
      <c r="B278" s="14"/>
      <c r="D278" s="14"/>
      <c r="E278" s="14"/>
      <c r="F278" s="14"/>
      <c r="G278" s="14"/>
      <c r="L278" s="142"/>
    </row>
    <row r="279">
      <c r="A279" s="14"/>
      <c r="B279" s="14"/>
      <c r="D279" s="14"/>
      <c r="E279" s="14"/>
      <c r="F279" s="14"/>
      <c r="G279" s="14"/>
      <c r="L279" s="142"/>
    </row>
    <row r="280">
      <c r="A280" s="14"/>
      <c r="B280" s="14"/>
      <c r="D280" s="14"/>
      <c r="E280" s="14"/>
      <c r="F280" s="14"/>
      <c r="G280" s="14"/>
      <c r="L280" s="142"/>
    </row>
    <row r="281">
      <c r="A281" s="14"/>
      <c r="B281" s="14"/>
      <c r="D281" s="14"/>
      <c r="E281" s="14"/>
      <c r="F281" s="14"/>
      <c r="G281" s="14"/>
      <c r="L281" s="142"/>
    </row>
    <row r="282">
      <c r="A282" s="14"/>
      <c r="B282" s="14"/>
      <c r="D282" s="14"/>
      <c r="E282" s="14"/>
      <c r="F282" s="14"/>
      <c r="G282" s="14"/>
      <c r="L282" s="142"/>
    </row>
    <row r="283">
      <c r="A283" s="14"/>
      <c r="B283" s="14"/>
      <c r="D283" s="14"/>
      <c r="E283" s="14"/>
      <c r="F283" s="14"/>
      <c r="G283" s="14"/>
      <c r="L283" s="142"/>
    </row>
    <row r="284">
      <c r="A284" s="14"/>
      <c r="B284" s="14"/>
      <c r="D284" s="14"/>
      <c r="E284" s="14"/>
      <c r="F284" s="14"/>
      <c r="G284" s="14"/>
      <c r="L284" s="142"/>
    </row>
    <row r="285">
      <c r="A285" s="14"/>
      <c r="B285" s="14"/>
      <c r="D285" s="14"/>
      <c r="E285" s="14"/>
      <c r="F285" s="14"/>
      <c r="G285" s="14"/>
      <c r="L285" s="142"/>
    </row>
    <row r="286">
      <c r="A286" s="14"/>
      <c r="B286" s="14"/>
      <c r="D286" s="14"/>
      <c r="E286" s="14"/>
      <c r="F286" s="14"/>
      <c r="G286" s="14"/>
      <c r="L286" s="142"/>
    </row>
    <row r="287">
      <c r="A287" s="14"/>
      <c r="B287" s="14"/>
      <c r="D287" s="14"/>
      <c r="E287" s="14"/>
      <c r="F287" s="14"/>
      <c r="G287" s="14"/>
      <c r="L287" s="142"/>
    </row>
    <row r="288">
      <c r="A288" s="14"/>
      <c r="B288" s="14"/>
      <c r="D288" s="14"/>
      <c r="E288" s="14"/>
      <c r="F288" s="14"/>
      <c r="G288" s="14"/>
      <c r="L288" s="142"/>
    </row>
    <row r="289">
      <c r="A289" s="14"/>
      <c r="B289" s="14"/>
      <c r="D289" s="14"/>
      <c r="E289" s="14"/>
      <c r="F289" s="14"/>
      <c r="G289" s="14"/>
      <c r="L289" s="142"/>
    </row>
    <row r="290">
      <c r="A290" s="14"/>
      <c r="B290" s="14"/>
      <c r="D290" s="14"/>
      <c r="E290" s="14"/>
      <c r="F290" s="14"/>
      <c r="G290" s="14"/>
      <c r="L290" s="142"/>
    </row>
    <row r="291">
      <c r="A291" s="14"/>
      <c r="B291" s="14"/>
      <c r="D291" s="14"/>
      <c r="E291" s="14"/>
      <c r="F291" s="14"/>
      <c r="G291" s="14"/>
      <c r="L291" s="142"/>
    </row>
    <row r="292">
      <c r="A292" s="14"/>
      <c r="B292" s="14"/>
      <c r="D292" s="14"/>
      <c r="E292" s="14"/>
      <c r="F292" s="14"/>
      <c r="G292" s="14"/>
      <c r="L292" s="142"/>
    </row>
    <row r="293">
      <c r="A293" s="14"/>
      <c r="B293" s="14"/>
      <c r="D293" s="14"/>
      <c r="E293" s="14"/>
      <c r="F293" s="14"/>
      <c r="G293" s="14"/>
      <c r="L293" s="142"/>
    </row>
    <row r="294">
      <c r="A294" s="14"/>
      <c r="B294" s="14"/>
      <c r="D294" s="14"/>
      <c r="E294" s="14"/>
      <c r="F294" s="14"/>
      <c r="G294" s="14"/>
      <c r="L294" s="142"/>
    </row>
    <row r="295">
      <c r="A295" s="14"/>
      <c r="B295" s="14"/>
      <c r="D295" s="14"/>
      <c r="E295" s="14"/>
      <c r="F295" s="14"/>
      <c r="G295" s="14"/>
      <c r="L295" s="142"/>
    </row>
    <row r="296">
      <c r="A296" s="14"/>
      <c r="B296" s="14"/>
      <c r="D296" s="14"/>
      <c r="E296" s="14"/>
      <c r="F296" s="14"/>
      <c r="G296" s="14"/>
      <c r="L296" s="142"/>
    </row>
    <row r="297">
      <c r="A297" s="14"/>
      <c r="B297" s="14"/>
      <c r="D297" s="14"/>
      <c r="E297" s="14"/>
      <c r="F297" s="14"/>
      <c r="G297" s="14"/>
      <c r="L297" s="142"/>
    </row>
    <row r="298">
      <c r="A298" s="14"/>
      <c r="B298" s="14"/>
      <c r="D298" s="14"/>
      <c r="E298" s="14"/>
      <c r="F298" s="14"/>
      <c r="G298" s="14"/>
      <c r="L298" s="142"/>
    </row>
    <row r="299">
      <c r="A299" s="14"/>
      <c r="B299" s="14"/>
      <c r="D299" s="14"/>
      <c r="E299" s="14"/>
      <c r="F299" s="14"/>
      <c r="G299" s="14"/>
      <c r="L299" s="142"/>
    </row>
    <row r="300">
      <c r="A300" s="14"/>
      <c r="B300" s="14"/>
      <c r="D300" s="14"/>
      <c r="E300" s="14"/>
      <c r="F300" s="14"/>
      <c r="G300" s="14"/>
      <c r="L300" s="142"/>
    </row>
    <row r="301">
      <c r="A301" s="14"/>
      <c r="B301" s="14"/>
      <c r="D301" s="14"/>
      <c r="E301" s="14"/>
      <c r="F301" s="14"/>
      <c r="G301" s="14"/>
      <c r="L301" s="142"/>
    </row>
    <row r="302">
      <c r="A302" s="14"/>
      <c r="B302" s="14"/>
      <c r="D302" s="14"/>
      <c r="E302" s="14"/>
      <c r="F302" s="14"/>
      <c r="G302" s="14"/>
      <c r="L302" s="142"/>
    </row>
    <row r="303">
      <c r="A303" s="14"/>
      <c r="B303" s="14"/>
      <c r="D303" s="14"/>
      <c r="E303" s="14"/>
      <c r="F303" s="14"/>
      <c r="G303" s="14"/>
      <c r="L303" s="142"/>
    </row>
    <row r="304">
      <c r="A304" s="14"/>
      <c r="B304" s="14"/>
      <c r="D304" s="14"/>
      <c r="E304" s="14"/>
      <c r="F304" s="14"/>
      <c r="G304" s="14"/>
      <c r="L304" s="142"/>
    </row>
    <row r="305">
      <c r="A305" s="14"/>
      <c r="B305" s="14"/>
      <c r="D305" s="14"/>
      <c r="E305" s="14"/>
      <c r="F305" s="14"/>
      <c r="G305" s="14"/>
      <c r="L305" s="142"/>
    </row>
    <row r="306">
      <c r="A306" s="14"/>
      <c r="B306" s="14"/>
      <c r="D306" s="14"/>
      <c r="E306" s="14"/>
      <c r="F306" s="14"/>
      <c r="G306" s="14"/>
      <c r="L306" s="142"/>
    </row>
    <row r="307">
      <c r="A307" s="14"/>
      <c r="B307" s="14"/>
      <c r="D307" s="14"/>
      <c r="E307" s="14"/>
      <c r="F307" s="14"/>
      <c r="G307" s="14"/>
      <c r="L307" s="142"/>
    </row>
    <row r="308">
      <c r="A308" s="14"/>
      <c r="B308" s="14"/>
      <c r="D308" s="14"/>
      <c r="E308" s="14"/>
      <c r="F308" s="14"/>
      <c r="G308" s="14"/>
      <c r="L308" s="142"/>
    </row>
    <row r="309">
      <c r="A309" s="14"/>
      <c r="B309" s="14"/>
      <c r="D309" s="14"/>
      <c r="E309" s="14"/>
      <c r="F309" s="14"/>
      <c r="G309" s="14"/>
      <c r="L309" s="142"/>
    </row>
    <row r="310">
      <c r="A310" s="14"/>
      <c r="B310" s="14"/>
      <c r="D310" s="14"/>
      <c r="E310" s="14"/>
      <c r="F310" s="14"/>
      <c r="G310" s="14"/>
      <c r="L310" s="142"/>
    </row>
    <row r="311">
      <c r="A311" s="14"/>
      <c r="B311" s="14"/>
      <c r="D311" s="14"/>
      <c r="E311" s="14"/>
      <c r="F311" s="14"/>
      <c r="G311" s="14"/>
      <c r="L311" s="142"/>
    </row>
    <row r="312">
      <c r="A312" s="14"/>
      <c r="B312" s="14"/>
      <c r="D312" s="14"/>
      <c r="E312" s="14"/>
      <c r="F312" s="14"/>
      <c r="G312" s="14"/>
      <c r="L312" s="142"/>
    </row>
    <row r="313">
      <c r="A313" s="14"/>
      <c r="B313" s="14"/>
      <c r="D313" s="14"/>
      <c r="E313" s="14"/>
      <c r="F313" s="14"/>
      <c r="G313" s="14"/>
      <c r="L313" s="142"/>
    </row>
    <row r="314">
      <c r="A314" s="14"/>
      <c r="B314" s="14"/>
      <c r="D314" s="14"/>
      <c r="E314" s="14"/>
      <c r="F314" s="14"/>
      <c r="G314" s="14"/>
      <c r="L314" s="142"/>
    </row>
    <row r="315">
      <c r="A315" s="14"/>
      <c r="B315" s="14"/>
      <c r="D315" s="14"/>
      <c r="E315" s="14"/>
      <c r="F315" s="14"/>
      <c r="G315" s="14"/>
      <c r="L315" s="142"/>
    </row>
    <row r="316">
      <c r="A316" s="14"/>
      <c r="B316" s="14"/>
      <c r="D316" s="14"/>
      <c r="E316" s="14"/>
      <c r="F316" s="14"/>
      <c r="G316" s="14"/>
      <c r="L316" s="142"/>
    </row>
    <row r="317">
      <c r="A317" s="14"/>
      <c r="B317" s="14"/>
      <c r="D317" s="14"/>
      <c r="E317" s="14"/>
      <c r="F317" s="14"/>
      <c r="G317" s="14"/>
      <c r="L317" s="142"/>
    </row>
    <row r="318">
      <c r="A318" s="14"/>
      <c r="B318" s="14"/>
      <c r="D318" s="14"/>
      <c r="E318" s="14"/>
      <c r="F318" s="14"/>
      <c r="G318" s="14"/>
      <c r="L318" s="142"/>
    </row>
    <row r="319">
      <c r="A319" s="14"/>
      <c r="B319" s="14"/>
      <c r="D319" s="14"/>
      <c r="E319" s="14"/>
      <c r="F319" s="14"/>
      <c r="G319" s="14"/>
      <c r="L319" s="142"/>
    </row>
    <row r="320">
      <c r="A320" s="14"/>
      <c r="B320" s="14"/>
      <c r="D320" s="14"/>
      <c r="E320" s="14"/>
      <c r="F320" s="14"/>
      <c r="G320" s="14"/>
      <c r="L320" s="142"/>
    </row>
    <row r="321">
      <c r="A321" s="14"/>
      <c r="B321" s="14"/>
      <c r="D321" s="14"/>
      <c r="E321" s="14"/>
      <c r="F321" s="14"/>
      <c r="G321" s="14"/>
      <c r="L321" s="142"/>
    </row>
    <row r="322">
      <c r="A322" s="14"/>
      <c r="B322" s="14"/>
      <c r="D322" s="14"/>
      <c r="E322" s="14"/>
      <c r="F322" s="14"/>
      <c r="G322" s="14"/>
      <c r="L322" s="142"/>
    </row>
    <row r="323">
      <c r="A323" s="14"/>
      <c r="B323" s="14"/>
      <c r="D323" s="14"/>
      <c r="E323" s="14"/>
      <c r="F323" s="14"/>
      <c r="G323" s="14"/>
      <c r="L323" s="142"/>
    </row>
    <row r="324">
      <c r="A324" s="14"/>
      <c r="B324" s="14"/>
      <c r="D324" s="14"/>
      <c r="E324" s="14"/>
      <c r="F324" s="14"/>
      <c r="G324" s="14"/>
      <c r="L324" s="142"/>
    </row>
    <row r="325">
      <c r="A325" s="14"/>
      <c r="B325" s="14"/>
      <c r="D325" s="14"/>
      <c r="E325" s="14"/>
      <c r="F325" s="14"/>
      <c r="G325" s="14"/>
      <c r="L325" s="142"/>
    </row>
    <row r="326">
      <c r="A326" s="14"/>
      <c r="B326" s="14"/>
      <c r="D326" s="14"/>
      <c r="E326" s="14"/>
      <c r="F326" s="14"/>
      <c r="G326" s="14"/>
      <c r="L326" s="142"/>
    </row>
    <row r="327">
      <c r="A327" s="14"/>
      <c r="B327" s="14"/>
      <c r="D327" s="14"/>
      <c r="E327" s="14"/>
      <c r="F327" s="14"/>
      <c r="G327" s="14"/>
      <c r="L327" s="142"/>
    </row>
    <row r="328">
      <c r="A328" s="14"/>
      <c r="B328" s="14"/>
      <c r="D328" s="14"/>
      <c r="E328" s="14"/>
      <c r="F328" s="14"/>
      <c r="G328" s="14"/>
      <c r="L328" s="142"/>
    </row>
    <row r="329">
      <c r="A329" s="14"/>
      <c r="B329" s="14"/>
      <c r="D329" s="14"/>
      <c r="E329" s="14"/>
      <c r="F329" s="14"/>
      <c r="G329" s="14"/>
      <c r="L329" s="142"/>
    </row>
    <row r="330">
      <c r="A330" s="14"/>
      <c r="B330" s="14"/>
      <c r="D330" s="14"/>
      <c r="E330" s="14"/>
      <c r="F330" s="14"/>
      <c r="G330" s="14"/>
      <c r="L330" s="142"/>
    </row>
    <row r="331">
      <c r="A331" s="14"/>
      <c r="B331" s="14"/>
      <c r="D331" s="14"/>
      <c r="E331" s="14"/>
      <c r="F331" s="14"/>
      <c r="G331" s="14"/>
      <c r="L331" s="142"/>
    </row>
    <row r="332">
      <c r="A332" s="14"/>
      <c r="B332" s="14"/>
      <c r="D332" s="14"/>
      <c r="E332" s="14"/>
      <c r="F332" s="14"/>
      <c r="G332" s="14"/>
      <c r="L332" s="142"/>
    </row>
    <row r="333">
      <c r="A333" s="14"/>
      <c r="B333" s="14"/>
      <c r="D333" s="14"/>
      <c r="E333" s="14"/>
      <c r="F333" s="14"/>
      <c r="G333" s="14"/>
      <c r="L333" s="142"/>
    </row>
    <row r="334">
      <c r="A334" s="14"/>
      <c r="B334" s="14"/>
      <c r="D334" s="14"/>
      <c r="E334" s="14"/>
      <c r="F334" s="14"/>
      <c r="G334" s="14"/>
      <c r="L334" s="142"/>
    </row>
    <row r="335">
      <c r="A335" s="14"/>
      <c r="B335" s="14"/>
      <c r="D335" s="14"/>
      <c r="E335" s="14"/>
      <c r="F335" s="14"/>
      <c r="G335" s="14"/>
      <c r="L335" s="142"/>
    </row>
    <row r="336">
      <c r="A336" s="14"/>
      <c r="B336" s="14"/>
      <c r="D336" s="14"/>
      <c r="E336" s="14"/>
      <c r="F336" s="14"/>
      <c r="G336" s="14"/>
      <c r="L336" s="142"/>
    </row>
    <row r="337">
      <c r="A337" s="14"/>
      <c r="B337" s="14"/>
      <c r="D337" s="14"/>
      <c r="E337" s="14"/>
      <c r="F337" s="14"/>
      <c r="G337" s="14"/>
      <c r="L337" s="142"/>
    </row>
    <row r="338">
      <c r="A338" s="14"/>
      <c r="B338" s="14"/>
      <c r="D338" s="14"/>
      <c r="E338" s="14"/>
      <c r="F338" s="14"/>
      <c r="G338" s="14"/>
      <c r="L338" s="142"/>
    </row>
    <row r="339">
      <c r="A339" s="14"/>
      <c r="B339" s="14"/>
      <c r="D339" s="14"/>
      <c r="E339" s="14"/>
      <c r="F339" s="14"/>
      <c r="G339" s="14"/>
      <c r="L339" s="142"/>
    </row>
    <row r="340">
      <c r="A340" s="14"/>
      <c r="B340" s="14"/>
      <c r="D340" s="14"/>
      <c r="E340" s="14"/>
      <c r="F340" s="14"/>
      <c r="G340" s="14"/>
      <c r="L340" s="142"/>
    </row>
    <row r="341">
      <c r="A341" s="14"/>
      <c r="B341" s="14"/>
      <c r="D341" s="14"/>
      <c r="E341" s="14"/>
      <c r="F341" s="14"/>
      <c r="G341" s="14"/>
      <c r="L341" s="142"/>
    </row>
    <row r="342">
      <c r="A342" s="14"/>
      <c r="B342" s="14"/>
      <c r="D342" s="14"/>
      <c r="E342" s="14"/>
      <c r="F342" s="14"/>
      <c r="G342" s="14"/>
      <c r="L342" s="142"/>
    </row>
    <row r="343">
      <c r="A343" s="14"/>
      <c r="B343" s="14"/>
      <c r="D343" s="14"/>
      <c r="E343" s="14"/>
      <c r="F343" s="14"/>
      <c r="G343" s="14"/>
      <c r="L343" s="142"/>
    </row>
    <row r="344">
      <c r="A344" s="14"/>
      <c r="B344" s="14"/>
      <c r="D344" s="14"/>
      <c r="E344" s="14"/>
      <c r="F344" s="14"/>
      <c r="G344" s="14"/>
      <c r="L344" s="142"/>
    </row>
    <row r="345">
      <c r="A345" s="14"/>
      <c r="B345" s="14"/>
      <c r="D345" s="14"/>
      <c r="E345" s="14"/>
      <c r="F345" s="14"/>
      <c r="G345" s="14"/>
      <c r="L345" s="142"/>
    </row>
    <row r="346">
      <c r="A346" s="14"/>
      <c r="B346" s="14"/>
      <c r="D346" s="14"/>
      <c r="E346" s="14"/>
      <c r="F346" s="14"/>
      <c r="G346" s="14"/>
      <c r="L346" s="142"/>
    </row>
    <row r="347">
      <c r="A347" s="14"/>
      <c r="B347" s="14"/>
      <c r="D347" s="14"/>
      <c r="E347" s="14"/>
      <c r="F347" s="14"/>
      <c r="G347" s="14"/>
      <c r="L347" s="142"/>
    </row>
    <row r="348">
      <c r="A348" s="14"/>
      <c r="B348" s="14"/>
      <c r="D348" s="14"/>
      <c r="E348" s="14"/>
      <c r="F348" s="14"/>
      <c r="G348" s="14"/>
      <c r="L348" s="142"/>
    </row>
    <row r="349">
      <c r="A349" s="14"/>
      <c r="B349" s="14"/>
      <c r="D349" s="14"/>
      <c r="E349" s="14"/>
      <c r="F349" s="14"/>
      <c r="G349" s="14"/>
      <c r="L349" s="142"/>
    </row>
    <row r="350">
      <c r="A350" s="14"/>
      <c r="B350" s="14"/>
      <c r="D350" s="14"/>
      <c r="E350" s="14"/>
      <c r="F350" s="14"/>
      <c r="G350" s="14"/>
      <c r="L350" s="142"/>
    </row>
    <row r="351">
      <c r="A351" s="14"/>
      <c r="B351" s="14"/>
      <c r="D351" s="14"/>
      <c r="E351" s="14"/>
      <c r="F351" s="14"/>
      <c r="G351" s="14"/>
      <c r="L351" s="142"/>
    </row>
    <row r="352">
      <c r="A352" s="14"/>
      <c r="B352" s="14"/>
      <c r="D352" s="14"/>
      <c r="E352" s="14"/>
      <c r="F352" s="14"/>
      <c r="G352" s="14"/>
      <c r="L352" s="142"/>
    </row>
    <row r="353">
      <c r="A353" s="14"/>
      <c r="B353" s="14"/>
      <c r="D353" s="14"/>
      <c r="E353" s="14"/>
      <c r="F353" s="14"/>
      <c r="G353" s="14"/>
      <c r="L353" s="142"/>
    </row>
    <row r="354">
      <c r="A354" s="14"/>
      <c r="B354" s="14"/>
      <c r="D354" s="14"/>
      <c r="E354" s="14"/>
      <c r="F354" s="14"/>
      <c r="G354" s="14"/>
      <c r="L354" s="142"/>
    </row>
    <row r="355">
      <c r="A355" s="14"/>
      <c r="B355" s="14"/>
      <c r="D355" s="14"/>
      <c r="E355" s="14"/>
      <c r="F355" s="14"/>
      <c r="G355" s="14"/>
      <c r="L355" s="142"/>
    </row>
    <row r="356">
      <c r="A356" s="14"/>
      <c r="B356" s="14"/>
      <c r="D356" s="14"/>
      <c r="E356" s="14"/>
      <c r="F356" s="14"/>
      <c r="G356" s="14"/>
      <c r="L356" s="142"/>
    </row>
    <row r="357">
      <c r="A357" s="14"/>
      <c r="B357" s="14"/>
      <c r="D357" s="14"/>
      <c r="E357" s="14"/>
      <c r="F357" s="14"/>
      <c r="G357" s="14"/>
      <c r="L357" s="142"/>
    </row>
    <row r="358">
      <c r="A358" s="14"/>
      <c r="B358" s="14"/>
      <c r="D358" s="14"/>
      <c r="E358" s="14"/>
      <c r="F358" s="14"/>
      <c r="G358" s="14"/>
      <c r="L358" s="142"/>
    </row>
    <row r="359">
      <c r="A359" s="14"/>
      <c r="B359" s="14"/>
      <c r="D359" s="14"/>
      <c r="E359" s="14"/>
      <c r="F359" s="14"/>
      <c r="G359" s="14"/>
      <c r="L359" s="142"/>
    </row>
    <row r="360">
      <c r="A360" s="14"/>
      <c r="B360" s="14"/>
      <c r="D360" s="14"/>
      <c r="E360" s="14"/>
      <c r="F360" s="14"/>
      <c r="G360" s="14"/>
      <c r="L360" s="142"/>
    </row>
    <row r="361">
      <c r="A361" s="14"/>
      <c r="B361" s="14"/>
      <c r="D361" s="14"/>
      <c r="E361" s="14"/>
      <c r="F361" s="14"/>
      <c r="G361" s="14"/>
      <c r="L361" s="142"/>
    </row>
    <row r="362">
      <c r="A362" s="14"/>
      <c r="B362" s="14"/>
      <c r="D362" s="14"/>
      <c r="E362" s="14"/>
      <c r="F362" s="14"/>
      <c r="G362" s="14"/>
      <c r="L362" s="142"/>
    </row>
    <row r="363">
      <c r="A363" s="14"/>
      <c r="B363" s="14"/>
      <c r="D363" s="14"/>
      <c r="E363" s="14"/>
      <c r="F363" s="14"/>
      <c r="G363" s="14"/>
      <c r="L363" s="142"/>
    </row>
    <row r="364">
      <c r="A364" s="14"/>
      <c r="B364" s="14"/>
      <c r="D364" s="14"/>
      <c r="E364" s="14"/>
      <c r="F364" s="14"/>
      <c r="G364" s="14"/>
      <c r="L364" s="142"/>
    </row>
    <row r="365">
      <c r="A365" s="14"/>
      <c r="B365" s="14"/>
      <c r="D365" s="14"/>
      <c r="E365" s="14"/>
      <c r="F365" s="14"/>
      <c r="G365" s="14"/>
      <c r="L365" s="142"/>
    </row>
    <row r="366">
      <c r="A366" s="14"/>
      <c r="B366" s="14"/>
      <c r="D366" s="14"/>
      <c r="E366" s="14"/>
      <c r="F366" s="14"/>
      <c r="G366" s="14"/>
      <c r="L366" s="142"/>
    </row>
    <row r="367">
      <c r="A367" s="14"/>
      <c r="B367" s="14"/>
      <c r="D367" s="14"/>
      <c r="E367" s="14"/>
      <c r="F367" s="14"/>
      <c r="G367" s="14"/>
      <c r="L367" s="142"/>
    </row>
    <row r="368">
      <c r="A368" s="14"/>
      <c r="B368" s="14"/>
      <c r="D368" s="14"/>
      <c r="E368" s="14"/>
      <c r="F368" s="14"/>
      <c r="G368" s="14"/>
      <c r="L368" s="142"/>
    </row>
    <row r="369">
      <c r="A369" s="14"/>
      <c r="B369" s="14"/>
      <c r="D369" s="14"/>
      <c r="E369" s="14"/>
      <c r="F369" s="14"/>
      <c r="G369" s="14"/>
      <c r="L369" s="142"/>
    </row>
    <row r="370">
      <c r="A370" s="14"/>
      <c r="B370" s="14"/>
      <c r="D370" s="14"/>
      <c r="E370" s="14"/>
      <c r="F370" s="14"/>
      <c r="G370" s="14"/>
      <c r="L370" s="142"/>
    </row>
    <row r="371">
      <c r="A371" s="14"/>
      <c r="B371" s="14"/>
      <c r="D371" s="14"/>
      <c r="E371" s="14"/>
      <c r="F371" s="14"/>
      <c r="G371" s="14"/>
      <c r="L371" s="142"/>
    </row>
    <row r="372">
      <c r="A372" s="14"/>
      <c r="B372" s="14"/>
      <c r="D372" s="14"/>
      <c r="E372" s="14"/>
      <c r="F372" s="14"/>
      <c r="G372" s="14"/>
      <c r="L372" s="142"/>
    </row>
    <row r="373">
      <c r="A373" s="14"/>
      <c r="B373" s="14"/>
      <c r="D373" s="14"/>
      <c r="E373" s="14"/>
      <c r="F373" s="14"/>
      <c r="G373" s="14"/>
      <c r="L373" s="142"/>
    </row>
    <row r="374">
      <c r="A374" s="14"/>
      <c r="B374" s="14"/>
      <c r="D374" s="14"/>
      <c r="E374" s="14"/>
      <c r="F374" s="14"/>
      <c r="G374" s="14"/>
      <c r="L374" s="142"/>
    </row>
    <row r="375">
      <c r="A375" s="14"/>
      <c r="B375" s="14"/>
      <c r="D375" s="14"/>
      <c r="E375" s="14"/>
      <c r="F375" s="14"/>
      <c r="G375" s="14"/>
      <c r="L375" s="142"/>
    </row>
    <row r="376">
      <c r="A376" s="14"/>
      <c r="B376" s="14"/>
      <c r="D376" s="14"/>
      <c r="E376" s="14"/>
      <c r="F376" s="14"/>
      <c r="G376" s="14"/>
      <c r="L376" s="142"/>
    </row>
    <row r="377">
      <c r="A377" s="14"/>
      <c r="B377" s="14"/>
      <c r="D377" s="14"/>
      <c r="E377" s="14"/>
      <c r="F377" s="14"/>
      <c r="G377" s="14"/>
      <c r="L377" s="142"/>
    </row>
    <row r="378">
      <c r="A378" s="14"/>
      <c r="B378" s="14"/>
      <c r="D378" s="14"/>
      <c r="E378" s="14"/>
      <c r="F378" s="14"/>
      <c r="G378" s="14"/>
      <c r="L378" s="142"/>
    </row>
    <row r="379">
      <c r="A379" s="14"/>
      <c r="B379" s="14"/>
      <c r="D379" s="14"/>
      <c r="E379" s="14"/>
      <c r="F379" s="14"/>
      <c r="G379" s="14"/>
      <c r="L379" s="142"/>
    </row>
    <row r="380">
      <c r="A380" s="14"/>
      <c r="B380" s="14"/>
      <c r="D380" s="14"/>
      <c r="E380" s="14"/>
      <c r="F380" s="14"/>
      <c r="G380" s="14"/>
      <c r="L380" s="142"/>
    </row>
    <row r="381">
      <c r="A381" s="14"/>
      <c r="B381" s="14"/>
      <c r="D381" s="14"/>
      <c r="E381" s="14"/>
      <c r="F381" s="14"/>
      <c r="G381" s="14"/>
      <c r="L381" s="142"/>
    </row>
    <row r="382">
      <c r="A382" s="14"/>
      <c r="B382" s="14"/>
      <c r="D382" s="14"/>
      <c r="E382" s="14"/>
      <c r="F382" s="14"/>
      <c r="G382" s="14"/>
      <c r="L382" s="142"/>
    </row>
    <row r="383">
      <c r="A383" s="14"/>
      <c r="B383" s="14"/>
      <c r="D383" s="14"/>
      <c r="E383" s="14"/>
      <c r="F383" s="14"/>
      <c r="G383" s="14"/>
      <c r="L383" s="142"/>
    </row>
    <row r="384">
      <c r="A384" s="14"/>
      <c r="B384" s="14"/>
      <c r="D384" s="14"/>
      <c r="E384" s="14"/>
      <c r="F384" s="14"/>
      <c r="G384" s="14"/>
      <c r="L384" s="142"/>
    </row>
    <row r="385">
      <c r="A385" s="14"/>
      <c r="B385" s="14"/>
      <c r="D385" s="14"/>
      <c r="E385" s="14"/>
      <c r="F385" s="14"/>
      <c r="G385" s="14"/>
      <c r="L385" s="142"/>
    </row>
    <row r="386">
      <c r="A386" s="14"/>
      <c r="B386" s="14"/>
      <c r="D386" s="14"/>
      <c r="E386" s="14"/>
      <c r="F386" s="14"/>
      <c r="G386" s="14"/>
      <c r="L386" s="142"/>
    </row>
    <row r="387">
      <c r="A387" s="14"/>
      <c r="B387" s="14"/>
      <c r="D387" s="14"/>
      <c r="E387" s="14"/>
      <c r="F387" s="14"/>
      <c r="G387" s="14"/>
      <c r="L387" s="142"/>
    </row>
    <row r="388">
      <c r="A388" s="14"/>
      <c r="B388" s="14"/>
      <c r="D388" s="14"/>
      <c r="E388" s="14"/>
      <c r="F388" s="14"/>
      <c r="G388" s="14"/>
      <c r="L388" s="142"/>
    </row>
    <row r="389">
      <c r="A389" s="14"/>
      <c r="B389" s="14"/>
      <c r="D389" s="14"/>
      <c r="E389" s="14"/>
      <c r="F389" s="14"/>
      <c r="G389" s="14"/>
      <c r="L389" s="142"/>
    </row>
    <row r="390">
      <c r="A390" s="14"/>
      <c r="B390" s="14"/>
      <c r="D390" s="14"/>
      <c r="E390" s="14"/>
      <c r="F390" s="14"/>
      <c r="G390" s="14"/>
      <c r="L390" s="142"/>
    </row>
    <row r="391">
      <c r="A391" s="14"/>
      <c r="B391" s="14"/>
      <c r="D391" s="14"/>
      <c r="E391" s="14"/>
      <c r="F391" s="14"/>
      <c r="G391" s="14"/>
      <c r="L391" s="142"/>
    </row>
    <row r="392">
      <c r="A392" s="14"/>
      <c r="B392" s="14"/>
      <c r="D392" s="14"/>
      <c r="E392" s="14"/>
      <c r="F392" s="14"/>
      <c r="G392" s="14"/>
      <c r="L392" s="142"/>
    </row>
    <row r="393">
      <c r="A393" s="14"/>
      <c r="B393" s="14"/>
      <c r="D393" s="14"/>
      <c r="E393" s="14"/>
      <c r="F393" s="14"/>
      <c r="G393" s="14"/>
      <c r="L393" s="142"/>
    </row>
    <row r="394">
      <c r="A394" s="14"/>
      <c r="B394" s="14"/>
      <c r="D394" s="14"/>
      <c r="E394" s="14"/>
      <c r="F394" s="14"/>
      <c r="G394" s="14"/>
      <c r="L394" s="142"/>
    </row>
    <row r="395">
      <c r="A395" s="14"/>
      <c r="B395" s="14"/>
      <c r="D395" s="14"/>
      <c r="E395" s="14"/>
      <c r="F395" s="14"/>
      <c r="G395" s="14"/>
      <c r="L395" s="142"/>
    </row>
    <row r="396">
      <c r="A396" s="14"/>
      <c r="B396" s="14"/>
      <c r="D396" s="14"/>
      <c r="E396" s="14"/>
      <c r="F396" s="14"/>
      <c r="G396" s="14"/>
      <c r="L396" s="142"/>
    </row>
    <row r="397">
      <c r="A397" s="14"/>
      <c r="B397" s="14"/>
      <c r="D397" s="14"/>
      <c r="E397" s="14"/>
      <c r="F397" s="14"/>
      <c r="G397" s="14"/>
      <c r="L397" s="142"/>
    </row>
    <row r="398">
      <c r="A398" s="14"/>
      <c r="B398" s="14"/>
      <c r="D398" s="14"/>
      <c r="E398" s="14"/>
      <c r="F398" s="14"/>
      <c r="G398" s="14"/>
      <c r="L398" s="142"/>
    </row>
    <row r="399">
      <c r="A399" s="14"/>
      <c r="B399" s="14"/>
      <c r="D399" s="14"/>
      <c r="E399" s="14"/>
      <c r="F399" s="14"/>
      <c r="G399" s="14"/>
      <c r="L399" s="142"/>
    </row>
    <row r="400">
      <c r="A400" s="14"/>
      <c r="B400" s="14"/>
      <c r="D400" s="14"/>
      <c r="E400" s="14"/>
      <c r="F400" s="14"/>
      <c r="G400" s="14"/>
      <c r="L400" s="142"/>
    </row>
    <row r="401">
      <c r="A401" s="14"/>
      <c r="B401" s="14"/>
      <c r="D401" s="14"/>
      <c r="E401" s="14"/>
      <c r="F401" s="14"/>
      <c r="G401" s="14"/>
      <c r="L401" s="142"/>
    </row>
    <row r="402">
      <c r="A402" s="14"/>
      <c r="B402" s="14"/>
      <c r="D402" s="14"/>
      <c r="E402" s="14"/>
      <c r="F402" s="14"/>
      <c r="G402" s="14"/>
      <c r="L402" s="142"/>
    </row>
    <row r="403">
      <c r="A403" s="14"/>
      <c r="B403" s="14"/>
      <c r="D403" s="14"/>
      <c r="E403" s="14"/>
      <c r="F403" s="14"/>
      <c r="G403" s="14"/>
      <c r="L403" s="142"/>
    </row>
    <row r="404">
      <c r="A404" s="14"/>
      <c r="B404" s="14"/>
      <c r="D404" s="14"/>
      <c r="E404" s="14"/>
      <c r="F404" s="14"/>
      <c r="G404" s="14"/>
      <c r="L404" s="142"/>
    </row>
    <row r="405">
      <c r="A405" s="14"/>
      <c r="B405" s="14"/>
      <c r="D405" s="14"/>
      <c r="E405" s="14"/>
      <c r="F405" s="14"/>
      <c r="G405" s="14"/>
      <c r="L405" s="142"/>
    </row>
    <row r="406">
      <c r="A406" s="14"/>
      <c r="B406" s="14"/>
      <c r="D406" s="14"/>
      <c r="E406" s="14"/>
      <c r="F406" s="14"/>
      <c r="G406" s="14"/>
      <c r="L406" s="142"/>
    </row>
    <row r="407">
      <c r="A407" s="14"/>
      <c r="B407" s="14"/>
      <c r="D407" s="14"/>
      <c r="E407" s="14"/>
      <c r="F407" s="14"/>
      <c r="G407" s="14"/>
      <c r="L407" s="142"/>
    </row>
    <row r="408">
      <c r="A408" s="14"/>
      <c r="B408" s="14"/>
      <c r="D408" s="14"/>
      <c r="E408" s="14"/>
      <c r="F408" s="14"/>
      <c r="G408" s="14"/>
      <c r="L408" s="142"/>
    </row>
    <row r="409">
      <c r="A409" s="14"/>
      <c r="B409" s="14"/>
      <c r="D409" s="14"/>
      <c r="E409" s="14"/>
      <c r="F409" s="14"/>
      <c r="G409" s="14"/>
      <c r="L409" s="142"/>
    </row>
    <row r="410">
      <c r="A410" s="14"/>
      <c r="B410" s="14"/>
      <c r="D410" s="14"/>
      <c r="E410" s="14"/>
      <c r="F410" s="14"/>
      <c r="G410" s="14"/>
      <c r="L410" s="142"/>
    </row>
    <row r="411">
      <c r="A411" s="14"/>
      <c r="B411" s="14"/>
      <c r="D411" s="14"/>
      <c r="E411" s="14"/>
      <c r="F411" s="14"/>
      <c r="G411" s="14"/>
      <c r="L411" s="142"/>
    </row>
    <row r="412">
      <c r="A412" s="14"/>
      <c r="B412" s="14"/>
      <c r="D412" s="14"/>
      <c r="E412" s="14"/>
      <c r="F412" s="14"/>
      <c r="G412" s="14"/>
      <c r="L412" s="142"/>
    </row>
    <row r="413">
      <c r="A413" s="14"/>
      <c r="B413" s="14"/>
      <c r="D413" s="14"/>
      <c r="E413" s="14"/>
      <c r="F413" s="14"/>
      <c r="G413" s="14"/>
      <c r="L413" s="142"/>
    </row>
    <row r="414">
      <c r="A414" s="14"/>
      <c r="B414" s="14"/>
      <c r="D414" s="14"/>
      <c r="E414" s="14"/>
      <c r="F414" s="14"/>
      <c r="G414" s="14"/>
      <c r="L414" s="142"/>
    </row>
    <row r="415">
      <c r="A415" s="14"/>
      <c r="B415" s="14"/>
      <c r="D415" s="14"/>
      <c r="E415" s="14"/>
      <c r="F415" s="14"/>
      <c r="G415" s="14"/>
      <c r="L415" s="142"/>
    </row>
    <row r="416">
      <c r="A416" s="14"/>
      <c r="B416" s="14"/>
      <c r="D416" s="14"/>
      <c r="E416" s="14"/>
      <c r="F416" s="14"/>
      <c r="G416" s="14"/>
      <c r="L416" s="142"/>
    </row>
    <row r="417">
      <c r="A417" s="14"/>
      <c r="B417" s="14"/>
      <c r="D417" s="14"/>
      <c r="E417" s="14"/>
      <c r="F417" s="14"/>
      <c r="G417" s="14"/>
      <c r="L417" s="142"/>
    </row>
    <row r="418">
      <c r="A418" s="14"/>
      <c r="B418" s="14"/>
      <c r="D418" s="14"/>
      <c r="E418" s="14"/>
      <c r="F418" s="14"/>
      <c r="G418" s="14"/>
      <c r="L418" s="142"/>
    </row>
    <row r="419">
      <c r="A419" s="14"/>
      <c r="B419" s="14"/>
      <c r="D419" s="14"/>
      <c r="E419" s="14"/>
      <c r="F419" s="14"/>
      <c r="G419" s="14"/>
      <c r="L419" s="142"/>
    </row>
    <row r="420">
      <c r="A420" s="14"/>
      <c r="B420" s="14"/>
      <c r="D420" s="14"/>
      <c r="E420" s="14"/>
      <c r="F420" s="14"/>
      <c r="G420" s="14"/>
      <c r="L420" s="142"/>
    </row>
    <row r="421">
      <c r="A421" s="14"/>
      <c r="B421" s="14"/>
      <c r="D421" s="14"/>
      <c r="E421" s="14"/>
      <c r="F421" s="14"/>
      <c r="G421" s="14"/>
      <c r="L421" s="142"/>
    </row>
    <row r="422">
      <c r="A422" s="14"/>
      <c r="B422" s="14"/>
      <c r="D422" s="14"/>
      <c r="E422" s="14"/>
      <c r="F422" s="14"/>
      <c r="G422" s="14"/>
      <c r="L422" s="142"/>
    </row>
    <row r="423">
      <c r="A423" s="14"/>
      <c r="B423" s="14"/>
      <c r="D423" s="14"/>
      <c r="E423" s="14"/>
      <c r="F423" s="14"/>
      <c r="G423" s="14"/>
      <c r="L423" s="142"/>
    </row>
    <row r="424">
      <c r="A424" s="14"/>
      <c r="B424" s="14"/>
      <c r="D424" s="14"/>
      <c r="E424" s="14"/>
      <c r="F424" s="14"/>
      <c r="G424" s="14"/>
      <c r="L424" s="142"/>
    </row>
    <row r="425">
      <c r="A425" s="14"/>
      <c r="B425" s="14"/>
      <c r="D425" s="14"/>
      <c r="E425" s="14"/>
      <c r="F425" s="14"/>
      <c r="G425" s="14"/>
      <c r="L425" s="142"/>
    </row>
    <row r="426">
      <c r="A426" s="14"/>
      <c r="B426" s="14"/>
      <c r="D426" s="14"/>
      <c r="E426" s="14"/>
      <c r="F426" s="14"/>
      <c r="G426" s="14"/>
      <c r="L426" s="142"/>
    </row>
    <row r="427">
      <c r="A427" s="14"/>
      <c r="B427" s="14"/>
      <c r="D427" s="14"/>
      <c r="E427" s="14"/>
      <c r="F427" s="14"/>
      <c r="G427" s="14"/>
      <c r="L427" s="142"/>
    </row>
    <row r="428">
      <c r="A428" s="14"/>
      <c r="B428" s="14"/>
      <c r="D428" s="14"/>
      <c r="E428" s="14"/>
      <c r="F428" s="14"/>
      <c r="G428" s="14"/>
      <c r="L428" s="142"/>
    </row>
    <row r="429">
      <c r="A429" s="14"/>
      <c r="B429" s="14"/>
      <c r="D429" s="14"/>
      <c r="E429" s="14"/>
      <c r="F429" s="14"/>
      <c r="G429" s="14"/>
      <c r="L429" s="142"/>
    </row>
    <row r="430">
      <c r="A430" s="14"/>
      <c r="B430" s="14"/>
      <c r="D430" s="14"/>
      <c r="E430" s="14"/>
      <c r="F430" s="14"/>
      <c r="G430" s="14"/>
      <c r="L430" s="142"/>
    </row>
    <row r="431">
      <c r="A431" s="14"/>
      <c r="B431" s="14"/>
      <c r="D431" s="14"/>
      <c r="E431" s="14"/>
      <c r="F431" s="14"/>
      <c r="G431" s="14"/>
      <c r="L431" s="142"/>
    </row>
    <row r="432">
      <c r="A432" s="14"/>
      <c r="B432" s="14"/>
      <c r="D432" s="14"/>
      <c r="E432" s="14"/>
      <c r="F432" s="14"/>
      <c r="G432" s="14"/>
      <c r="L432" s="142"/>
    </row>
    <row r="433">
      <c r="A433" s="14"/>
      <c r="B433" s="14"/>
      <c r="D433" s="14"/>
      <c r="E433" s="14"/>
      <c r="F433" s="14"/>
      <c r="G433" s="14"/>
      <c r="L433" s="142"/>
    </row>
    <row r="434">
      <c r="A434" s="14"/>
      <c r="B434" s="14"/>
      <c r="D434" s="14"/>
      <c r="E434" s="14"/>
      <c r="F434" s="14"/>
      <c r="G434" s="14"/>
      <c r="L434" s="142"/>
    </row>
    <row r="435">
      <c r="A435" s="14"/>
      <c r="B435" s="14"/>
      <c r="D435" s="14"/>
      <c r="E435" s="14"/>
      <c r="F435" s="14"/>
      <c r="G435" s="14"/>
      <c r="L435" s="142"/>
    </row>
    <row r="436">
      <c r="A436" s="14"/>
      <c r="B436" s="14"/>
      <c r="D436" s="14"/>
      <c r="E436" s="14"/>
      <c r="F436" s="14"/>
      <c r="G436" s="14"/>
      <c r="L436" s="142"/>
    </row>
    <row r="437">
      <c r="A437" s="14"/>
      <c r="B437" s="14"/>
      <c r="D437" s="14"/>
      <c r="E437" s="14"/>
      <c r="F437" s="14"/>
      <c r="G437" s="14"/>
      <c r="L437" s="142"/>
    </row>
    <row r="438">
      <c r="A438" s="14"/>
      <c r="B438" s="14"/>
      <c r="D438" s="14"/>
      <c r="E438" s="14"/>
      <c r="F438" s="14"/>
      <c r="G438" s="14"/>
      <c r="L438" s="142"/>
    </row>
    <row r="439">
      <c r="A439" s="14"/>
      <c r="B439" s="14"/>
      <c r="D439" s="14"/>
      <c r="E439" s="14"/>
      <c r="F439" s="14"/>
      <c r="G439" s="14"/>
      <c r="L439" s="142"/>
    </row>
    <row r="440">
      <c r="A440" s="14"/>
      <c r="B440" s="14"/>
      <c r="D440" s="14"/>
      <c r="E440" s="14"/>
      <c r="F440" s="14"/>
      <c r="G440" s="14"/>
      <c r="L440" s="142"/>
    </row>
    <row r="441">
      <c r="A441" s="14"/>
      <c r="B441" s="14"/>
      <c r="D441" s="14"/>
      <c r="E441" s="14"/>
      <c r="F441" s="14"/>
      <c r="G441" s="14"/>
      <c r="L441" s="142"/>
    </row>
    <row r="442">
      <c r="A442" s="14"/>
      <c r="B442" s="14"/>
      <c r="D442" s="14"/>
      <c r="E442" s="14"/>
      <c r="F442" s="14"/>
      <c r="G442" s="14"/>
      <c r="L442" s="142"/>
    </row>
    <row r="443">
      <c r="A443" s="14"/>
      <c r="B443" s="14"/>
      <c r="D443" s="14"/>
      <c r="E443" s="14"/>
      <c r="F443" s="14"/>
      <c r="G443" s="14"/>
      <c r="L443" s="142"/>
    </row>
    <row r="444">
      <c r="A444" s="14"/>
      <c r="B444" s="14"/>
      <c r="D444" s="14"/>
      <c r="E444" s="14"/>
      <c r="F444" s="14"/>
      <c r="G444" s="14"/>
      <c r="L444" s="142"/>
    </row>
    <row r="445">
      <c r="A445" s="14"/>
      <c r="B445" s="14"/>
      <c r="D445" s="14"/>
      <c r="E445" s="14"/>
      <c r="F445" s="14"/>
      <c r="G445" s="14"/>
      <c r="L445" s="142"/>
    </row>
    <row r="446">
      <c r="A446" s="14"/>
      <c r="B446" s="14"/>
      <c r="D446" s="14"/>
      <c r="E446" s="14"/>
      <c r="F446" s="14"/>
      <c r="G446" s="14"/>
      <c r="L446" s="142"/>
    </row>
    <row r="447">
      <c r="A447" s="14"/>
      <c r="B447" s="14"/>
      <c r="D447" s="14"/>
      <c r="E447" s="14"/>
      <c r="F447" s="14"/>
      <c r="G447" s="14"/>
      <c r="L447" s="142"/>
    </row>
    <row r="448">
      <c r="A448" s="14"/>
      <c r="B448" s="14"/>
      <c r="D448" s="14"/>
      <c r="E448" s="14"/>
      <c r="F448" s="14"/>
      <c r="G448" s="14"/>
      <c r="L448" s="142"/>
    </row>
    <row r="449">
      <c r="A449" s="14"/>
      <c r="B449" s="14"/>
      <c r="D449" s="14"/>
      <c r="E449" s="14"/>
      <c r="F449" s="14"/>
      <c r="G449" s="14"/>
      <c r="L449" s="142"/>
    </row>
    <row r="450">
      <c r="A450" s="14"/>
      <c r="B450" s="14"/>
      <c r="D450" s="14"/>
      <c r="E450" s="14"/>
      <c r="F450" s="14"/>
      <c r="G450" s="14"/>
      <c r="L450" s="142"/>
    </row>
    <row r="451">
      <c r="A451" s="14"/>
      <c r="B451" s="14"/>
      <c r="D451" s="14"/>
      <c r="E451" s="14"/>
      <c r="F451" s="14"/>
      <c r="G451" s="14"/>
      <c r="L451" s="142"/>
    </row>
    <row r="452">
      <c r="A452" s="14"/>
      <c r="B452" s="14"/>
      <c r="D452" s="14"/>
      <c r="E452" s="14"/>
      <c r="F452" s="14"/>
      <c r="G452" s="14"/>
      <c r="L452" s="142"/>
    </row>
    <row r="453">
      <c r="A453" s="14"/>
      <c r="B453" s="14"/>
      <c r="D453" s="14"/>
      <c r="E453" s="14"/>
      <c r="F453" s="14"/>
      <c r="G453" s="14"/>
      <c r="L453" s="142"/>
    </row>
    <row r="454">
      <c r="A454" s="14"/>
      <c r="B454" s="14"/>
      <c r="D454" s="14"/>
      <c r="E454" s="14"/>
      <c r="F454" s="14"/>
      <c r="G454" s="14"/>
      <c r="L454" s="142"/>
    </row>
    <row r="455">
      <c r="A455" s="14"/>
      <c r="B455" s="14"/>
      <c r="D455" s="14"/>
      <c r="E455" s="14"/>
      <c r="F455" s="14"/>
      <c r="G455" s="14"/>
      <c r="L455" s="142"/>
    </row>
    <row r="456">
      <c r="A456" s="14"/>
      <c r="B456" s="14"/>
      <c r="D456" s="14"/>
      <c r="E456" s="14"/>
      <c r="F456" s="14"/>
      <c r="G456" s="14"/>
      <c r="L456" s="142"/>
    </row>
    <row r="457">
      <c r="A457" s="14"/>
      <c r="B457" s="14"/>
      <c r="D457" s="14"/>
      <c r="E457" s="14"/>
      <c r="F457" s="14"/>
      <c r="G457" s="14"/>
      <c r="L457" s="142"/>
    </row>
    <row r="458">
      <c r="A458" s="14"/>
      <c r="B458" s="14"/>
      <c r="D458" s="14"/>
      <c r="E458" s="14"/>
      <c r="F458" s="14"/>
      <c r="G458" s="14"/>
      <c r="L458" s="142"/>
    </row>
    <row r="459">
      <c r="A459" s="14"/>
      <c r="B459" s="14"/>
      <c r="D459" s="14"/>
      <c r="E459" s="14"/>
      <c r="F459" s="14"/>
      <c r="G459" s="14"/>
      <c r="L459" s="142"/>
    </row>
    <row r="460">
      <c r="A460" s="14"/>
      <c r="B460" s="14"/>
      <c r="D460" s="14"/>
      <c r="E460" s="14"/>
      <c r="F460" s="14"/>
      <c r="G460" s="14"/>
      <c r="L460" s="142"/>
    </row>
    <row r="461">
      <c r="A461" s="14"/>
      <c r="B461" s="14"/>
      <c r="D461" s="14"/>
      <c r="E461" s="14"/>
      <c r="F461" s="14"/>
      <c r="G461" s="14"/>
      <c r="L461" s="142"/>
    </row>
    <row r="462">
      <c r="A462" s="14"/>
      <c r="B462" s="14"/>
      <c r="D462" s="14"/>
      <c r="E462" s="14"/>
      <c r="F462" s="14"/>
      <c r="G462" s="14"/>
      <c r="L462" s="142"/>
    </row>
    <row r="463">
      <c r="A463" s="14"/>
      <c r="B463" s="14"/>
      <c r="D463" s="14"/>
      <c r="E463" s="14"/>
      <c r="F463" s="14"/>
      <c r="G463" s="14"/>
      <c r="L463" s="142"/>
    </row>
    <row r="464">
      <c r="A464" s="14"/>
      <c r="B464" s="14"/>
      <c r="D464" s="14"/>
      <c r="E464" s="14"/>
      <c r="F464" s="14"/>
      <c r="G464" s="14"/>
      <c r="L464" s="142"/>
    </row>
    <row r="465">
      <c r="A465" s="14"/>
      <c r="B465" s="14"/>
      <c r="D465" s="14"/>
      <c r="E465" s="14"/>
      <c r="F465" s="14"/>
      <c r="G465" s="14"/>
      <c r="L465" s="142"/>
    </row>
    <row r="466">
      <c r="A466" s="14"/>
      <c r="B466" s="14"/>
      <c r="D466" s="14"/>
      <c r="E466" s="14"/>
      <c r="F466" s="14"/>
      <c r="G466" s="14"/>
      <c r="L466" s="142"/>
    </row>
    <row r="467">
      <c r="A467" s="14"/>
      <c r="B467" s="14"/>
      <c r="D467" s="14"/>
      <c r="E467" s="14"/>
      <c r="F467" s="14"/>
      <c r="G467" s="14"/>
      <c r="L467" s="142"/>
    </row>
    <row r="468">
      <c r="A468" s="14"/>
      <c r="B468" s="14"/>
      <c r="D468" s="14"/>
      <c r="E468" s="14"/>
      <c r="F468" s="14"/>
      <c r="G468" s="14"/>
      <c r="L468" s="142"/>
    </row>
    <row r="469">
      <c r="A469" s="14"/>
      <c r="B469" s="14"/>
      <c r="D469" s="14"/>
      <c r="E469" s="14"/>
      <c r="F469" s="14"/>
      <c r="G469" s="14"/>
      <c r="L469" s="142"/>
    </row>
    <row r="470">
      <c r="A470" s="14"/>
      <c r="B470" s="14"/>
      <c r="D470" s="14"/>
      <c r="E470" s="14"/>
      <c r="F470" s="14"/>
      <c r="G470" s="14"/>
      <c r="L470" s="142"/>
    </row>
    <row r="471">
      <c r="A471" s="14"/>
      <c r="B471" s="14"/>
      <c r="D471" s="14"/>
      <c r="E471" s="14"/>
      <c r="F471" s="14"/>
      <c r="G471" s="14"/>
      <c r="L471" s="142"/>
    </row>
    <row r="472">
      <c r="A472" s="14"/>
      <c r="B472" s="14"/>
      <c r="D472" s="14"/>
      <c r="E472" s="14"/>
      <c r="F472" s="14"/>
      <c r="G472" s="14"/>
      <c r="L472" s="142"/>
    </row>
    <row r="473">
      <c r="A473" s="14"/>
      <c r="B473" s="14"/>
      <c r="D473" s="14"/>
      <c r="E473" s="14"/>
      <c r="F473" s="14"/>
      <c r="G473" s="14"/>
      <c r="L473" s="142"/>
    </row>
    <row r="474">
      <c r="A474" s="14"/>
      <c r="B474" s="14"/>
      <c r="D474" s="14"/>
      <c r="E474" s="14"/>
      <c r="F474" s="14"/>
      <c r="G474" s="14"/>
      <c r="L474" s="142"/>
    </row>
    <row r="475">
      <c r="A475" s="14"/>
      <c r="B475" s="14"/>
      <c r="D475" s="14"/>
      <c r="E475" s="14"/>
      <c r="F475" s="14"/>
      <c r="G475" s="14"/>
      <c r="L475" s="142"/>
    </row>
    <row r="476">
      <c r="A476" s="14"/>
      <c r="B476" s="14"/>
      <c r="D476" s="14"/>
      <c r="E476" s="14"/>
      <c r="F476" s="14"/>
      <c r="G476" s="14"/>
      <c r="L476" s="142"/>
    </row>
    <row r="477">
      <c r="A477" s="14"/>
      <c r="B477" s="14"/>
      <c r="D477" s="14"/>
      <c r="E477" s="14"/>
      <c r="F477" s="14"/>
      <c r="G477" s="14"/>
      <c r="L477" s="142"/>
    </row>
    <row r="478">
      <c r="A478" s="14"/>
      <c r="B478" s="14"/>
      <c r="D478" s="14"/>
      <c r="E478" s="14"/>
      <c r="F478" s="14"/>
      <c r="G478" s="14"/>
      <c r="L478" s="142"/>
    </row>
    <row r="479">
      <c r="A479" s="14"/>
      <c r="B479" s="14"/>
      <c r="D479" s="14"/>
      <c r="E479" s="14"/>
      <c r="F479" s="14"/>
      <c r="G479" s="14"/>
      <c r="L479" s="142"/>
    </row>
    <row r="480">
      <c r="A480" s="14"/>
      <c r="B480" s="14"/>
      <c r="D480" s="14"/>
      <c r="E480" s="14"/>
      <c r="F480" s="14"/>
      <c r="G480" s="14"/>
      <c r="L480" s="142"/>
    </row>
    <row r="481">
      <c r="A481" s="14"/>
      <c r="B481" s="14"/>
      <c r="D481" s="14"/>
      <c r="E481" s="14"/>
      <c r="F481" s="14"/>
      <c r="G481" s="14"/>
      <c r="L481" s="142"/>
    </row>
    <row r="482">
      <c r="A482" s="14"/>
      <c r="B482" s="14"/>
      <c r="D482" s="14"/>
      <c r="E482" s="14"/>
      <c r="F482" s="14"/>
      <c r="G482" s="14"/>
      <c r="L482" s="142"/>
    </row>
    <row r="483">
      <c r="A483" s="14"/>
      <c r="B483" s="14"/>
      <c r="D483" s="14"/>
      <c r="E483" s="14"/>
      <c r="F483" s="14"/>
      <c r="G483" s="14"/>
      <c r="L483" s="142"/>
    </row>
    <row r="484">
      <c r="A484" s="14"/>
      <c r="B484" s="14"/>
      <c r="D484" s="14"/>
      <c r="E484" s="14"/>
      <c r="F484" s="14"/>
      <c r="G484" s="14"/>
      <c r="L484" s="142"/>
    </row>
    <row r="485">
      <c r="A485" s="14"/>
      <c r="B485" s="14"/>
      <c r="D485" s="14"/>
      <c r="E485" s="14"/>
      <c r="F485" s="14"/>
      <c r="G485" s="14"/>
      <c r="L485" s="142"/>
    </row>
    <row r="486">
      <c r="A486" s="14"/>
      <c r="B486" s="14"/>
      <c r="D486" s="14"/>
      <c r="E486" s="14"/>
      <c r="F486" s="14"/>
      <c r="G486" s="14"/>
      <c r="L486" s="142"/>
    </row>
    <row r="487">
      <c r="A487" s="14"/>
      <c r="B487" s="14"/>
      <c r="D487" s="14"/>
      <c r="E487" s="14"/>
      <c r="F487" s="14"/>
      <c r="G487" s="14"/>
      <c r="L487" s="142"/>
    </row>
    <row r="488">
      <c r="A488" s="14"/>
      <c r="B488" s="14"/>
      <c r="D488" s="14"/>
      <c r="E488" s="14"/>
      <c r="F488" s="14"/>
      <c r="G488" s="14"/>
      <c r="L488" s="142"/>
    </row>
    <row r="489">
      <c r="A489" s="14"/>
      <c r="B489" s="14"/>
      <c r="D489" s="14"/>
      <c r="E489" s="14"/>
      <c r="F489" s="14"/>
      <c r="G489" s="14"/>
      <c r="L489" s="142"/>
    </row>
    <row r="490">
      <c r="A490" s="14"/>
      <c r="B490" s="14"/>
      <c r="D490" s="14"/>
      <c r="E490" s="14"/>
      <c r="F490" s="14"/>
      <c r="G490" s="14"/>
      <c r="L490" s="142"/>
    </row>
    <row r="491">
      <c r="A491" s="14"/>
      <c r="B491" s="14"/>
      <c r="D491" s="14"/>
      <c r="E491" s="14"/>
      <c r="F491" s="14"/>
      <c r="G491" s="14"/>
      <c r="L491" s="142"/>
    </row>
    <row r="492">
      <c r="A492" s="14"/>
      <c r="B492" s="14"/>
      <c r="D492" s="14"/>
      <c r="E492" s="14"/>
      <c r="F492" s="14"/>
      <c r="G492" s="14"/>
      <c r="L492" s="142"/>
    </row>
    <row r="493">
      <c r="A493" s="14"/>
      <c r="B493" s="14"/>
      <c r="D493" s="14"/>
      <c r="E493" s="14"/>
      <c r="F493" s="14"/>
      <c r="G493" s="14"/>
      <c r="L493" s="142"/>
    </row>
    <row r="494">
      <c r="A494" s="14"/>
      <c r="B494" s="14"/>
      <c r="D494" s="14"/>
      <c r="E494" s="14"/>
      <c r="F494" s="14"/>
      <c r="G494" s="14"/>
      <c r="L494" s="142"/>
    </row>
    <row r="495">
      <c r="A495" s="14"/>
      <c r="B495" s="14"/>
      <c r="D495" s="14"/>
      <c r="E495" s="14"/>
      <c r="F495" s="14"/>
      <c r="G495" s="14"/>
      <c r="L495" s="142"/>
    </row>
    <row r="496">
      <c r="A496" s="14"/>
      <c r="B496" s="14"/>
      <c r="D496" s="14"/>
      <c r="E496" s="14"/>
      <c r="F496" s="14"/>
      <c r="G496" s="14"/>
      <c r="L496" s="142"/>
    </row>
    <row r="497">
      <c r="A497" s="14"/>
      <c r="B497" s="14"/>
      <c r="D497" s="14"/>
      <c r="E497" s="14"/>
      <c r="F497" s="14"/>
      <c r="G497" s="14"/>
      <c r="L497" s="142"/>
    </row>
    <row r="498">
      <c r="A498" s="14"/>
      <c r="B498" s="14"/>
      <c r="C498" s="14"/>
      <c r="D498" s="14"/>
      <c r="E498" s="14"/>
      <c r="F498" s="14"/>
      <c r="G498" s="14"/>
      <c r="L498" s="142"/>
    </row>
    <row r="499">
      <c r="A499" s="14"/>
      <c r="B499" s="14"/>
      <c r="C499" s="14"/>
      <c r="D499" s="14"/>
      <c r="E499" s="14"/>
      <c r="F499" s="14"/>
      <c r="G499" s="14"/>
      <c r="L499" s="142"/>
    </row>
    <row r="500">
      <c r="A500" s="14"/>
      <c r="B500" s="14"/>
      <c r="C500" s="14"/>
      <c r="D500" s="14"/>
      <c r="E500" s="14"/>
      <c r="F500" s="14"/>
      <c r="G500" s="14"/>
      <c r="L500" s="142"/>
    </row>
    <row r="501">
      <c r="A501" s="14"/>
      <c r="B501" s="14"/>
      <c r="C501" s="14"/>
      <c r="D501" s="14"/>
      <c r="E501" s="14"/>
      <c r="F501" s="14"/>
      <c r="G501" s="14"/>
      <c r="L501" s="142"/>
    </row>
    <row r="502">
      <c r="A502" s="14"/>
      <c r="B502" s="14"/>
      <c r="C502" s="14"/>
      <c r="D502" s="14"/>
      <c r="E502" s="14"/>
      <c r="F502" s="14"/>
      <c r="G502" s="14"/>
      <c r="L502" s="142"/>
    </row>
    <row r="503">
      <c r="A503" s="14"/>
      <c r="B503" s="14"/>
      <c r="C503" s="14"/>
      <c r="D503" s="14"/>
      <c r="E503" s="14"/>
      <c r="F503" s="14"/>
      <c r="G503" s="14"/>
      <c r="L503" s="142"/>
    </row>
    <row r="504">
      <c r="A504" s="14"/>
      <c r="B504" s="14"/>
      <c r="C504" s="14"/>
      <c r="D504" s="14"/>
      <c r="E504" s="14"/>
      <c r="F504" s="14"/>
      <c r="G504" s="14"/>
      <c r="L504" s="142"/>
    </row>
    <row r="505">
      <c r="A505" s="14"/>
      <c r="B505" s="14"/>
      <c r="C505" s="14"/>
      <c r="D505" s="14"/>
      <c r="E505" s="14"/>
      <c r="F505" s="14"/>
      <c r="G505" s="14"/>
      <c r="L505" s="142"/>
    </row>
    <row r="506">
      <c r="A506" s="14"/>
      <c r="B506" s="14"/>
      <c r="C506" s="14"/>
      <c r="D506" s="14"/>
      <c r="E506" s="14"/>
      <c r="F506" s="14"/>
      <c r="G506" s="14"/>
      <c r="L506" s="142"/>
    </row>
    <row r="507">
      <c r="A507" s="14"/>
      <c r="B507" s="14"/>
      <c r="C507" s="14"/>
      <c r="D507" s="14"/>
      <c r="E507" s="14"/>
      <c r="F507" s="14"/>
      <c r="G507" s="14"/>
      <c r="L507" s="142"/>
    </row>
    <row r="508">
      <c r="A508" s="14"/>
      <c r="B508" s="14"/>
      <c r="C508" s="14"/>
      <c r="D508" s="14"/>
      <c r="E508" s="14"/>
      <c r="F508" s="14"/>
      <c r="G508" s="14"/>
      <c r="L508" s="142"/>
    </row>
    <row r="509">
      <c r="A509" s="14"/>
      <c r="B509" s="14"/>
      <c r="C509" s="14"/>
      <c r="D509" s="14"/>
      <c r="E509" s="14"/>
      <c r="F509" s="14"/>
      <c r="G509" s="14"/>
      <c r="L509" s="142"/>
    </row>
    <row r="510">
      <c r="A510" s="14"/>
      <c r="B510" s="14"/>
      <c r="C510" s="14"/>
      <c r="D510" s="14"/>
      <c r="E510" s="14"/>
      <c r="F510" s="14"/>
      <c r="G510" s="14"/>
      <c r="L510" s="142"/>
    </row>
    <row r="511">
      <c r="A511" s="14"/>
      <c r="B511" s="14"/>
      <c r="C511" s="14"/>
      <c r="D511" s="14"/>
      <c r="E511" s="14"/>
      <c r="F511" s="14"/>
      <c r="G511" s="14"/>
      <c r="L511" s="142"/>
    </row>
    <row r="512">
      <c r="A512" s="14"/>
      <c r="B512" s="14"/>
      <c r="C512" s="14"/>
      <c r="D512" s="14"/>
      <c r="E512" s="14"/>
      <c r="F512" s="14"/>
      <c r="G512" s="14"/>
      <c r="L512" s="142"/>
    </row>
    <row r="513">
      <c r="A513" s="14"/>
      <c r="B513" s="14"/>
      <c r="C513" s="14"/>
      <c r="D513" s="14"/>
      <c r="E513" s="14"/>
      <c r="F513" s="14"/>
      <c r="G513" s="14"/>
      <c r="L513" s="142"/>
    </row>
    <row r="514">
      <c r="A514" s="14"/>
      <c r="B514" s="14"/>
      <c r="C514" s="14"/>
      <c r="D514" s="14"/>
      <c r="E514" s="14"/>
      <c r="F514" s="14"/>
      <c r="G514" s="14"/>
      <c r="L514" s="142"/>
    </row>
    <row r="515">
      <c r="A515" s="14"/>
      <c r="B515" s="14"/>
      <c r="C515" s="14"/>
      <c r="D515" s="14"/>
      <c r="E515" s="14"/>
      <c r="F515" s="14"/>
      <c r="G515" s="14"/>
      <c r="L515" s="142"/>
    </row>
    <row r="516">
      <c r="A516" s="14"/>
      <c r="B516" s="14"/>
      <c r="C516" s="14"/>
      <c r="D516" s="14"/>
      <c r="E516" s="14"/>
      <c r="F516" s="14"/>
      <c r="G516" s="14"/>
      <c r="L516" s="142"/>
    </row>
    <row r="517">
      <c r="A517" s="14"/>
      <c r="B517" s="14"/>
      <c r="C517" s="14"/>
      <c r="D517" s="14"/>
      <c r="E517" s="14"/>
      <c r="F517" s="14"/>
      <c r="G517" s="14"/>
      <c r="L517" s="142"/>
    </row>
    <row r="518">
      <c r="A518" s="14"/>
      <c r="B518" s="14"/>
      <c r="C518" s="14"/>
      <c r="D518" s="14"/>
      <c r="E518" s="14"/>
      <c r="F518" s="14"/>
      <c r="G518" s="14"/>
      <c r="L518" s="142"/>
    </row>
    <row r="519">
      <c r="A519" s="14"/>
      <c r="B519" s="14"/>
      <c r="C519" s="14"/>
      <c r="D519" s="14"/>
      <c r="E519" s="14"/>
      <c r="F519" s="14"/>
      <c r="G519" s="14"/>
      <c r="L519" s="142"/>
    </row>
    <row r="520">
      <c r="A520" s="14"/>
      <c r="B520" s="14"/>
      <c r="C520" s="14"/>
      <c r="D520" s="14"/>
      <c r="E520" s="14"/>
      <c r="F520" s="14"/>
      <c r="G520" s="14"/>
      <c r="L520" s="142"/>
    </row>
    <row r="521">
      <c r="A521" s="14"/>
      <c r="B521" s="14"/>
      <c r="C521" s="14"/>
      <c r="D521" s="14"/>
      <c r="E521" s="14"/>
      <c r="F521" s="14"/>
      <c r="G521" s="14"/>
      <c r="L521" s="142"/>
    </row>
    <row r="522">
      <c r="A522" s="14"/>
      <c r="B522" s="14"/>
      <c r="C522" s="14"/>
      <c r="D522" s="14"/>
      <c r="E522" s="14"/>
      <c r="F522" s="14"/>
      <c r="G522" s="14"/>
      <c r="L522" s="142"/>
    </row>
    <row r="523">
      <c r="A523" s="14"/>
      <c r="B523" s="14"/>
      <c r="C523" s="14"/>
      <c r="D523" s="14"/>
      <c r="E523" s="14"/>
      <c r="F523" s="14"/>
      <c r="G523" s="14"/>
      <c r="L523" s="142"/>
    </row>
    <row r="524">
      <c r="A524" s="14"/>
      <c r="B524" s="14"/>
      <c r="C524" s="14"/>
      <c r="D524" s="14"/>
      <c r="E524" s="14"/>
      <c r="F524" s="14"/>
      <c r="G524" s="14"/>
      <c r="L524" s="142"/>
    </row>
    <row r="525">
      <c r="A525" s="14"/>
      <c r="B525" s="14"/>
      <c r="C525" s="14"/>
      <c r="D525" s="14"/>
      <c r="E525" s="14"/>
      <c r="F525" s="14"/>
      <c r="G525" s="14"/>
      <c r="L525" s="142"/>
    </row>
    <row r="526">
      <c r="A526" s="14"/>
      <c r="B526" s="14"/>
      <c r="C526" s="14"/>
      <c r="D526" s="14"/>
      <c r="E526" s="14"/>
      <c r="F526" s="14"/>
      <c r="G526" s="14"/>
      <c r="L526" s="142"/>
    </row>
    <row r="527">
      <c r="A527" s="14"/>
      <c r="B527" s="14"/>
      <c r="C527" s="14"/>
      <c r="D527" s="14"/>
      <c r="E527" s="14"/>
      <c r="F527" s="14"/>
      <c r="G527" s="14"/>
      <c r="L527" s="142"/>
    </row>
    <row r="528">
      <c r="A528" s="14"/>
      <c r="B528" s="14"/>
      <c r="C528" s="14"/>
      <c r="D528" s="14"/>
      <c r="E528" s="14"/>
      <c r="F528" s="14"/>
      <c r="G528" s="14"/>
      <c r="L528" s="142"/>
    </row>
    <row r="529">
      <c r="A529" s="14"/>
      <c r="B529" s="14"/>
      <c r="C529" s="14"/>
      <c r="D529" s="14"/>
      <c r="E529" s="14"/>
      <c r="F529" s="14"/>
      <c r="G529" s="14"/>
      <c r="L529" s="142"/>
    </row>
    <row r="530">
      <c r="A530" s="14"/>
      <c r="B530" s="14"/>
      <c r="C530" s="14"/>
      <c r="D530" s="14"/>
      <c r="E530" s="14"/>
      <c r="F530" s="14"/>
      <c r="G530" s="14"/>
      <c r="L530" s="142"/>
    </row>
    <row r="531">
      <c r="A531" s="14"/>
      <c r="B531" s="14"/>
      <c r="C531" s="14"/>
      <c r="D531" s="14"/>
      <c r="E531" s="14"/>
      <c r="F531" s="14"/>
      <c r="G531" s="14"/>
      <c r="L531" s="142"/>
    </row>
    <row r="532">
      <c r="A532" s="14"/>
      <c r="B532" s="14"/>
      <c r="C532" s="14"/>
      <c r="D532" s="14"/>
      <c r="E532" s="14"/>
      <c r="F532" s="14"/>
      <c r="G532" s="14"/>
      <c r="L532" s="142"/>
    </row>
    <row r="533">
      <c r="A533" s="14"/>
      <c r="B533" s="14"/>
      <c r="C533" s="14"/>
      <c r="D533" s="14"/>
      <c r="E533" s="14"/>
      <c r="F533" s="14"/>
      <c r="G533" s="14"/>
      <c r="L533" s="142"/>
    </row>
    <row r="534">
      <c r="A534" s="14"/>
      <c r="B534" s="14"/>
      <c r="C534" s="14"/>
      <c r="D534" s="14"/>
      <c r="E534" s="14"/>
      <c r="F534" s="14"/>
      <c r="G534" s="14"/>
      <c r="L534" s="142"/>
    </row>
    <row r="535">
      <c r="A535" s="14"/>
      <c r="B535" s="14"/>
      <c r="C535" s="14"/>
      <c r="D535" s="14"/>
      <c r="E535" s="14"/>
      <c r="F535" s="14"/>
      <c r="G535" s="14"/>
      <c r="L535" s="142"/>
    </row>
    <row r="536">
      <c r="A536" s="14"/>
      <c r="B536" s="14"/>
      <c r="C536" s="14"/>
      <c r="D536" s="14"/>
      <c r="E536" s="14"/>
      <c r="F536" s="14"/>
      <c r="G536" s="14"/>
      <c r="L536" s="142"/>
    </row>
    <row r="537">
      <c r="A537" s="14"/>
      <c r="B537" s="14"/>
      <c r="C537" s="14"/>
      <c r="D537" s="14"/>
      <c r="E537" s="14"/>
      <c r="F537" s="14"/>
      <c r="G537" s="14"/>
      <c r="L537" s="142"/>
    </row>
    <row r="538">
      <c r="A538" s="14"/>
      <c r="B538" s="14"/>
      <c r="C538" s="14"/>
      <c r="D538" s="14"/>
      <c r="E538" s="14"/>
      <c r="F538" s="14"/>
      <c r="G538" s="14"/>
      <c r="L538" s="142"/>
    </row>
    <row r="539">
      <c r="A539" s="14"/>
      <c r="B539" s="14"/>
      <c r="C539" s="14"/>
      <c r="D539" s="14"/>
      <c r="E539" s="14"/>
      <c r="F539" s="14"/>
      <c r="G539" s="14"/>
      <c r="L539" s="142"/>
    </row>
    <row r="540">
      <c r="A540" s="14"/>
      <c r="B540" s="14"/>
      <c r="C540" s="14"/>
      <c r="D540" s="14"/>
      <c r="E540" s="14"/>
      <c r="F540" s="14"/>
      <c r="G540" s="14"/>
      <c r="L540" s="142"/>
    </row>
    <row r="541">
      <c r="A541" s="14"/>
      <c r="B541" s="14"/>
      <c r="C541" s="14"/>
      <c r="D541" s="14"/>
      <c r="E541" s="14"/>
      <c r="F541" s="14"/>
      <c r="G541" s="14"/>
      <c r="L541" s="142"/>
    </row>
    <row r="542">
      <c r="A542" s="14"/>
      <c r="B542" s="14"/>
      <c r="C542" s="14"/>
      <c r="D542" s="14"/>
      <c r="E542" s="14"/>
      <c r="F542" s="14"/>
      <c r="G542" s="14"/>
      <c r="L542" s="142"/>
    </row>
    <row r="543">
      <c r="A543" s="14"/>
      <c r="B543" s="14"/>
      <c r="C543" s="14"/>
      <c r="D543" s="14"/>
      <c r="E543" s="14"/>
      <c r="F543" s="14"/>
      <c r="G543" s="14"/>
      <c r="L543" s="142"/>
    </row>
    <row r="544">
      <c r="A544" s="14"/>
      <c r="B544" s="14"/>
      <c r="C544" s="14"/>
      <c r="D544" s="14"/>
      <c r="E544" s="14"/>
      <c r="F544" s="14"/>
      <c r="G544" s="14"/>
      <c r="L544" s="142"/>
    </row>
    <row r="545">
      <c r="A545" s="14"/>
      <c r="B545" s="14"/>
      <c r="C545" s="14"/>
      <c r="D545" s="14"/>
      <c r="E545" s="14"/>
      <c r="F545" s="14"/>
      <c r="G545" s="14"/>
      <c r="L545" s="142"/>
    </row>
    <row r="546">
      <c r="A546" s="14"/>
      <c r="B546" s="14"/>
      <c r="C546" s="14"/>
      <c r="D546" s="14"/>
      <c r="E546" s="14"/>
      <c r="F546" s="14"/>
      <c r="G546" s="14"/>
      <c r="L546" s="142"/>
    </row>
    <row r="547">
      <c r="A547" s="14"/>
      <c r="B547" s="14"/>
      <c r="C547" s="14"/>
      <c r="D547" s="14"/>
      <c r="E547" s="14"/>
      <c r="F547" s="14"/>
      <c r="G547" s="14"/>
      <c r="L547" s="142"/>
    </row>
    <row r="548">
      <c r="A548" s="14"/>
      <c r="B548" s="14"/>
      <c r="C548" s="14"/>
      <c r="D548" s="14"/>
      <c r="E548" s="14"/>
      <c r="F548" s="14"/>
      <c r="G548" s="14"/>
      <c r="L548" s="142"/>
    </row>
    <row r="549">
      <c r="A549" s="14"/>
      <c r="B549" s="14"/>
      <c r="C549" s="14"/>
      <c r="D549" s="14"/>
      <c r="E549" s="14"/>
      <c r="F549" s="14"/>
      <c r="G549" s="14"/>
      <c r="L549" s="142"/>
    </row>
    <row r="550">
      <c r="A550" s="14"/>
      <c r="B550" s="14"/>
      <c r="C550" s="14"/>
      <c r="D550" s="14"/>
      <c r="E550" s="14"/>
      <c r="F550" s="14"/>
      <c r="G550" s="14"/>
      <c r="L550" s="142"/>
    </row>
    <row r="551">
      <c r="A551" s="14"/>
      <c r="B551" s="14"/>
      <c r="C551" s="14"/>
      <c r="D551" s="14"/>
      <c r="E551" s="14"/>
      <c r="F551" s="14"/>
      <c r="G551" s="14"/>
      <c r="L551" s="142"/>
    </row>
    <row r="552">
      <c r="A552" s="14"/>
      <c r="B552" s="14"/>
      <c r="C552" s="14"/>
      <c r="D552" s="14"/>
      <c r="E552" s="14"/>
      <c r="F552" s="14"/>
      <c r="G552" s="14"/>
      <c r="L552" s="142"/>
    </row>
    <row r="553">
      <c r="A553" s="14"/>
      <c r="B553" s="14"/>
      <c r="C553" s="14"/>
      <c r="D553" s="14"/>
      <c r="E553" s="14"/>
      <c r="F553" s="14"/>
      <c r="G553" s="14"/>
      <c r="L553" s="142"/>
    </row>
    <row r="554">
      <c r="A554" s="14"/>
      <c r="B554" s="14"/>
      <c r="C554" s="14"/>
      <c r="D554" s="14"/>
      <c r="E554" s="14"/>
      <c r="F554" s="14"/>
      <c r="G554" s="14"/>
      <c r="L554" s="142"/>
    </row>
    <row r="555">
      <c r="A555" s="14"/>
      <c r="B555" s="14"/>
      <c r="C555" s="14"/>
      <c r="D555" s="14"/>
      <c r="E555" s="14"/>
      <c r="F555" s="14"/>
      <c r="G555" s="14"/>
      <c r="L555" s="142"/>
    </row>
    <row r="556">
      <c r="A556" s="14"/>
      <c r="B556" s="14"/>
      <c r="C556" s="14"/>
      <c r="D556" s="14"/>
      <c r="E556" s="14"/>
      <c r="F556" s="14"/>
      <c r="G556" s="14"/>
      <c r="L556" s="142"/>
    </row>
    <row r="557">
      <c r="A557" s="14"/>
      <c r="B557" s="14"/>
      <c r="C557" s="14"/>
      <c r="D557" s="14"/>
      <c r="E557" s="14"/>
      <c r="F557" s="14"/>
      <c r="G557" s="14"/>
      <c r="L557" s="142"/>
    </row>
    <row r="558">
      <c r="A558" s="14"/>
      <c r="B558" s="14"/>
      <c r="C558" s="14"/>
      <c r="D558" s="14"/>
      <c r="E558" s="14"/>
      <c r="F558" s="14"/>
      <c r="G558" s="14"/>
      <c r="L558" s="142"/>
    </row>
    <row r="559">
      <c r="A559" s="14"/>
      <c r="B559" s="14"/>
      <c r="C559" s="14"/>
      <c r="D559" s="14"/>
      <c r="E559" s="14"/>
      <c r="F559" s="14"/>
      <c r="G559" s="14"/>
      <c r="L559" s="142"/>
    </row>
    <row r="560">
      <c r="A560" s="14"/>
      <c r="B560" s="14"/>
      <c r="C560" s="14"/>
      <c r="D560" s="14"/>
      <c r="E560" s="14"/>
      <c r="F560" s="14"/>
      <c r="G560" s="14"/>
      <c r="L560" s="142"/>
    </row>
    <row r="561">
      <c r="A561" s="14"/>
      <c r="B561" s="14"/>
      <c r="C561" s="14"/>
      <c r="D561" s="14"/>
      <c r="E561" s="14"/>
      <c r="F561" s="14"/>
      <c r="G561" s="14"/>
      <c r="L561" s="142"/>
    </row>
    <row r="562">
      <c r="A562" s="14"/>
      <c r="B562" s="14"/>
      <c r="C562" s="14"/>
      <c r="D562" s="14"/>
      <c r="E562" s="14"/>
      <c r="F562" s="14"/>
      <c r="G562" s="14"/>
      <c r="L562" s="142"/>
    </row>
    <row r="563">
      <c r="A563" s="14"/>
      <c r="B563" s="14"/>
      <c r="C563" s="14"/>
      <c r="D563" s="14"/>
      <c r="E563" s="14"/>
      <c r="F563" s="14"/>
      <c r="G563" s="14"/>
      <c r="L563" s="142"/>
    </row>
    <row r="564">
      <c r="A564" s="14"/>
      <c r="B564" s="14"/>
      <c r="C564" s="14"/>
      <c r="D564" s="14"/>
      <c r="E564" s="14"/>
      <c r="F564" s="14"/>
      <c r="G564" s="14"/>
      <c r="L564" s="142"/>
    </row>
    <row r="565">
      <c r="A565" s="14"/>
      <c r="B565" s="14"/>
      <c r="C565" s="14"/>
      <c r="D565" s="14"/>
      <c r="E565" s="14"/>
      <c r="F565" s="14"/>
      <c r="G565" s="14"/>
      <c r="L565" s="142"/>
    </row>
    <row r="566">
      <c r="A566" s="14"/>
      <c r="B566" s="14"/>
      <c r="C566" s="14"/>
      <c r="D566" s="14"/>
      <c r="E566" s="14"/>
      <c r="F566" s="14"/>
      <c r="G566" s="14"/>
      <c r="L566" s="142"/>
    </row>
    <row r="567">
      <c r="A567" s="14"/>
      <c r="B567" s="14"/>
      <c r="C567" s="14"/>
      <c r="D567" s="14"/>
      <c r="E567" s="14"/>
      <c r="F567" s="14"/>
      <c r="G567" s="14"/>
      <c r="L567" s="142"/>
    </row>
    <row r="568">
      <c r="A568" s="14"/>
      <c r="B568" s="14"/>
      <c r="C568" s="14"/>
      <c r="D568" s="14"/>
      <c r="E568" s="14"/>
      <c r="F568" s="14"/>
      <c r="G568" s="14"/>
      <c r="L568" s="142"/>
    </row>
    <row r="569">
      <c r="A569" s="14"/>
      <c r="B569" s="14"/>
      <c r="C569" s="14"/>
      <c r="D569" s="14"/>
      <c r="E569" s="14"/>
      <c r="F569" s="14"/>
      <c r="G569" s="14"/>
      <c r="L569" s="142"/>
    </row>
    <row r="570">
      <c r="A570" s="14"/>
      <c r="B570" s="14"/>
      <c r="C570" s="14"/>
      <c r="D570" s="14"/>
      <c r="E570" s="14"/>
      <c r="F570" s="14"/>
      <c r="G570" s="14"/>
      <c r="L570" s="142"/>
    </row>
    <row r="571">
      <c r="A571" s="14"/>
      <c r="B571" s="14"/>
      <c r="C571" s="14"/>
      <c r="D571" s="14"/>
      <c r="E571" s="14"/>
      <c r="F571" s="14"/>
      <c r="G571" s="14"/>
      <c r="L571" s="142"/>
    </row>
    <row r="572">
      <c r="A572" s="14"/>
      <c r="B572" s="14"/>
      <c r="C572" s="14"/>
      <c r="D572" s="14"/>
      <c r="E572" s="14"/>
      <c r="F572" s="14"/>
      <c r="G572" s="14"/>
      <c r="L572" s="142"/>
    </row>
    <row r="573">
      <c r="A573" s="14"/>
      <c r="B573" s="14"/>
      <c r="C573" s="14"/>
      <c r="D573" s="14"/>
      <c r="E573" s="14"/>
      <c r="F573" s="14"/>
      <c r="G573" s="14"/>
      <c r="L573" s="142"/>
    </row>
    <row r="574">
      <c r="A574" s="14"/>
      <c r="B574" s="14"/>
      <c r="C574" s="14"/>
      <c r="D574" s="14"/>
      <c r="E574" s="14"/>
      <c r="F574" s="14"/>
      <c r="G574" s="14"/>
      <c r="L574" s="142"/>
    </row>
    <row r="575">
      <c r="A575" s="14"/>
      <c r="B575" s="14"/>
      <c r="C575" s="14"/>
      <c r="D575" s="14"/>
      <c r="E575" s="14"/>
      <c r="F575" s="14"/>
      <c r="G575" s="14"/>
      <c r="L575" s="142"/>
    </row>
    <row r="576">
      <c r="A576" s="14"/>
      <c r="B576" s="14"/>
      <c r="C576" s="14"/>
      <c r="D576" s="14"/>
      <c r="E576" s="14"/>
      <c r="F576" s="14"/>
      <c r="G576" s="14"/>
      <c r="L576" s="142"/>
    </row>
    <row r="577">
      <c r="A577" s="14"/>
      <c r="B577" s="14"/>
      <c r="C577" s="14"/>
      <c r="D577" s="14"/>
      <c r="E577" s="14"/>
      <c r="F577" s="14"/>
      <c r="G577" s="14"/>
      <c r="L577" s="142"/>
    </row>
    <row r="578">
      <c r="A578" s="14"/>
      <c r="B578" s="14"/>
      <c r="C578" s="14"/>
      <c r="D578" s="14"/>
      <c r="E578" s="14"/>
      <c r="F578" s="14"/>
      <c r="G578" s="14"/>
      <c r="L578" s="142"/>
    </row>
    <row r="579">
      <c r="A579" s="14"/>
      <c r="B579" s="14"/>
      <c r="C579" s="14"/>
      <c r="D579" s="14"/>
      <c r="E579" s="14"/>
      <c r="F579" s="14"/>
      <c r="G579" s="14"/>
      <c r="L579" s="142"/>
    </row>
    <row r="580">
      <c r="A580" s="14"/>
      <c r="B580" s="14"/>
      <c r="C580" s="14"/>
      <c r="D580" s="14"/>
      <c r="E580" s="14"/>
      <c r="F580" s="14"/>
      <c r="G580" s="14"/>
      <c r="L580" s="142"/>
    </row>
    <row r="581">
      <c r="A581" s="14"/>
      <c r="B581" s="14"/>
      <c r="C581" s="14"/>
      <c r="D581" s="14"/>
      <c r="E581" s="14"/>
      <c r="F581" s="14"/>
      <c r="G581" s="14"/>
      <c r="L581" s="142"/>
    </row>
    <row r="582">
      <c r="A582" s="14"/>
      <c r="B582" s="14"/>
      <c r="C582" s="14"/>
      <c r="D582" s="14"/>
      <c r="E582" s="14"/>
      <c r="F582" s="14"/>
      <c r="G582" s="14"/>
      <c r="L582" s="142"/>
    </row>
    <row r="583">
      <c r="A583" s="14"/>
      <c r="B583" s="14"/>
      <c r="C583" s="14"/>
      <c r="D583" s="14"/>
      <c r="E583" s="14"/>
      <c r="F583" s="14"/>
      <c r="G583" s="14"/>
      <c r="L583" s="142"/>
    </row>
    <row r="584">
      <c r="A584" s="14"/>
      <c r="B584" s="14"/>
      <c r="C584" s="14"/>
      <c r="D584" s="14"/>
      <c r="E584" s="14"/>
      <c r="F584" s="14"/>
      <c r="G584" s="14"/>
      <c r="L584" s="142"/>
    </row>
    <row r="585">
      <c r="A585" s="14"/>
      <c r="B585" s="14"/>
      <c r="C585" s="14"/>
      <c r="D585" s="14"/>
      <c r="E585" s="14"/>
      <c r="F585" s="14"/>
      <c r="G585" s="14"/>
      <c r="L585" s="142"/>
    </row>
    <row r="586">
      <c r="A586" s="14"/>
      <c r="B586" s="14"/>
      <c r="C586" s="14"/>
      <c r="D586" s="14"/>
      <c r="E586" s="14"/>
      <c r="F586" s="14"/>
      <c r="G586" s="14"/>
      <c r="L586" s="142"/>
    </row>
    <row r="587">
      <c r="A587" s="14"/>
      <c r="B587" s="14"/>
      <c r="C587" s="14"/>
      <c r="D587" s="14"/>
      <c r="E587" s="14"/>
      <c r="F587" s="14"/>
      <c r="G587" s="14"/>
      <c r="L587" s="142"/>
    </row>
    <row r="588">
      <c r="A588" s="14"/>
      <c r="B588" s="14"/>
      <c r="C588" s="14"/>
      <c r="D588" s="14"/>
      <c r="E588" s="14"/>
      <c r="F588" s="14"/>
      <c r="G588" s="14"/>
      <c r="L588" s="142"/>
    </row>
    <row r="589">
      <c r="A589" s="14"/>
      <c r="B589" s="14"/>
      <c r="C589" s="14"/>
      <c r="D589" s="14"/>
      <c r="E589" s="14"/>
      <c r="F589" s="14"/>
      <c r="G589" s="14"/>
      <c r="L589" s="142"/>
    </row>
    <row r="590">
      <c r="A590" s="14"/>
      <c r="B590" s="14"/>
      <c r="C590" s="14"/>
      <c r="D590" s="14"/>
      <c r="E590" s="14"/>
      <c r="F590" s="14"/>
      <c r="G590" s="14"/>
      <c r="L590" s="142"/>
    </row>
    <row r="591">
      <c r="A591" s="14"/>
      <c r="B591" s="14"/>
      <c r="C591" s="14"/>
      <c r="D591" s="14"/>
      <c r="E591" s="14"/>
      <c r="F591" s="14"/>
      <c r="G591" s="14"/>
      <c r="L591" s="142"/>
    </row>
    <row r="592">
      <c r="A592" s="14"/>
      <c r="B592" s="14"/>
      <c r="C592" s="14"/>
      <c r="D592" s="14"/>
      <c r="E592" s="14"/>
      <c r="F592" s="14"/>
      <c r="G592" s="14"/>
      <c r="L592" s="142"/>
    </row>
    <row r="593">
      <c r="A593" s="14"/>
      <c r="B593" s="14"/>
      <c r="C593" s="14"/>
      <c r="D593" s="14"/>
      <c r="E593" s="14"/>
      <c r="F593" s="14"/>
      <c r="G593" s="14"/>
      <c r="L593" s="142"/>
    </row>
    <row r="594">
      <c r="A594" s="14"/>
      <c r="B594" s="14"/>
      <c r="C594" s="14"/>
      <c r="D594" s="14"/>
      <c r="E594" s="14"/>
      <c r="F594" s="14"/>
      <c r="G594" s="14"/>
      <c r="L594" s="142"/>
    </row>
    <row r="595">
      <c r="A595" s="14"/>
      <c r="B595" s="14"/>
      <c r="C595" s="14"/>
      <c r="D595" s="14"/>
      <c r="E595" s="14"/>
      <c r="F595" s="14"/>
      <c r="G595" s="14"/>
      <c r="L595" s="142"/>
    </row>
    <row r="596">
      <c r="A596" s="14"/>
      <c r="B596" s="14"/>
      <c r="C596" s="14"/>
      <c r="D596" s="14"/>
      <c r="E596" s="14"/>
      <c r="F596" s="14"/>
      <c r="G596" s="14"/>
      <c r="L596" s="142"/>
    </row>
    <row r="597">
      <c r="A597" s="14"/>
      <c r="B597" s="14"/>
      <c r="C597" s="14"/>
      <c r="D597" s="14"/>
      <c r="E597" s="14"/>
      <c r="F597" s="14"/>
      <c r="G597" s="14"/>
      <c r="L597" s="142"/>
    </row>
    <row r="598">
      <c r="A598" s="14"/>
      <c r="B598" s="14"/>
      <c r="C598" s="14"/>
      <c r="D598" s="14"/>
      <c r="E598" s="14"/>
      <c r="F598" s="14"/>
      <c r="G598" s="14"/>
      <c r="L598" s="142"/>
    </row>
    <row r="599">
      <c r="A599" s="14"/>
      <c r="B599" s="14"/>
      <c r="C599" s="14"/>
      <c r="D599" s="14"/>
      <c r="E599" s="14"/>
      <c r="F599" s="14"/>
      <c r="G599" s="14"/>
      <c r="L599" s="142"/>
    </row>
    <row r="600">
      <c r="A600" s="14"/>
      <c r="B600" s="14"/>
      <c r="C600" s="14"/>
      <c r="D600" s="14"/>
      <c r="E600" s="14"/>
      <c r="F600" s="14"/>
      <c r="G600" s="14"/>
      <c r="L600" s="142"/>
    </row>
    <row r="601">
      <c r="A601" s="14"/>
      <c r="B601" s="14"/>
      <c r="C601" s="14"/>
      <c r="D601" s="14"/>
      <c r="E601" s="14"/>
      <c r="F601" s="14"/>
      <c r="G601" s="14"/>
      <c r="L601" s="142"/>
    </row>
    <row r="602">
      <c r="A602" s="14"/>
      <c r="B602" s="14"/>
      <c r="C602" s="14"/>
      <c r="D602" s="14"/>
      <c r="E602" s="14"/>
      <c r="F602" s="14"/>
      <c r="G602" s="14"/>
      <c r="L602" s="142"/>
    </row>
    <row r="603">
      <c r="A603" s="14"/>
      <c r="B603" s="14"/>
      <c r="C603" s="14"/>
      <c r="D603" s="14"/>
      <c r="E603" s="14"/>
      <c r="F603" s="14"/>
      <c r="G603" s="14"/>
      <c r="L603" s="142"/>
    </row>
    <row r="604">
      <c r="A604" s="14"/>
      <c r="B604" s="14"/>
      <c r="C604" s="14"/>
      <c r="D604" s="14"/>
      <c r="E604" s="14"/>
      <c r="F604" s="14"/>
      <c r="G604" s="14"/>
      <c r="L604" s="142"/>
    </row>
    <row r="605">
      <c r="A605" s="14"/>
      <c r="B605" s="14"/>
      <c r="C605" s="14"/>
      <c r="D605" s="14"/>
      <c r="E605" s="14"/>
      <c r="F605" s="14"/>
      <c r="G605" s="14"/>
      <c r="L605" s="142"/>
    </row>
    <row r="606">
      <c r="A606" s="14"/>
      <c r="B606" s="14"/>
      <c r="C606" s="14"/>
      <c r="D606" s="14"/>
      <c r="E606" s="14"/>
      <c r="F606" s="14"/>
      <c r="G606" s="14"/>
      <c r="L606" s="142"/>
    </row>
    <row r="607">
      <c r="A607" s="14"/>
      <c r="B607" s="14"/>
      <c r="C607" s="14"/>
      <c r="D607" s="14"/>
      <c r="E607" s="14"/>
      <c r="F607" s="14"/>
      <c r="G607" s="14"/>
      <c r="L607" s="142"/>
    </row>
    <row r="608">
      <c r="A608" s="14"/>
      <c r="B608" s="14"/>
      <c r="C608" s="14"/>
      <c r="D608" s="14"/>
      <c r="E608" s="14"/>
      <c r="F608" s="14"/>
      <c r="G608" s="14"/>
      <c r="L608" s="142"/>
    </row>
    <row r="609">
      <c r="A609" s="14"/>
      <c r="B609" s="14"/>
      <c r="C609" s="14"/>
      <c r="D609" s="14"/>
      <c r="E609" s="14"/>
      <c r="F609" s="14"/>
      <c r="G609" s="14"/>
      <c r="L609" s="142"/>
    </row>
    <row r="610">
      <c r="A610" s="14"/>
      <c r="B610" s="14"/>
      <c r="C610" s="14"/>
      <c r="D610" s="14"/>
      <c r="E610" s="14"/>
      <c r="F610" s="14"/>
      <c r="G610" s="14"/>
      <c r="L610" s="142"/>
    </row>
    <row r="611">
      <c r="A611" s="14"/>
      <c r="B611" s="14"/>
      <c r="C611" s="14"/>
      <c r="D611" s="14"/>
      <c r="E611" s="14"/>
      <c r="F611" s="14"/>
      <c r="G611" s="14"/>
      <c r="L611" s="142"/>
    </row>
    <row r="612">
      <c r="A612" s="14"/>
      <c r="B612" s="14"/>
      <c r="C612" s="14"/>
      <c r="D612" s="14"/>
      <c r="E612" s="14"/>
      <c r="F612" s="14"/>
      <c r="G612" s="14"/>
      <c r="L612" s="142"/>
    </row>
    <row r="613">
      <c r="A613" s="14"/>
      <c r="B613" s="14"/>
      <c r="C613" s="14"/>
      <c r="D613" s="14"/>
      <c r="E613" s="14"/>
      <c r="F613" s="14"/>
      <c r="G613" s="14"/>
      <c r="L613" s="142"/>
    </row>
    <row r="614">
      <c r="A614" s="14"/>
      <c r="B614" s="14"/>
      <c r="C614" s="14"/>
      <c r="D614" s="14"/>
      <c r="E614" s="14"/>
      <c r="F614" s="14"/>
      <c r="G614" s="14"/>
      <c r="L614" s="142"/>
    </row>
    <row r="615">
      <c r="A615" s="14"/>
      <c r="B615" s="14"/>
      <c r="C615" s="14"/>
      <c r="D615" s="14"/>
      <c r="E615" s="14"/>
      <c r="F615" s="14"/>
      <c r="G615" s="14"/>
      <c r="L615" s="142"/>
    </row>
    <row r="616">
      <c r="A616" s="14"/>
      <c r="B616" s="14"/>
      <c r="C616" s="14"/>
      <c r="D616" s="14"/>
      <c r="E616" s="14"/>
      <c r="F616" s="14"/>
      <c r="G616" s="14"/>
      <c r="L616" s="142"/>
    </row>
    <row r="617">
      <c r="A617" s="14"/>
      <c r="B617" s="14"/>
      <c r="C617" s="14"/>
      <c r="D617" s="14"/>
      <c r="E617" s="14"/>
      <c r="F617" s="14"/>
      <c r="G617" s="14"/>
      <c r="L617" s="142"/>
    </row>
    <row r="618">
      <c r="A618" s="14"/>
      <c r="B618" s="14"/>
      <c r="C618" s="14"/>
      <c r="D618" s="14"/>
      <c r="E618" s="14"/>
      <c r="F618" s="14"/>
      <c r="G618" s="14"/>
      <c r="L618" s="142"/>
    </row>
    <row r="619">
      <c r="A619" s="14"/>
      <c r="B619" s="14"/>
      <c r="C619" s="14"/>
      <c r="D619" s="14"/>
      <c r="E619" s="14"/>
      <c r="F619" s="14"/>
      <c r="G619" s="14"/>
      <c r="L619" s="142"/>
    </row>
    <row r="620">
      <c r="A620" s="14"/>
      <c r="B620" s="14"/>
      <c r="C620" s="14"/>
      <c r="D620" s="14"/>
      <c r="E620" s="14"/>
      <c r="F620" s="14"/>
      <c r="G620" s="14"/>
      <c r="L620" s="142"/>
    </row>
    <row r="621">
      <c r="A621" s="14"/>
      <c r="B621" s="14"/>
      <c r="C621" s="14"/>
      <c r="D621" s="14"/>
      <c r="E621" s="14"/>
      <c r="F621" s="14"/>
      <c r="G621" s="14"/>
      <c r="L621" s="142"/>
    </row>
    <row r="622">
      <c r="A622" s="14"/>
      <c r="B622" s="14"/>
      <c r="C622" s="14"/>
      <c r="D622" s="14"/>
      <c r="E622" s="14"/>
      <c r="F622" s="14"/>
      <c r="G622" s="14"/>
      <c r="L622" s="142"/>
    </row>
    <row r="623">
      <c r="A623" s="14"/>
      <c r="B623" s="14"/>
      <c r="C623" s="14"/>
      <c r="D623" s="14"/>
      <c r="E623" s="14"/>
      <c r="F623" s="14"/>
      <c r="G623" s="14"/>
      <c r="L623" s="142"/>
    </row>
    <row r="624">
      <c r="A624" s="14"/>
      <c r="B624" s="14"/>
      <c r="C624" s="14"/>
      <c r="D624" s="14"/>
      <c r="E624" s="14"/>
      <c r="F624" s="14"/>
      <c r="G624" s="14"/>
      <c r="L624" s="142"/>
    </row>
    <row r="625">
      <c r="A625" s="14"/>
      <c r="B625" s="14"/>
      <c r="C625" s="14"/>
      <c r="D625" s="14"/>
      <c r="E625" s="14"/>
      <c r="F625" s="14"/>
      <c r="G625" s="14"/>
      <c r="L625" s="142"/>
    </row>
    <row r="626">
      <c r="A626" s="14"/>
      <c r="B626" s="14"/>
      <c r="C626" s="14"/>
      <c r="D626" s="14"/>
      <c r="E626" s="14"/>
      <c r="F626" s="14"/>
      <c r="G626" s="14"/>
      <c r="L626" s="142"/>
    </row>
    <row r="627">
      <c r="A627" s="14"/>
      <c r="B627" s="14"/>
      <c r="C627" s="14"/>
      <c r="D627" s="14"/>
      <c r="E627" s="14"/>
      <c r="F627" s="14"/>
      <c r="G627" s="14"/>
      <c r="L627" s="142"/>
    </row>
    <row r="628">
      <c r="A628" s="14"/>
      <c r="B628" s="14"/>
      <c r="C628" s="14"/>
      <c r="D628" s="14"/>
      <c r="E628" s="14"/>
      <c r="F628" s="14"/>
      <c r="G628" s="14"/>
      <c r="L628" s="142"/>
    </row>
    <row r="629">
      <c r="A629" s="14"/>
      <c r="B629" s="14"/>
      <c r="C629" s="14"/>
      <c r="D629" s="14"/>
      <c r="E629" s="14"/>
      <c r="F629" s="14"/>
      <c r="G629" s="14"/>
      <c r="L629" s="142"/>
    </row>
    <row r="630">
      <c r="A630" s="14"/>
      <c r="B630" s="14"/>
      <c r="C630" s="14"/>
      <c r="D630" s="14"/>
      <c r="E630" s="14"/>
      <c r="F630" s="14"/>
      <c r="G630" s="14"/>
      <c r="L630" s="142"/>
    </row>
    <row r="631">
      <c r="A631" s="14"/>
      <c r="B631" s="14"/>
      <c r="C631" s="14"/>
      <c r="D631" s="14"/>
      <c r="E631" s="14"/>
      <c r="F631" s="14"/>
      <c r="G631" s="14"/>
      <c r="L631" s="142"/>
    </row>
    <row r="632">
      <c r="A632" s="14"/>
      <c r="B632" s="14"/>
      <c r="C632" s="14"/>
      <c r="D632" s="14"/>
      <c r="E632" s="14"/>
      <c r="F632" s="14"/>
      <c r="G632" s="14"/>
      <c r="L632" s="142"/>
    </row>
    <row r="633">
      <c r="A633" s="14"/>
      <c r="B633" s="14"/>
      <c r="C633" s="14"/>
      <c r="D633" s="14"/>
      <c r="E633" s="14"/>
      <c r="F633" s="14"/>
      <c r="G633" s="14"/>
      <c r="L633" s="142"/>
    </row>
    <row r="634">
      <c r="A634" s="14"/>
      <c r="B634" s="14"/>
      <c r="C634" s="14"/>
      <c r="D634" s="14"/>
      <c r="E634" s="14"/>
      <c r="F634" s="14"/>
      <c r="G634" s="14"/>
      <c r="L634" s="142"/>
    </row>
    <row r="635">
      <c r="A635" s="14"/>
      <c r="B635" s="14"/>
      <c r="C635" s="14"/>
      <c r="D635" s="14"/>
      <c r="E635" s="14"/>
      <c r="F635" s="14"/>
      <c r="G635" s="14"/>
      <c r="L635" s="142"/>
    </row>
    <row r="636">
      <c r="A636" s="14"/>
      <c r="B636" s="14"/>
      <c r="C636" s="14"/>
      <c r="D636" s="14"/>
      <c r="E636" s="14"/>
      <c r="F636" s="14"/>
      <c r="G636" s="14"/>
      <c r="L636" s="142"/>
    </row>
    <row r="637">
      <c r="A637" s="14"/>
      <c r="B637" s="14"/>
      <c r="C637" s="14"/>
      <c r="D637" s="14"/>
      <c r="E637" s="14"/>
      <c r="F637" s="14"/>
      <c r="G637" s="14"/>
      <c r="L637" s="142"/>
    </row>
    <row r="638">
      <c r="A638" s="14"/>
      <c r="B638" s="14"/>
      <c r="C638" s="14"/>
      <c r="D638" s="14"/>
      <c r="E638" s="14"/>
      <c r="F638" s="14"/>
      <c r="G638" s="14"/>
      <c r="L638" s="142"/>
    </row>
    <row r="639">
      <c r="A639" s="14"/>
      <c r="B639" s="14"/>
      <c r="C639" s="14"/>
      <c r="D639" s="14"/>
      <c r="E639" s="14"/>
      <c r="F639" s="14"/>
      <c r="G639" s="14"/>
      <c r="L639" s="142"/>
    </row>
    <row r="640">
      <c r="A640" s="14"/>
      <c r="B640" s="14"/>
      <c r="C640" s="14"/>
      <c r="D640" s="14"/>
      <c r="E640" s="14"/>
      <c r="F640" s="14"/>
      <c r="G640" s="14"/>
      <c r="L640" s="142"/>
    </row>
    <row r="641">
      <c r="A641" s="14"/>
      <c r="B641" s="14"/>
      <c r="C641" s="14"/>
      <c r="D641" s="14"/>
      <c r="E641" s="14"/>
      <c r="F641" s="14"/>
      <c r="G641" s="14"/>
      <c r="L641" s="142"/>
    </row>
    <row r="642">
      <c r="A642" s="14"/>
      <c r="B642" s="14"/>
      <c r="C642" s="14"/>
      <c r="D642" s="14"/>
      <c r="E642" s="14"/>
      <c r="F642" s="14"/>
      <c r="G642" s="14"/>
      <c r="L642" s="142"/>
    </row>
    <row r="643">
      <c r="A643" s="14"/>
      <c r="B643" s="14"/>
      <c r="C643" s="14"/>
      <c r="D643" s="14"/>
      <c r="E643" s="14"/>
      <c r="F643" s="14"/>
      <c r="G643" s="14"/>
      <c r="L643" s="142"/>
    </row>
    <row r="644">
      <c r="A644" s="14"/>
      <c r="B644" s="14"/>
      <c r="C644" s="14"/>
      <c r="D644" s="14"/>
      <c r="E644" s="14"/>
      <c r="F644" s="14"/>
      <c r="G644" s="14"/>
      <c r="L644" s="142"/>
    </row>
    <row r="645">
      <c r="A645" s="14"/>
      <c r="B645" s="14"/>
      <c r="C645" s="14"/>
      <c r="D645" s="14"/>
      <c r="E645" s="14"/>
      <c r="F645" s="14"/>
      <c r="G645" s="14"/>
      <c r="L645" s="142"/>
    </row>
    <row r="646">
      <c r="A646" s="14"/>
      <c r="B646" s="14"/>
      <c r="C646" s="14"/>
      <c r="D646" s="14"/>
      <c r="E646" s="14"/>
      <c r="F646" s="14"/>
      <c r="G646" s="14"/>
      <c r="L646" s="142"/>
    </row>
    <row r="647">
      <c r="A647" s="14"/>
      <c r="B647" s="14"/>
      <c r="C647" s="14"/>
      <c r="D647" s="14"/>
      <c r="E647" s="14"/>
      <c r="F647" s="14"/>
      <c r="G647" s="14"/>
      <c r="L647" s="142"/>
    </row>
    <row r="648">
      <c r="A648" s="14"/>
      <c r="B648" s="14"/>
      <c r="C648" s="14"/>
      <c r="D648" s="14"/>
      <c r="E648" s="14"/>
      <c r="F648" s="14"/>
      <c r="G648" s="14"/>
      <c r="L648" s="142"/>
    </row>
    <row r="649">
      <c r="A649" s="14"/>
      <c r="B649" s="14"/>
      <c r="C649" s="14"/>
      <c r="D649" s="14"/>
      <c r="E649" s="14"/>
      <c r="F649" s="14"/>
      <c r="G649" s="14"/>
      <c r="L649" s="142"/>
    </row>
    <row r="650">
      <c r="A650" s="14"/>
      <c r="B650" s="14"/>
      <c r="C650" s="14"/>
      <c r="D650" s="14"/>
      <c r="E650" s="14"/>
      <c r="F650" s="14"/>
      <c r="G650" s="14"/>
      <c r="L650" s="142"/>
    </row>
    <row r="651">
      <c r="A651" s="14"/>
      <c r="B651" s="14"/>
      <c r="C651" s="14"/>
      <c r="D651" s="14"/>
      <c r="E651" s="14"/>
      <c r="F651" s="14"/>
      <c r="G651" s="14"/>
      <c r="L651" s="142"/>
    </row>
    <row r="652">
      <c r="A652" s="14"/>
      <c r="B652" s="14"/>
      <c r="C652" s="14"/>
      <c r="D652" s="14"/>
      <c r="E652" s="14"/>
      <c r="F652" s="14"/>
      <c r="G652" s="14"/>
      <c r="L652" s="142"/>
    </row>
    <row r="653">
      <c r="A653" s="14"/>
      <c r="B653" s="14"/>
      <c r="C653" s="14"/>
      <c r="D653" s="14"/>
      <c r="E653" s="14"/>
      <c r="F653" s="14"/>
      <c r="G653" s="14"/>
      <c r="L653" s="142"/>
    </row>
    <row r="654">
      <c r="A654" s="14"/>
      <c r="B654" s="14"/>
      <c r="C654" s="14"/>
      <c r="D654" s="14"/>
      <c r="E654" s="14"/>
      <c r="F654" s="14"/>
      <c r="G654" s="14"/>
      <c r="L654" s="142"/>
    </row>
    <row r="655">
      <c r="A655" s="14"/>
      <c r="B655" s="14"/>
      <c r="C655" s="14"/>
      <c r="D655" s="14"/>
      <c r="E655" s="14"/>
      <c r="F655" s="14"/>
      <c r="G655" s="14"/>
      <c r="L655" s="142"/>
    </row>
    <row r="656">
      <c r="A656" s="14"/>
      <c r="B656" s="14"/>
      <c r="C656" s="14"/>
      <c r="D656" s="14"/>
      <c r="E656" s="14"/>
      <c r="F656" s="14"/>
      <c r="G656" s="14"/>
      <c r="L656" s="142"/>
    </row>
    <row r="657">
      <c r="A657" s="14"/>
      <c r="B657" s="14"/>
      <c r="C657" s="14"/>
      <c r="D657" s="14"/>
      <c r="E657" s="14"/>
      <c r="F657" s="14"/>
      <c r="G657" s="14"/>
      <c r="L657" s="142"/>
    </row>
    <row r="658">
      <c r="A658" s="14"/>
      <c r="B658" s="14"/>
      <c r="C658" s="14"/>
      <c r="D658" s="14"/>
      <c r="E658" s="14"/>
      <c r="F658" s="14"/>
      <c r="G658" s="14"/>
      <c r="L658" s="142"/>
    </row>
    <row r="659">
      <c r="A659" s="14"/>
      <c r="B659" s="14"/>
      <c r="C659" s="14"/>
      <c r="D659" s="14"/>
      <c r="E659" s="14"/>
      <c r="F659" s="14"/>
      <c r="G659" s="14"/>
      <c r="L659" s="142"/>
    </row>
    <row r="660">
      <c r="A660" s="14"/>
      <c r="B660" s="14"/>
      <c r="C660" s="14"/>
      <c r="D660" s="14"/>
      <c r="E660" s="14"/>
      <c r="F660" s="14"/>
      <c r="G660" s="14"/>
      <c r="L660" s="142"/>
    </row>
    <row r="661">
      <c r="A661" s="14"/>
      <c r="B661" s="14"/>
      <c r="C661" s="14"/>
      <c r="D661" s="14"/>
      <c r="E661" s="14"/>
      <c r="F661" s="14"/>
      <c r="G661" s="14"/>
      <c r="L661" s="142"/>
    </row>
    <row r="662">
      <c r="A662" s="14"/>
      <c r="B662" s="14"/>
      <c r="C662" s="14"/>
      <c r="D662" s="14"/>
      <c r="E662" s="14"/>
      <c r="F662" s="14"/>
      <c r="G662" s="14"/>
      <c r="L662" s="142"/>
    </row>
    <row r="663">
      <c r="A663" s="14"/>
      <c r="B663" s="14"/>
      <c r="C663" s="14"/>
      <c r="D663" s="14"/>
      <c r="E663" s="14"/>
      <c r="F663" s="14"/>
      <c r="G663" s="14"/>
      <c r="L663" s="142"/>
    </row>
    <row r="664">
      <c r="A664" s="14"/>
      <c r="B664" s="14"/>
      <c r="C664" s="14"/>
      <c r="D664" s="14"/>
      <c r="E664" s="14"/>
      <c r="F664" s="14"/>
      <c r="G664" s="14"/>
      <c r="L664" s="142"/>
    </row>
    <row r="665">
      <c r="A665" s="14"/>
      <c r="B665" s="14"/>
      <c r="C665" s="14"/>
      <c r="D665" s="14"/>
      <c r="E665" s="14"/>
      <c r="F665" s="14"/>
      <c r="G665" s="14"/>
      <c r="L665" s="142"/>
    </row>
    <row r="666">
      <c r="A666" s="14"/>
      <c r="B666" s="14"/>
      <c r="C666" s="14"/>
      <c r="D666" s="14"/>
      <c r="E666" s="14"/>
      <c r="F666" s="14"/>
      <c r="G666" s="14"/>
      <c r="L666" s="142"/>
    </row>
    <row r="667">
      <c r="A667" s="14"/>
      <c r="B667" s="14"/>
      <c r="C667" s="14"/>
      <c r="D667" s="14"/>
      <c r="E667" s="14"/>
      <c r="F667" s="14"/>
      <c r="G667" s="14"/>
      <c r="L667" s="142"/>
    </row>
    <row r="668">
      <c r="A668" s="14"/>
      <c r="B668" s="14"/>
      <c r="C668" s="14"/>
      <c r="D668" s="14"/>
      <c r="E668" s="14"/>
      <c r="F668" s="14"/>
      <c r="G668" s="14"/>
      <c r="L668" s="142"/>
    </row>
    <row r="669">
      <c r="A669" s="14"/>
      <c r="B669" s="14"/>
      <c r="C669" s="14"/>
      <c r="D669" s="14"/>
      <c r="E669" s="14"/>
      <c r="F669" s="14"/>
      <c r="G669" s="14"/>
      <c r="L669" s="142"/>
    </row>
    <row r="670">
      <c r="A670" s="14"/>
      <c r="B670" s="14"/>
      <c r="C670" s="14"/>
      <c r="D670" s="14"/>
      <c r="E670" s="14"/>
      <c r="F670" s="14"/>
      <c r="G670" s="14"/>
      <c r="L670" s="142"/>
    </row>
    <row r="671">
      <c r="A671" s="14"/>
      <c r="B671" s="14"/>
      <c r="C671" s="14"/>
      <c r="D671" s="14"/>
      <c r="E671" s="14"/>
      <c r="F671" s="14"/>
      <c r="G671" s="14"/>
      <c r="L671" s="142"/>
    </row>
    <row r="672">
      <c r="A672" s="14"/>
      <c r="B672" s="14"/>
      <c r="C672" s="14"/>
      <c r="D672" s="14"/>
      <c r="E672" s="14"/>
      <c r="F672" s="14"/>
      <c r="G672" s="14"/>
      <c r="L672" s="142"/>
    </row>
    <row r="673">
      <c r="A673" s="14"/>
      <c r="B673" s="14"/>
      <c r="C673" s="14"/>
      <c r="D673" s="14"/>
      <c r="E673" s="14"/>
      <c r="F673" s="14"/>
      <c r="G673" s="14"/>
      <c r="L673" s="142"/>
    </row>
    <row r="674">
      <c r="A674" s="14"/>
      <c r="B674" s="14"/>
      <c r="C674" s="14"/>
      <c r="D674" s="14"/>
      <c r="E674" s="14"/>
      <c r="F674" s="14"/>
      <c r="G674" s="14"/>
      <c r="L674" s="142"/>
    </row>
    <row r="675">
      <c r="A675" s="14"/>
      <c r="B675" s="14"/>
      <c r="C675" s="14"/>
      <c r="D675" s="14"/>
      <c r="E675" s="14"/>
      <c r="F675" s="14"/>
      <c r="G675" s="14"/>
      <c r="L675" s="142"/>
    </row>
    <row r="676">
      <c r="A676" s="14"/>
      <c r="B676" s="14"/>
      <c r="C676" s="14"/>
      <c r="D676" s="14"/>
      <c r="E676" s="14"/>
      <c r="F676" s="14"/>
      <c r="G676" s="14"/>
      <c r="L676" s="142"/>
    </row>
    <row r="677">
      <c r="A677" s="14"/>
      <c r="B677" s="14"/>
      <c r="C677" s="14"/>
      <c r="D677" s="14"/>
      <c r="E677" s="14"/>
      <c r="F677" s="14"/>
      <c r="G677" s="14"/>
      <c r="L677" s="142"/>
    </row>
    <row r="678">
      <c r="A678" s="14"/>
      <c r="B678" s="14"/>
      <c r="C678" s="14"/>
      <c r="D678" s="14"/>
      <c r="E678" s="14"/>
      <c r="F678" s="14"/>
      <c r="G678" s="14"/>
      <c r="L678" s="142"/>
    </row>
    <row r="679">
      <c r="A679" s="14"/>
      <c r="B679" s="14"/>
      <c r="C679" s="14"/>
      <c r="D679" s="14"/>
      <c r="E679" s="14"/>
      <c r="F679" s="14"/>
      <c r="G679" s="14"/>
      <c r="L679" s="142"/>
    </row>
    <row r="680">
      <c r="A680" s="14"/>
      <c r="B680" s="14"/>
      <c r="C680" s="14"/>
      <c r="D680" s="14"/>
      <c r="E680" s="14"/>
      <c r="F680" s="14"/>
      <c r="G680" s="14"/>
      <c r="L680" s="142"/>
    </row>
    <row r="681">
      <c r="A681" s="14"/>
      <c r="B681" s="14"/>
      <c r="C681" s="14"/>
      <c r="D681" s="14"/>
      <c r="E681" s="14"/>
      <c r="F681" s="14"/>
      <c r="G681" s="14"/>
      <c r="L681" s="142"/>
    </row>
    <row r="682">
      <c r="A682" s="14"/>
      <c r="B682" s="14"/>
      <c r="C682" s="14"/>
      <c r="D682" s="14"/>
      <c r="E682" s="14"/>
      <c r="F682" s="14"/>
      <c r="G682" s="14"/>
      <c r="L682" s="142"/>
    </row>
    <row r="683">
      <c r="A683" s="14"/>
      <c r="B683" s="14"/>
      <c r="C683" s="14"/>
      <c r="D683" s="14"/>
      <c r="E683" s="14"/>
      <c r="F683" s="14"/>
      <c r="G683" s="14"/>
      <c r="L683" s="142"/>
    </row>
    <row r="684">
      <c r="A684" s="14"/>
      <c r="B684" s="14"/>
      <c r="C684" s="14"/>
      <c r="D684" s="14"/>
      <c r="E684" s="14"/>
      <c r="F684" s="14"/>
      <c r="G684" s="14"/>
      <c r="L684" s="142"/>
    </row>
    <row r="685">
      <c r="A685" s="14"/>
      <c r="B685" s="14"/>
      <c r="C685" s="14"/>
      <c r="D685" s="14"/>
      <c r="E685" s="14"/>
      <c r="F685" s="14"/>
      <c r="G685" s="14"/>
      <c r="L685" s="142"/>
    </row>
    <row r="686">
      <c r="A686" s="14"/>
      <c r="B686" s="14"/>
      <c r="C686" s="14"/>
      <c r="D686" s="14"/>
      <c r="E686" s="14"/>
      <c r="F686" s="14"/>
      <c r="G686" s="14"/>
      <c r="L686" s="142"/>
    </row>
    <row r="687">
      <c r="A687" s="14"/>
      <c r="B687" s="14"/>
      <c r="C687" s="14"/>
      <c r="D687" s="14"/>
      <c r="E687" s="14"/>
      <c r="F687" s="14"/>
      <c r="G687" s="14"/>
      <c r="L687" s="142"/>
    </row>
    <row r="688">
      <c r="A688" s="14"/>
      <c r="B688" s="14"/>
      <c r="C688" s="14"/>
      <c r="D688" s="14"/>
      <c r="E688" s="14"/>
      <c r="F688" s="14"/>
      <c r="G688" s="14"/>
      <c r="L688" s="142"/>
    </row>
    <row r="689">
      <c r="A689" s="14"/>
      <c r="B689" s="14"/>
      <c r="C689" s="14"/>
      <c r="D689" s="14"/>
      <c r="E689" s="14"/>
      <c r="F689" s="14"/>
      <c r="G689" s="14"/>
      <c r="L689" s="142"/>
    </row>
    <row r="690">
      <c r="A690" s="14"/>
      <c r="B690" s="14"/>
      <c r="C690" s="14"/>
      <c r="D690" s="14"/>
      <c r="E690" s="14"/>
      <c r="F690" s="14"/>
      <c r="G690" s="14"/>
      <c r="L690" s="142"/>
    </row>
    <row r="691">
      <c r="A691" s="14"/>
      <c r="B691" s="14"/>
      <c r="C691" s="14"/>
      <c r="D691" s="14"/>
      <c r="E691" s="14"/>
      <c r="F691" s="14"/>
      <c r="G691" s="14"/>
      <c r="L691" s="142"/>
    </row>
    <row r="692">
      <c r="A692" s="14"/>
      <c r="B692" s="14"/>
      <c r="C692" s="14"/>
      <c r="D692" s="14"/>
      <c r="E692" s="14"/>
      <c r="F692" s="14"/>
      <c r="G692" s="14"/>
      <c r="L692" s="142"/>
    </row>
    <row r="693">
      <c r="A693" s="14"/>
      <c r="B693" s="14"/>
      <c r="C693" s="14"/>
      <c r="D693" s="14"/>
      <c r="E693" s="14"/>
      <c r="F693" s="14"/>
      <c r="G693" s="14"/>
      <c r="L693" s="142"/>
    </row>
    <row r="694">
      <c r="A694" s="14"/>
      <c r="B694" s="14"/>
      <c r="C694" s="14"/>
      <c r="D694" s="14"/>
      <c r="E694" s="14"/>
      <c r="F694" s="14"/>
      <c r="G694" s="14"/>
      <c r="L694" s="142"/>
    </row>
    <row r="695">
      <c r="A695" s="14"/>
      <c r="B695" s="14"/>
      <c r="C695" s="14"/>
      <c r="D695" s="14"/>
      <c r="E695" s="14"/>
      <c r="F695" s="14"/>
      <c r="G695" s="14"/>
      <c r="L695" s="142"/>
    </row>
    <row r="696">
      <c r="A696" s="14"/>
      <c r="B696" s="14"/>
      <c r="C696" s="14"/>
      <c r="D696" s="14"/>
      <c r="E696" s="14"/>
      <c r="F696" s="14"/>
      <c r="G696" s="14"/>
      <c r="L696" s="142"/>
    </row>
    <row r="697">
      <c r="A697" s="14"/>
      <c r="B697" s="14"/>
      <c r="C697" s="14"/>
      <c r="D697" s="14"/>
      <c r="E697" s="14"/>
      <c r="F697" s="14"/>
      <c r="G697" s="14"/>
      <c r="L697" s="142"/>
    </row>
    <row r="698">
      <c r="A698" s="14"/>
      <c r="B698" s="14"/>
      <c r="C698" s="14"/>
      <c r="D698" s="14"/>
      <c r="E698" s="14"/>
      <c r="F698" s="14"/>
      <c r="G698" s="14"/>
      <c r="L698" s="142"/>
    </row>
    <row r="699">
      <c r="A699" s="14"/>
      <c r="B699" s="14"/>
      <c r="C699" s="14"/>
      <c r="D699" s="14"/>
      <c r="E699" s="14"/>
      <c r="F699" s="14"/>
      <c r="G699" s="14"/>
      <c r="L699" s="142"/>
    </row>
    <row r="700">
      <c r="A700" s="14"/>
      <c r="B700" s="14"/>
      <c r="C700" s="14"/>
      <c r="D700" s="14"/>
      <c r="E700" s="14"/>
      <c r="F700" s="14"/>
      <c r="G700" s="14"/>
      <c r="L700" s="142"/>
    </row>
    <row r="701">
      <c r="A701" s="14"/>
      <c r="B701" s="14"/>
      <c r="C701" s="14"/>
      <c r="D701" s="14"/>
      <c r="E701" s="14"/>
      <c r="F701" s="14"/>
      <c r="G701" s="14"/>
      <c r="L701" s="142"/>
    </row>
    <row r="702">
      <c r="A702" s="14"/>
      <c r="B702" s="14"/>
      <c r="C702" s="14"/>
      <c r="D702" s="14"/>
      <c r="E702" s="14"/>
      <c r="F702" s="14"/>
      <c r="G702" s="14"/>
      <c r="L702" s="142"/>
    </row>
    <row r="703">
      <c r="A703" s="14"/>
      <c r="B703" s="14"/>
      <c r="C703" s="14"/>
      <c r="D703" s="14"/>
      <c r="E703" s="14"/>
      <c r="F703" s="14"/>
      <c r="G703" s="14"/>
      <c r="L703" s="142"/>
    </row>
    <row r="704">
      <c r="A704" s="14"/>
      <c r="B704" s="14"/>
      <c r="C704" s="14"/>
      <c r="D704" s="14"/>
      <c r="E704" s="14"/>
      <c r="F704" s="14"/>
      <c r="G704" s="14"/>
      <c r="L704" s="142"/>
    </row>
    <row r="705">
      <c r="A705" s="14"/>
      <c r="B705" s="14"/>
      <c r="C705" s="14"/>
      <c r="D705" s="14"/>
      <c r="E705" s="14"/>
      <c r="F705" s="14"/>
      <c r="G705" s="14"/>
      <c r="L705" s="142"/>
    </row>
    <row r="706">
      <c r="A706" s="14"/>
      <c r="B706" s="14"/>
      <c r="C706" s="14"/>
      <c r="D706" s="14"/>
      <c r="E706" s="14"/>
      <c r="F706" s="14"/>
      <c r="G706" s="14"/>
      <c r="L706" s="142"/>
    </row>
    <row r="707">
      <c r="A707" s="14"/>
      <c r="B707" s="14"/>
      <c r="C707" s="14"/>
      <c r="D707" s="14"/>
      <c r="E707" s="14"/>
      <c r="F707" s="14"/>
      <c r="G707" s="14"/>
      <c r="L707" s="142"/>
    </row>
    <row r="708">
      <c r="A708" s="14"/>
      <c r="B708" s="14"/>
      <c r="C708" s="14"/>
      <c r="D708" s="14"/>
      <c r="E708" s="14"/>
      <c r="F708" s="14"/>
      <c r="G708" s="14"/>
      <c r="L708" s="142"/>
    </row>
    <row r="709">
      <c r="A709" s="14"/>
      <c r="B709" s="14"/>
      <c r="C709" s="14"/>
      <c r="D709" s="14"/>
      <c r="E709" s="14"/>
      <c r="F709" s="14"/>
      <c r="G709" s="14"/>
      <c r="L709" s="142"/>
    </row>
    <row r="710">
      <c r="A710" s="14"/>
      <c r="B710" s="14"/>
      <c r="C710" s="14"/>
      <c r="D710" s="14"/>
      <c r="E710" s="14"/>
      <c r="F710" s="14"/>
      <c r="G710" s="14"/>
      <c r="L710" s="142"/>
    </row>
    <row r="711">
      <c r="A711" s="14"/>
      <c r="B711" s="14"/>
      <c r="C711" s="14"/>
      <c r="D711" s="14"/>
      <c r="E711" s="14"/>
      <c r="F711" s="14"/>
      <c r="G711" s="14"/>
      <c r="L711" s="142"/>
    </row>
    <row r="712">
      <c r="A712" s="14"/>
      <c r="B712" s="14"/>
      <c r="C712" s="14"/>
      <c r="D712" s="14"/>
      <c r="E712" s="14"/>
      <c r="F712" s="14"/>
      <c r="G712" s="14"/>
      <c r="L712" s="142"/>
    </row>
    <row r="713">
      <c r="A713" s="14"/>
      <c r="B713" s="14"/>
      <c r="C713" s="14"/>
      <c r="D713" s="14"/>
      <c r="E713" s="14"/>
      <c r="F713" s="14"/>
      <c r="G713" s="14"/>
      <c r="L713" s="142"/>
    </row>
    <row r="714">
      <c r="A714" s="14"/>
      <c r="B714" s="14"/>
      <c r="C714" s="14"/>
      <c r="D714" s="14"/>
      <c r="E714" s="14"/>
      <c r="F714" s="14"/>
      <c r="G714" s="14"/>
      <c r="L714" s="142"/>
    </row>
    <row r="715">
      <c r="A715" s="14"/>
      <c r="B715" s="14"/>
      <c r="C715" s="14"/>
      <c r="D715" s="14"/>
      <c r="E715" s="14"/>
      <c r="F715" s="14"/>
      <c r="G715" s="14"/>
      <c r="L715" s="142"/>
    </row>
    <row r="716">
      <c r="A716" s="14"/>
      <c r="B716" s="14"/>
      <c r="C716" s="14"/>
      <c r="D716" s="14"/>
      <c r="E716" s="14"/>
      <c r="F716" s="14"/>
      <c r="G716" s="14"/>
      <c r="L716" s="142"/>
    </row>
    <row r="717">
      <c r="A717" s="14"/>
      <c r="B717" s="14"/>
      <c r="C717" s="14"/>
      <c r="D717" s="14"/>
      <c r="E717" s="14"/>
      <c r="F717" s="14"/>
      <c r="G717" s="14"/>
      <c r="L717" s="142"/>
    </row>
    <row r="718">
      <c r="A718" s="14"/>
      <c r="B718" s="14"/>
      <c r="C718" s="14"/>
      <c r="D718" s="14"/>
      <c r="E718" s="14"/>
      <c r="F718" s="14"/>
      <c r="G718" s="14"/>
      <c r="L718" s="142"/>
    </row>
    <row r="719">
      <c r="A719" s="14"/>
      <c r="B719" s="14"/>
      <c r="C719" s="14"/>
      <c r="D719" s="14"/>
      <c r="E719" s="14"/>
      <c r="F719" s="14"/>
      <c r="G719" s="14"/>
      <c r="L719" s="142"/>
    </row>
    <row r="720">
      <c r="A720" s="14"/>
      <c r="B720" s="14"/>
      <c r="C720" s="14"/>
      <c r="D720" s="14"/>
      <c r="E720" s="14"/>
      <c r="F720" s="14"/>
      <c r="G720" s="14"/>
      <c r="L720" s="142"/>
    </row>
    <row r="721">
      <c r="A721" s="14"/>
      <c r="B721" s="14"/>
      <c r="C721" s="14"/>
      <c r="D721" s="14"/>
      <c r="E721" s="14"/>
      <c r="F721" s="14"/>
      <c r="G721" s="14"/>
      <c r="L721" s="142"/>
    </row>
    <row r="722">
      <c r="A722" s="14"/>
      <c r="B722" s="14"/>
      <c r="C722" s="14"/>
      <c r="D722" s="14"/>
      <c r="E722" s="14"/>
      <c r="F722" s="14"/>
      <c r="G722" s="14"/>
      <c r="L722" s="142"/>
    </row>
    <row r="723">
      <c r="A723" s="14"/>
      <c r="B723" s="14"/>
      <c r="C723" s="14"/>
      <c r="D723" s="14"/>
      <c r="E723" s="14"/>
      <c r="F723" s="14"/>
      <c r="G723" s="14"/>
      <c r="L723" s="142"/>
    </row>
    <row r="724">
      <c r="A724" s="14"/>
      <c r="B724" s="14"/>
      <c r="C724" s="14"/>
      <c r="D724" s="14"/>
      <c r="E724" s="14"/>
      <c r="F724" s="14"/>
      <c r="G724" s="14"/>
      <c r="L724" s="142"/>
    </row>
    <row r="725">
      <c r="A725" s="14"/>
      <c r="B725" s="14"/>
      <c r="C725" s="14"/>
      <c r="D725" s="14"/>
      <c r="E725" s="14"/>
      <c r="F725" s="14"/>
      <c r="G725" s="14"/>
      <c r="L725" s="142"/>
    </row>
    <row r="726">
      <c r="A726" s="14"/>
      <c r="B726" s="14"/>
      <c r="C726" s="14"/>
      <c r="D726" s="14"/>
      <c r="E726" s="14"/>
      <c r="F726" s="14"/>
      <c r="G726" s="14"/>
      <c r="L726" s="142"/>
    </row>
    <row r="727">
      <c r="A727" s="14"/>
      <c r="B727" s="14"/>
      <c r="C727" s="14"/>
      <c r="D727" s="14"/>
      <c r="E727" s="14"/>
      <c r="F727" s="14"/>
      <c r="G727" s="14"/>
      <c r="L727" s="142"/>
    </row>
    <row r="728">
      <c r="A728" s="14"/>
      <c r="B728" s="14"/>
      <c r="C728" s="14"/>
      <c r="D728" s="14"/>
      <c r="E728" s="14"/>
      <c r="F728" s="14"/>
      <c r="G728" s="14"/>
      <c r="L728" s="142"/>
    </row>
    <row r="729">
      <c r="A729" s="14"/>
      <c r="B729" s="14"/>
      <c r="C729" s="14"/>
      <c r="D729" s="14"/>
      <c r="E729" s="14"/>
      <c r="F729" s="14"/>
      <c r="G729" s="14"/>
      <c r="L729" s="142"/>
    </row>
    <row r="730">
      <c r="A730" s="14"/>
      <c r="B730" s="14"/>
      <c r="C730" s="14"/>
      <c r="D730" s="14"/>
      <c r="E730" s="14"/>
      <c r="F730" s="14"/>
      <c r="G730" s="14"/>
      <c r="L730" s="142"/>
    </row>
    <row r="731">
      <c r="A731" s="14"/>
      <c r="B731" s="14"/>
      <c r="C731" s="14"/>
      <c r="D731" s="14"/>
      <c r="E731" s="14"/>
      <c r="F731" s="14"/>
      <c r="G731" s="14"/>
      <c r="L731" s="142"/>
    </row>
    <row r="732">
      <c r="A732" s="14"/>
      <c r="B732" s="14"/>
      <c r="C732" s="14"/>
      <c r="D732" s="14"/>
      <c r="E732" s="14"/>
      <c r="F732" s="14"/>
      <c r="G732" s="14"/>
      <c r="L732" s="142"/>
    </row>
    <row r="733">
      <c r="A733" s="14"/>
      <c r="B733" s="14"/>
      <c r="C733" s="14"/>
      <c r="D733" s="14"/>
      <c r="E733" s="14"/>
      <c r="F733" s="14"/>
      <c r="G733" s="14"/>
      <c r="L733" s="142"/>
    </row>
    <row r="734">
      <c r="A734" s="14"/>
      <c r="B734" s="14"/>
      <c r="C734" s="14"/>
      <c r="D734" s="14"/>
      <c r="E734" s="14"/>
      <c r="F734" s="14"/>
      <c r="G734" s="14"/>
      <c r="L734" s="142"/>
    </row>
    <row r="735">
      <c r="A735" s="14"/>
      <c r="B735" s="14"/>
      <c r="C735" s="14"/>
      <c r="D735" s="14"/>
      <c r="E735" s="14"/>
      <c r="F735" s="14"/>
      <c r="G735" s="14"/>
      <c r="L735" s="142"/>
    </row>
    <row r="736">
      <c r="A736" s="14"/>
      <c r="B736" s="14"/>
      <c r="C736" s="14"/>
      <c r="D736" s="14"/>
      <c r="E736" s="14"/>
      <c r="F736" s="14"/>
      <c r="G736" s="14"/>
      <c r="L736" s="142"/>
    </row>
    <row r="737">
      <c r="A737" s="14"/>
      <c r="B737" s="14"/>
      <c r="C737" s="14"/>
      <c r="D737" s="14"/>
      <c r="E737" s="14"/>
      <c r="F737" s="14"/>
      <c r="G737" s="14"/>
      <c r="L737" s="142"/>
    </row>
    <row r="738">
      <c r="A738" s="14"/>
      <c r="B738" s="14"/>
      <c r="C738" s="14"/>
      <c r="D738" s="14"/>
      <c r="E738" s="14"/>
      <c r="F738" s="14"/>
      <c r="G738" s="14"/>
      <c r="L738" s="142"/>
    </row>
    <row r="739">
      <c r="A739" s="14"/>
      <c r="B739" s="14"/>
      <c r="C739" s="14"/>
      <c r="D739" s="14"/>
      <c r="E739" s="14"/>
      <c r="F739" s="14"/>
      <c r="G739" s="14"/>
      <c r="L739" s="142"/>
    </row>
    <row r="740">
      <c r="A740" s="14"/>
      <c r="B740" s="14"/>
      <c r="C740" s="14"/>
      <c r="D740" s="14"/>
      <c r="E740" s="14"/>
      <c r="F740" s="14"/>
      <c r="G740" s="14"/>
      <c r="L740" s="142"/>
    </row>
    <row r="741">
      <c r="A741" s="14"/>
      <c r="B741" s="14"/>
      <c r="C741" s="14"/>
      <c r="D741" s="14"/>
      <c r="E741" s="14"/>
      <c r="F741" s="14"/>
      <c r="G741" s="14"/>
      <c r="L741" s="142"/>
    </row>
    <row r="742">
      <c r="A742" s="14"/>
      <c r="B742" s="14"/>
      <c r="C742" s="14"/>
      <c r="D742" s="14"/>
      <c r="E742" s="14"/>
      <c r="F742" s="14"/>
      <c r="G742" s="14"/>
      <c r="L742" s="142"/>
    </row>
    <row r="743">
      <c r="A743" s="14"/>
      <c r="B743" s="14"/>
      <c r="C743" s="14"/>
      <c r="D743" s="14"/>
      <c r="E743" s="14"/>
      <c r="F743" s="14"/>
      <c r="G743" s="14"/>
      <c r="L743" s="142"/>
    </row>
    <row r="744">
      <c r="A744" s="14"/>
      <c r="B744" s="14"/>
      <c r="C744" s="14"/>
      <c r="D744" s="14"/>
      <c r="E744" s="14"/>
      <c r="F744" s="14"/>
      <c r="G744" s="14"/>
      <c r="L744" s="142"/>
    </row>
    <row r="745">
      <c r="A745" s="14"/>
      <c r="B745" s="14"/>
      <c r="C745" s="14"/>
      <c r="D745" s="14"/>
      <c r="E745" s="14"/>
      <c r="F745" s="14"/>
      <c r="G745" s="14"/>
      <c r="L745" s="142"/>
    </row>
    <row r="746">
      <c r="A746" s="14"/>
      <c r="B746" s="14"/>
      <c r="C746" s="14"/>
      <c r="D746" s="14"/>
      <c r="E746" s="14"/>
      <c r="F746" s="14"/>
      <c r="G746" s="14"/>
      <c r="L746" s="142"/>
    </row>
    <row r="747">
      <c r="A747" s="14"/>
      <c r="B747" s="14"/>
      <c r="C747" s="14"/>
      <c r="D747" s="14"/>
      <c r="E747" s="14"/>
      <c r="F747" s="14"/>
      <c r="G747" s="14"/>
      <c r="L747" s="142"/>
    </row>
    <row r="748">
      <c r="A748" s="14"/>
      <c r="B748" s="14"/>
      <c r="C748" s="14"/>
      <c r="D748" s="14"/>
      <c r="E748" s="14"/>
      <c r="F748" s="14"/>
      <c r="G748" s="14"/>
      <c r="L748" s="142"/>
    </row>
    <row r="749">
      <c r="A749" s="14"/>
      <c r="B749" s="14"/>
      <c r="C749" s="14"/>
      <c r="D749" s="14"/>
      <c r="E749" s="14"/>
      <c r="F749" s="14"/>
      <c r="G749" s="14"/>
      <c r="L749" s="142"/>
    </row>
    <row r="750">
      <c r="A750" s="14"/>
      <c r="B750" s="14"/>
      <c r="C750" s="14"/>
      <c r="D750" s="14"/>
      <c r="E750" s="14"/>
      <c r="F750" s="14"/>
      <c r="G750" s="14"/>
      <c r="L750" s="142"/>
    </row>
    <row r="751">
      <c r="A751" s="14"/>
      <c r="B751" s="14"/>
      <c r="C751" s="14"/>
      <c r="D751" s="14"/>
      <c r="E751" s="14"/>
      <c r="F751" s="14"/>
      <c r="G751" s="14"/>
      <c r="L751" s="142"/>
    </row>
    <row r="752">
      <c r="A752" s="14"/>
      <c r="B752" s="14"/>
      <c r="C752" s="14"/>
      <c r="D752" s="14"/>
      <c r="E752" s="14"/>
      <c r="F752" s="14"/>
      <c r="G752" s="14"/>
      <c r="L752" s="142"/>
    </row>
    <row r="753">
      <c r="A753" s="14"/>
      <c r="B753" s="14"/>
      <c r="C753" s="14"/>
      <c r="D753" s="14"/>
      <c r="E753" s="14"/>
      <c r="F753" s="14"/>
      <c r="G753" s="14"/>
      <c r="L753" s="142"/>
    </row>
    <row r="754">
      <c r="A754" s="14"/>
      <c r="B754" s="14"/>
      <c r="C754" s="14"/>
      <c r="D754" s="14"/>
      <c r="E754" s="14"/>
      <c r="F754" s="14"/>
      <c r="G754" s="14"/>
      <c r="L754" s="142"/>
    </row>
    <row r="755">
      <c r="A755" s="14"/>
      <c r="B755" s="14"/>
      <c r="C755" s="14"/>
      <c r="D755" s="14"/>
      <c r="E755" s="14"/>
      <c r="F755" s="14"/>
      <c r="G755" s="14"/>
      <c r="L755" s="142"/>
    </row>
    <row r="756">
      <c r="A756" s="14"/>
      <c r="B756" s="14"/>
      <c r="C756" s="14"/>
      <c r="D756" s="14"/>
      <c r="E756" s="14"/>
      <c r="F756" s="14"/>
      <c r="G756" s="14"/>
      <c r="L756" s="142"/>
    </row>
    <row r="757">
      <c r="A757" s="14"/>
      <c r="B757" s="14"/>
      <c r="C757" s="14"/>
      <c r="D757" s="14"/>
      <c r="E757" s="14"/>
      <c r="F757" s="14"/>
      <c r="G757" s="14"/>
      <c r="L757" s="142"/>
    </row>
    <row r="758">
      <c r="A758" s="14"/>
      <c r="B758" s="14"/>
      <c r="C758" s="14"/>
      <c r="D758" s="14"/>
      <c r="E758" s="14"/>
      <c r="F758" s="14"/>
      <c r="G758" s="14"/>
      <c r="L758" s="142"/>
    </row>
    <row r="759">
      <c r="A759" s="14"/>
      <c r="B759" s="14"/>
      <c r="C759" s="14"/>
      <c r="D759" s="14"/>
      <c r="E759" s="14"/>
      <c r="F759" s="14"/>
      <c r="G759" s="14"/>
      <c r="L759" s="142"/>
    </row>
    <row r="760">
      <c r="A760" s="14"/>
      <c r="B760" s="14"/>
      <c r="C760" s="14"/>
      <c r="D760" s="14"/>
      <c r="E760" s="14"/>
      <c r="F760" s="14"/>
      <c r="G760" s="14"/>
      <c r="L760" s="142"/>
    </row>
    <row r="761">
      <c r="A761" s="14"/>
      <c r="B761" s="14"/>
      <c r="C761" s="14"/>
      <c r="D761" s="14"/>
      <c r="E761" s="14"/>
      <c r="F761" s="14"/>
      <c r="G761" s="14"/>
      <c r="L761" s="142"/>
    </row>
    <row r="762">
      <c r="A762" s="14"/>
      <c r="B762" s="14"/>
      <c r="C762" s="14"/>
      <c r="D762" s="14"/>
      <c r="E762" s="14"/>
      <c r="F762" s="14"/>
      <c r="G762" s="14"/>
      <c r="L762" s="142"/>
    </row>
    <row r="763">
      <c r="A763" s="14"/>
      <c r="B763" s="14"/>
      <c r="C763" s="14"/>
      <c r="D763" s="14"/>
      <c r="E763" s="14"/>
      <c r="F763" s="14"/>
      <c r="G763" s="14"/>
      <c r="L763" s="142"/>
    </row>
    <row r="764">
      <c r="A764" s="14"/>
      <c r="B764" s="14"/>
      <c r="C764" s="14"/>
      <c r="D764" s="14"/>
      <c r="E764" s="14"/>
      <c r="F764" s="14"/>
      <c r="G764" s="14"/>
      <c r="L764" s="142"/>
    </row>
    <row r="765">
      <c r="A765" s="14"/>
      <c r="B765" s="14"/>
      <c r="C765" s="14"/>
      <c r="D765" s="14"/>
      <c r="E765" s="14"/>
      <c r="F765" s="14"/>
      <c r="G765" s="14"/>
      <c r="L765" s="142"/>
    </row>
    <row r="766">
      <c r="A766" s="14"/>
      <c r="B766" s="14"/>
      <c r="C766" s="14"/>
      <c r="D766" s="14"/>
      <c r="E766" s="14"/>
      <c r="F766" s="14"/>
      <c r="G766" s="14"/>
      <c r="L766" s="142"/>
    </row>
    <row r="767">
      <c r="A767" s="14"/>
      <c r="B767" s="14"/>
      <c r="C767" s="14"/>
      <c r="D767" s="14"/>
      <c r="E767" s="14"/>
      <c r="F767" s="14"/>
      <c r="G767" s="14"/>
      <c r="L767" s="142"/>
    </row>
    <row r="768">
      <c r="A768" s="14"/>
      <c r="B768" s="14"/>
      <c r="C768" s="14"/>
      <c r="D768" s="14"/>
      <c r="E768" s="14"/>
      <c r="F768" s="14"/>
      <c r="G768" s="14"/>
      <c r="L768" s="142"/>
    </row>
    <row r="769">
      <c r="A769" s="14"/>
      <c r="B769" s="14"/>
      <c r="C769" s="14"/>
      <c r="D769" s="14"/>
      <c r="E769" s="14"/>
      <c r="F769" s="14"/>
      <c r="G769" s="14"/>
      <c r="L769" s="142"/>
    </row>
    <row r="770">
      <c r="A770" s="14"/>
      <c r="B770" s="14"/>
      <c r="C770" s="14"/>
      <c r="D770" s="14"/>
      <c r="E770" s="14"/>
      <c r="F770" s="14"/>
      <c r="G770" s="14"/>
      <c r="L770" s="142"/>
    </row>
    <row r="771">
      <c r="A771" s="14"/>
      <c r="B771" s="14"/>
      <c r="C771" s="14"/>
      <c r="D771" s="14"/>
      <c r="E771" s="14"/>
      <c r="F771" s="14"/>
      <c r="G771" s="14"/>
      <c r="L771" s="142"/>
    </row>
    <row r="772">
      <c r="A772" s="14"/>
      <c r="B772" s="14"/>
      <c r="C772" s="14"/>
      <c r="D772" s="14"/>
      <c r="E772" s="14"/>
      <c r="F772" s="14"/>
      <c r="G772" s="14"/>
      <c r="L772" s="142"/>
    </row>
    <row r="773">
      <c r="A773" s="14"/>
      <c r="B773" s="14"/>
      <c r="C773" s="14"/>
      <c r="D773" s="14"/>
      <c r="E773" s="14"/>
      <c r="F773" s="14"/>
      <c r="G773" s="14"/>
      <c r="L773" s="142"/>
    </row>
    <row r="774">
      <c r="A774" s="14"/>
      <c r="B774" s="14"/>
      <c r="C774" s="14"/>
      <c r="D774" s="14"/>
      <c r="E774" s="14"/>
      <c r="F774" s="14"/>
      <c r="G774" s="14"/>
      <c r="L774" s="142"/>
    </row>
    <row r="775">
      <c r="A775" s="14"/>
      <c r="B775" s="14"/>
      <c r="C775" s="14"/>
      <c r="D775" s="14"/>
      <c r="E775" s="14"/>
      <c r="F775" s="14"/>
      <c r="G775" s="14"/>
      <c r="L775" s="142"/>
    </row>
    <row r="776">
      <c r="A776" s="14"/>
      <c r="B776" s="14"/>
      <c r="C776" s="14"/>
      <c r="D776" s="14"/>
      <c r="E776" s="14"/>
      <c r="F776" s="14"/>
      <c r="G776" s="14"/>
      <c r="L776" s="142"/>
    </row>
    <row r="777">
      <c r="A777" s="14"/>
      <c r="B777" s="14"/>
      <c r="C777" s="14"/>
      <c r="D777" s="14"/>
      <c r="E777" s="14"/>
      <c r="F777" s="14"/>
      <c r="G777" s="14"/>
      <c r="L777" s="142"/>
    </row>
    <row r="778">
      <c r="A778" s="14"/>
      <c r="B778" s="14"/>
      <c r="C778" s="14"/>
      <c r="D778" s="14"/>
      <c r="E778" s="14"/>
      <c r="F778" s="14"/>
      <c r="G778" s="14"/>
      <c r="L778" s="142"/>
    </row>
    <row r="779">
      <c r="A779" s="14"/>
      <c r="B779" s="14"/>
      <c r="C779" s="14"/>
      <c r="D779" s="14"/>
      <c r="E779" s="14"/>
      <c r="F779" s="14"/>
      <c r="G779" s="14"/>
      <c r="L779" s="142"/>
    </row>
    <row r="780">
      <c r="A780" s="14"/>
      <c r="B780" s="14"/>
      <c r="C780" s="14"/>
      <c r="D780" s="14"/>
      <c r="E780" s="14"/>
      <c r="F780" s="14"/>
      <c r="G780" s="14"/>
      <c r="L780" s="142"/>
    </row>
    <row r="781">
      <c r="A781" s="14"/>
      <c r="B781" s="14"/>
      <c r="C781" s="14"/>
      <c r="D781" s="14"/>
      <c r="E781" s="14"/>
      <c r="F781" s="14"/>
      <c r="G781" s="14"/>
      <c r="L781" s="142"/>
    </row>
    <row r="782">
      <c r="A782" s="14"/>
      <c r="B782" s="14"/>
      <c r="C782" s="14"/>
      <c r="D782" s="14"/>
      <c r="E782" s="14"/>
      <c r="F782" s="14"/>
      <c r="G782" s="14"/>
      <c r="L782" s="142"/>
    </row>
    <row r="783">
      <c r="A783" s="14"/>
      <c r="B783" s="14"/>
      <c r="C783" s="14"/>
      <c r="D783" s="14"/>
      <c r="E783" s="14"/>
      <c r="F783" s="14"/>
      <c r="G783" s="14"/>
      <c r="L783" s="142"/>
    </row>
    <row r="784">
      <c r="A784" s="14"/>
      <c r="B784" s="14"/>
      <c r="C784" s="14"/>
      <c r="D784" s="14"/>
      <c r="E784" s="14"/>
      <c r="F784" s="14"/>
      <c r="G784" s="14"/>
      <c r="L784" s="142"/>
    </row>
    <row r="785">
      <c r="A785" s="14"/>
      <c r="B785" s="14"/>
      <c r="C785" s="14"/>
      <c r="D785" s="14"/>
      <c r="E785" s="14"/>
      <c r="F785" s="14"/>
      <c r="G785" s="14"/>
      <c r="L785" s="142"/>
    </row>
    <row r="786">
      <c r="A786" s="14"/>
      <c r="B786" s="14"/>
      <c r="C786" s="14"/>
      <c r="D786" s="14"/>
      <c r="E786" s="14"/>
      <c r="F786" s="14"/>
      <c r="G786" s="14"/>
      <c r="L786" s="142"/>
    </row>
    <row r="787">
      <c r="A787" s="14"/>
      <c r="B787" s="14"/>
      <c r="C787" s="14"/>
      <c r="D787" s="14"/>
      <c r="E787" s="14"/>
      <c r="F787" s="14"/>
      <c r="G787" s="14"/>
      <c r="L787" s="142"/>
    </row>
    <row r="788">
      <c r="A788" s="14"/>
      <c r="B788" s="14"/>
      <c r="C788" s="14"/>
      <c r="D788" s="14"/>
      <c r="E788" s="14"/>
      <c r="F788" s="14"/>
      <c r="G788" s="14"/>
      <c r="L788" s="142"/>
    </row>
    <row r="789">
      <c r="A789" s="14"/>
      <c r="B789" s="14"/>
      <c r="C789" s="14"/>
      <c r="D789" s="14"/>
      <c r="E789" s="14"/>
      <c r="F789" s="14"/>
      <c r="G789" s="14"/>
      <c r="L789" s="142"/>
    </row>
    <row r="790">
      <c r="A790" s="14"/>
      <c r="B790" s="14"/>
      <c r="C790" s="14"/>
      <c r="D790" s="14"/>
      <c r="E790" s="14"/>
      <c r="F790" s="14"/>
      <c r="G790" s="14"/>
      <c r="L790" s="142"/>
    </row>
    <row r="791">
      <c r="A791" s="14"/>
      <c r="B791" s="14"/>
      <c r="C791" s="14"/>
      <c r="D791" s="14"/>
      <c r="E791" s="14"/>
      <c r="F791" s="14"/>
      <c r="G791" s="14"/>
      <c r="L791" s="142"/>
    </row>
    <row r="792">
      <c r="A792" s="14"/>
      <c r="B792" s="14"/>
      <c r="C792" s="14"/>
      <c r="D792" s="14"/>
      <c r="E792" s="14"/>
      <c r="F792" s="14"/>
      <c r="G792" s="14"/>
      <c r="L792" s="142"/>
    </row>
    <row r="793">
      <c r="A793" s="14"/>
      <c r="B793" s="14"/>
      <c r="C793" s="14"/>
      <c r="D793" s="14"/>
      <c r="E793" s="14"/>
      <c r="F793" s="14"/>
      <c r="G793" s="14"/>
      <c r="L793" s="142"/>
    </row>
    <row r="794">
      <c r="A794" s="14"/>
      <c r="B794" s="14"/>
      <c r="C794" s="14"/>
      <c r="D794" s="14"/>
      <c r="E794" s="14"/>
      <c r="F794" s="14"/>
      <c r="G794" s="14"/>
      <c r="L794" s="142"/>
    </row>
    <row r="795">
      <c r="A795" s="14"/>
      <c r="B795" s="14"/>
      <c r="C795" s="14"/>
      <c r="D795" s="14"/>
      <c r="E795" s="14"/>
      <c r="F795" s="14"/>
      <c r="G795" s="14"/>
      <c r="L795" s="142"/>
    </row>
    <row r="796">
      <c r="A796" s="14"/>
      <c r="B796" s="14"/>
      <c r="C796" s="14"/>
      <c r="D796" s="14"/>
      <c r="E796" s="14"/>
      <c r="F796" s="14"/>
      <c r="G796" s="14"/>
      <c r="L796" s="142"/>
    </row>
    <row r="797">
      <c r="A797" s="14"/>
      <c r="B797" s="14"/>
      <c r="C797" s="14"/>
      <c r="D797" s="14"/>
      <c r="E797" s="14"/>
      <c r="F797" s="14"/>
      <c r="G797" s="14"/>
      <c r="L797" s="142"/>
    </row>
    <row r="798">
      <c r="A798" s="14"/>
      <c r="B798" s="14"/>
      <c r="C798" s="14"/>
      <c r="D798" s="14"/>
      <c r="E798" s="14"/>
      <c r="F798" s="14"/>
      <c r="G798" s="14"/>
      <c r="L798" s="142"/>
    </row>
    <row r="799">
      <c r="A799" s="14"/>
      <c r="B799" s="14"/>
      <c r="C799" s="14"/>
      <c r="D799" s="14"/>
      <c r="E799" s="14"/>
      <c r="F799" s="14"/>
      <c r="G799" s="14"/>
      <c r="L799" s="142"/>
    </row>
    <row r="800">
      <c r="A800" s="14"/>
      <c r="B800" s="14"/>
      <c r="C800" s="14"/>
      <c r="D800" s="14"/>
      <c r="E800" s="14"/>
      <c r="F800" s="14"/>
      <c r="G800" s="14"/>
      <c r="L800" s="142"/>
    </row>
    <row r="801">
      <c r="A801" s="14"/>
      <c r="B801" s="14"/>
      <c r="C801" s="14"/>
      <c r="D801" s="14"/>
      <c r="E801" s="14"/>
      <c r="F801" s="14"/>
      <c r="G801" s="14"/>
      <c r="L801" s="142"/>
    </row>
    <row r="802">
      <c r="A802" s="14"/>
      <c r="B802" s="14"/>
      <c r="C802" s="14"/>
      <c r="D802" s="14"/>
      <c r="E802" s="14"/>
      <c r="F802" s="14"/>
      <c r="G802" s="14"/>
      <c r="L802" s="142"/>
    </row>
    <row r="803">
      <c r="A803" s="14"/>
      <c r="B803" s="14"/>
      <c r="C803" s="14"/>
      <c r="D803" s="14"/>
      <c r="E803" s="14"/>
      <c r="F803" s="14"/>
      <c r="G803" s="14"/>
      <c r="L803" s="142"/>
    </row>
    <row r="804">
      <c r="A804" s="14"/>
      <c r="B804" s="14"/>
      <c r="C804" s="14"/>
      <c r="D804" s="14"/>
      <c r="E804" s="14"/>
      <c r="F804" s="14"/>
      <c r="G804" s="14"/>
      <c r="L804" s="142"/>
    </row>
    <row r="805">
      <c r="A805" s="14"/>
      <c r="B805" s="14"/>
      <c r="C805" s="14"/>
      <c r="D805" s="14"/>
      <c r="E805" s="14"/>
      <c r="F805" s="14"/>
      <c r="G805" s="14"/>
      <c r="L805" s="142"/>
    </row>
    <row r="806">
      <c r="A806" s="14"/>
      <c r="B806" s="14"/>
      <c r="C806" s="14"/>
      <c r="D806" s="14"/>
      <c r="E806" s="14"/>
      <c r="F806" s="14"/>
      <c r="G806" s="14"/>
      <c r="L806" s="142"/>
    </row>
    <row r="807">
      <c r="A807" s="14"/>
      <c r="B807" s="14"/>
      <c r="C807" s="14"/>
      <c r="D807" s="14"/>
      <c r="E807" s="14"/>
      <c r="F807" s="14"/>
      <c r="G807" s="14"/>
      <c r="L807" s="142"/>
    </row>
    <row r="808">
      <c r="A808" s="14"/>
      <c r="B808" s="14"/>
      <c r="C808" s="14"/>
      <c r="D808" s="14"/>
      <c r="E808" s="14"/>
      <c r="F808" s="14"/>
      <c r="G808" s="14"/>
      <c r="L808" s="142"/>
    </row>
    <row r="809">
      <c r="A809" s="14"/>
      <c r="B809" s="14"/>
      <c r="C809" s="14"/>
      <c r="D809" s="14"/>
      <c r="E809" s="14"/>
      <c r="F809" s="14"/>
      <c r="G809" s="14"/>
      <c r="L809" s="142"/>
    </row>
    <row r="810">
      <c r="A810" s="14"/>
      <c r="B810" s="14"/>
      <c r="C810" s="14"/>
      <c r="D810" s="14"/>
      <c r="E810" s="14"/>
      <c r="F810" s="14"/>
      <c r="G810" s="14"/>
      <c r="L810" s="142"/>
    </row>
    <row r="811">
      <c r="A811" s="14"/>
      <c r="B811" s="14"/>
      <c r="C811" s="14"/>
      <c r="D811" s="14"/>
      <c r="E811" s="14"/>
      <c r="F811" s="14"/>
      <c r="G811" s="14"/>
      <c r="L811" s="142"/>
    </row>
    <row r="812">
      <c r="A812" s="14"/>
      <c r="B812" s="14"/>
      <c r="C812" s="14"/>
      <c r="D812" s="14"/>
      <c r="E812" s="14"/>
      <c r="F812" s="14"/>
      <c r="G812" s="14"/>
      <c r="L812" s="142"/>
    </row>
    <row r="813">
      <c r="A813" s="14"/>
      <c r="B813" s="14"/>
      <c r="C813" s="14"/>
      <c r="D813" s="14"/>
      <c r="E813" s="14"/>
      <c r="F813" s="14"/>
      <c r="G813" s="14"/>
      <c r="L813" s="142"/>
    </row>
    <row r="814">
      <c r="A814" s="14"/>
      <c r="B814" s="14"/>
      <c r="C814" s="14"/>
      <c r="D814" s="14"/>
      <c r="E814" s="14"/>
      <c r="F814" s="14"/>
      <c r="G814" s="14"/>
      <c r="L814" s="142"/>
    </row>
    <row r="815">
      <c r="A815" s="14"/>
      <c r="B815" s="14"/>
      <c r="C815" s="14"/>
      <c r="D815" s="14"/>
      <c r="E815" s="14"/>
      <c r="F815" s="14"/>
      <c r="G815" s="14"/>
      <c r="L815" s="142"/>
    </row>
    <row r="816">
      <c r="A816" s="14"/>
      <c r="B816" s="14"/>
      <c r="C816" s="14"/>
      <c r="D816" s="14"/>
      <c r="E816" s="14"/>
      <c r="F816" s="14"/>
      <c r="G816" s="14"/>
      <c r="L816" s="142"/>
    </row>
    <row r="817">
      <c r="A817" s="14"/>
      <c r="B817" s="14"/>
      <c r="C817" s="14"/>
      <c r="D817" s="14"/>
      <c r="E817" s="14"/>
      <c r="F817" s="14"/>
      <c r="G817" s="14"/>
      <c r="L817" s="142"/>
    </row>
    <row r="818">
      <c r="A818" s="14"/>
      <c r="B818" s="14"/>
      <c r="C818" s="14"/>
      <c r="D818" s="14"/>
      <c r="E818" s="14"/>
      <c r="F818" s="14"/>
      <c r="G818" s="14"/>
      <c r="L818" s="142"/>
    </row>
    <row r="819">
      <c r="A819" s="14"/>
      <c r="B819" s="14"/>
      <c r="C819" s="14"/>
      <c r="D819" s="14"/>
      <c r="E819" s="14"/>
      <c r="F819" s="14"/>
      <c r="G819" s="14"/>
      <c r="L819" s="142"/>
    </row>
    <row r="820">
      <c r="A820" s="14"/>
      <c r="B820" s="14"/>
      <c r="C820" s="14"/>
      <c r="D820" s="14"/>
      <c r="E820" s="14"/>
      <c r="F820" s="14"/>
      <c r="G820" s="14"/>
      <c r="L820" s="142"/>
    </row>
    <row r="821">
      <c r="A821" s="14"/>
      <c r="B821" s="14"/>
      <c r="C821" s="14"/>
      <c r="D821" s="14"/>
      <c r="E821" s="14"/>
      <c r="F821" s="14"/>
      <c r="G821" s="14"/>
      <c r="L821" s="142"/>
    </row>
    <row r="822">
      <c r="A822" s="14"/>
      <c r="B822" s="14"/>
      <c r="C822" s="14"/>
      <c r="D822" s="14"/>
      <c r="E822" s="14"/>
      <c r="F822" s="14"/>
      <c r="G822" s="14"/>
      <c r="L822" s="142"/>
    </row>
    <row r="823">
      <c r="A823" s="14"/>
      <c r="B823" s="14"/>
      <c r="C823" s="14"/>
      <c r="D823" s="14"/>
      <c r="E823" s="14"/>
      <c r="F823" s="14"/>
      <c r="G823" s="14"/>
      <c r="L823" s="142"/>
    </row>
    <row r="824">
      <c r="A824" s="14"/>
      <c r="B824" s="14"/>
      <c r="C824" s="14"/>
      <c r="D824" s="14"/>
      <c r="E824" s="14"/>
      <c r="F824" s="14"/>
      <c r="G824" s="14"/>
      <c r="L824" s="142"/>
    </row>
    <row r="825">
      <c r="A825" s="14"/>
      <c r="B825" s="14"/>
      <c r="C825" s="14"/>
      <c r="D825" s="14"/>
      <c r="E825" s="14"/>
      <c r="F825" s="14"/>
      <c r="G825" s="14"/>
      <c r="L825" s="142"/>
    </row>
    <row r="826">
      <c r="A826" s="14"/>
      <c r="B826" s="14"/>
      <c r="C826" s="14"/>
      <c r="D826" s="14"/>
      <c r="E826" s="14"/>
      <c r="F826" s="14"/>
      <c r="G826" s="14"/>
      <c r="L826" s="142"/>
    </row>
    <row r="827">
      <c r="A827" s="14"/>
      <c r="B827" s="14"/>
      <c r="C827" s="14"/>
      <c r="D827" s="14"/>
      <c r="E827" s="14"/>
      <c r="F827" s="14"/>
      <c r="G827" s="14"/>
      <c r="L827" s="142"/>
    </row>
    <row r="828">
      <c r="A828" s="14"/>
      <c r="B828" s="14"/>
      <c r="C828" s="14"/>
      <c r="D828" s="14"/>
      <c r="E828" s="14"/>
      <c r="F828" s="14"/>
      <c r="G828" s="14"/>
      <c r="L828" s="142"/>
    </row>
    <row r="829">
      <c r="A829" s="14"/>
      <c r="B829" s="14"/>
      <c r="C829" s="14"/>
      <c r="D829" s="14"/>
      <c r="E829" s="14"/>
      <c r="F829" s="14"/>
      <c r="G829" s="14"/>
      <c r="L829" s="142"/>
    </row>
    <row r="830">
      <c r="A830" s="14"/>
      <c r="B830" s="14"/>
      <c r="C830" s="14"/>
      <c r="D830" s="14"/>
      <c r="E830" s="14"/>
      <c r="F830" s="14"/>
      <c r="G830" s="14"/>
      <c r="L830" s="142"/>
    </row>
    <row r="831">
      <c r="A831" s="14"/>
      <c r="B831" s="14"/>
      <c r="C831" s="14"/>
      <c r="D831" s="14"/>
      <c r="E831" s="14"/>
      <c r="F831" s="14"/>
      <c r="G831" s="14"/>
      <c r="L831" s="142"/>
    </row>
    <row r="832">
      <c r="A832" s="14"/>
      <c r="B832" s="14"/>
      <c r="C832" s="14"/>
      <c r="D832" s="14"/>
      <c r="E832" s="14"/>
      <c r="F832" s="14"/>
      <c r="G832" s="14"/>
      <c r="L832" s="142"/>
    </row>
    <row r="833">
      <c r="A833" s="14"/>
      <c r="B833" s="14"/>
      <c r="C833" s="14"/>
      <c r="D833" s="14"/>
      <c r="E833" s="14"/>
      <c r="F833" s="14"/>
      <c r="G833" s="14"/>
      <c r="L833" s="142"/>
    </row>
    <row r="834">
      <c r="A834" s="14"/>
      <c r="B834" s="14"/>
      <c r="C834" s="14"/>
      <c r="D834" s="14"/>
      <c r="E834" s="14"/>
      <c r="F834" s="14"/>
      <c r="G834" s="14"/>
      <c r="L834" s="142"/>
    </row>
    <row r="835">
      <c r="A835" s="14"/>
      <c r="B835" s="14"/>
      <c r="C835" s="14"/>
      <c r="D835" s="14"/>
      <c r="E835" s="14"/>
      <c r="F835" s="14"/>
      <c r="G835" s="14"/>
      <c r="L835" s="142"/>
    </row>
    <row r="836">
      <c r="A836" s="14"/>
      <c r="B836" s="14"/>
      <c r="C836" s="14"/>
      <c r="D836" s="14"/>
      <c r="E836" s="14"/>
      <c r="F836" s="14"/>
      <c r="G836" s="14"/>
      <c r="L836" s="142"/>
    </row>
    <row r="837">
      <c r="A837" s="14"/>
      <c r="B837" s="14"/>
      <c r="C837" s="14"/>
      <c r="D837" s="14"/>
      <c r="E837" s="14"/>
      <c r="F837" s="14"/>
      <c r="G837" s="14"/>
      <c r="L837" s="142"/>
    </row>
    <row r="838">
      <c r="A838" s="14"/>
      <c r="B838" s="14"/>
      <c r="C838" s="14"/>
      <c r="D838" s="14"/>
      <c r="E838" s="14"/>
      <c r="F838" s="14"/>
      <c r="G838" s="14"/>
      <c r="L838" s="142"/>
    </row>
    <row r="839">
      <c r="A839" s="14"/>
      <c r="B839" s="14"/>
      <c r="C839" s="14"/>
      <c r="D839" s="14"/>
      <c r="E839" s="14"/>
      <c r="F839" s="14"/>
      <c r="G839" s="14"/>
      <c r="L839" s="142"/>
    </row>
    <row r="840">
      <c r="A840" s="14"/>
      <c r="B840" s="14"/>
      <c r="C840" s="14"/>
      <c r="D840" s="14"/>
      <c r="E840" s="14"/>
      <c r="F840" s="14"/>
      <c r="G840" s="14"/>
      <c r="L840" s="142"/>
    </row>
    <row r="841">
      <c r="A841" s="14"/>
      <c r="B841" s="14"/>
      <c r="C841" s="14"/>
      <c r="D841" s="14"/>
      <c r="E841" s="14"/>
      <c r="F841" s="14"/>
      <c r="G841" s="14"/>
      <c r="L841" s="142"/>
    </row>
    <row r="842">
      <c r="A842" s="14"/>
      <c r="B842" s="14"/>
      <c r="C842" s="14"/>
      <c r="D842" s="14"/>
      <c r="E842" s="14"/>
      <c r="F842" s="14"/>
      <c r="G842" s="14"/>
      <c r="L842" s="142"/>
    </row>
    <row r="843">
      <c r="A843" s="14"/>
      <c r="B843" s="14"/>
      <c r="C843" s="14"/>
      <c r="D843" s="14"/>
      <c r="E843" s="14"/>
      <c r="F843" s="14"/>
      <c r="G843" s="14"/>
      <c r="L843" s="142"/>
    </row>
    <row r="844">
      <c r="A844" s="14"/>
      <c r="B844" s="14"/>
      <c r="C844" s="14"/>
      <c r="D844" s="14"/>
      <c r="E844" s="14"/>
      <c r="F844" s="14"/>
      <c r="G844" s="14"/>
      <c r="L844" s="142"/>
    </row>
    <row r="845">
      <c r="A845" s="14"/>
      <c r="B845" s="14"/>
      <c r="C845" s="14"/>
      <c r="D845" s="14"/>
      <c r="E845" s="14"/>
      <c r="F845" s="14"/>
      <c r="G845" s="14"/>
      <c r="L845" s="142"/>
    </row>
    <row r="846">
      <c r="A846" s="14"/>
      <c r="B846" s="14"/>
      <c r="C846" s="14"/>
      <c r="D846" s="14"/>
      <c r="E846" s="14"/>
      <c r="F846" s="14"/>
      <c r="G846" s="14"/>
      <c r="L846" s="142"/>
    </row>
    <row r="847">
      <c r="A847" s="14"/>
      <c r="B847" s="14"/>
      <c r="C847" s="14"/>
      <c r="D847" s="14"/>
      <c r="E847" s="14"/>
      <c r="F847" s="14"/>
      <c r="G847" s="14"/>
      <c r="L847" s="142"/>
    </row>
    <row r="848">
      <c r="A848" s="14"/>
      <c r="B848" s="14"/>
      <c r="C848" s="14"/>
      <c r="D848" s="14"/>
      <c r="E848" s="14"/>
      <c r="F848" s="14"/>
      <c r="G848" s="14"/>
      <c r="L848" s="142"/>
    </row>
    <row r="849">
      <c r="A849" s="14"/>
      <c r="B849" s="14"/>
      <c r="C849" s="14"/>
      <c r="D849" s="14"/>
      <c r="E849" s="14"/>
      <c r="F849" s="14"/>
      <c r="G849" s="14"/>
      <c r="L849" s="142"/>
    </row>
    <row r="850">
      <c r="A850" s="14"/>
      <c r="B850" s="14"/>
      <c r="C850" s="14"/>
      <c r="D850" s="14"/>
      <c r="E850" s="14"/>
      <c r="F850" s="14"/>
      <c r="G850" s="14"/>
      <c r="L850" s="142"/>
    </row>
    <row r="851">
      <c r="A851" s="14"/>
      <c r="B851" s="14"/>
      <c r="C851" s="14"/>
      <c r="D851" s="14"/>
      <c r="E851" s="14"/>
      <c r="F851" s="14"/>
      <c r="G851" s="14"/>
      <c r="L851" s="142"/>
    </row>
    <row r="852">
      <c r="A852" s="14"/>
      <c r="B852" s="14"/>
      <c r="C852" s="14"/>
      <c r="D852" s="14"/>
      <c r="E852" s="14"/>
      <c r="F852" s="14"/>
      <c r="G852" s="14"/>
      <c r="L852" s="142"/>
    </row>
    <row r="853">
      <c r="A853" s="14"/>
      <c r="B853" s="14"/>
      <c r="C853" s="14"/>
      <c r="D853" s="14"/>
      <c r="E853" s="14"/>
      <c r="F853" s="14"/>
      <c r="G853" s="14"/>
      <c r="L853" s="142"/>
    </row>
    <row r="854">
      <c r="A854" s="14"/>
      <c r="B854" s="14"/>
      <c r="C854" s="14"/>
      <c r="D854" s="14"/>
      <c r="E854" s="14"/>
      <c r="F854" s="14"/>
      <c r="G854" s="14"/>
      <c r="L854" s="142"/>
    </row>
    <row r="855">
      <c r="A855" s="14"/>
      <c r="B855" s="14"/>
      <c r="C855" s="14"/>
      <c r="D855" s="14"/>
      <c r="E855" s="14"/>
      <c r="F855" s="14"/>
      <c r="G855" s="14"/>
      <c r="L855" s="142"/>
    </row>
    <row r="856">
      <c r="A856" s="14"/>
      <c r="B856" s="14"/>
      <c r="C856" s="14"/>
      <c r="D856" s="14"/>
      <c r="E856" s="14"/>
      <c r="F856" s="14"/>
      <c r="G856" s="14"/>
      <c r="L856" s="142"/>
    </row>
    <row r="857">
      <c r="A857" s="14"/>
      <c r="B857" s="14"/>
      <c r="C857" s="14"/>
      <c r="D857" s="14"/>
      <c r="E857" s="14"/>
      <c r="F857" s="14"/>
      <c r="G857" s="14"/>
      <c r="L857" s="142"/>
    </row>
    <row r="858">
      <c r="A858" s="14"/>
      <c r="B858" s="14"/>
      <c r="C858" s="14"/>
      <c r="D858" s="14"/>
      <c r="E858" s="14"/>
      <c r="F858" s="14"/>
      <c r="G858" s="14"/>
      <c r="L858" s="142"/>
    </row>
    <row r="859">
      <c r="A859" s="14"/>
      <c r="B859" s="14"/>
      <c r="C859" s="14"/>
      <c r="D859" s="14"/>
      <c r="E859" s="14"/>
      <c r="F859" s="14"/>
      <c r="G859" s="14"/>
      <c r="L859" s="142"/>
    </row>
    <row r="860">
      <c r="A860" s="14"/>
      <c r="B860" s="14"/>
      <c r="C860" s="14"/>
      <c r="D860" s="14"/>
      <c r="E860" s="14"/>
      <c r="F860" s="14"/>
      <c r="G860" s="14"/>
      <c r="L860" s="142"/>
    </row>
    <row r="861">
      <c r="A861" s="14"/>
      <c r="B861" s="14"/>
      <c r="C861" s="14"/>
      <c r="D861" s="14"/>
      <c r="E861" s="14"/>
      <c r="F861" s="14"/>
      <c r="G861" s="14"/>
      <c r="L861" s="142"/>
    </row>
    <row r="862">
      <c r="A862" s="14"/>
      <c r="B862" s="14"/>
      <c r="C862" s="14"/>
      <c r="D862" s="14"/>
      <c r="E862" s="14"/>
      <c r="F862" s="14"/>
      <c r="G862" s="14"/>
      <c r="L862" s="142"/>
    </row>
    <row r="863">
      <c r="A863" s="14"/>
      <c r="B863" s="14"/>
      <c r="C863" s="14"/>
      <c r="D863" s="14"/>
      <c r="E863" s="14"/>
      <c r="F863" s="14"/>
      <c r="G863" s="14"/>
      <c r="L863" s="142"/>
    </row>
    <row r="864">
      <c r="A864" s="14"/>
      <c r="B864" s="14"/>
      <c r="C864" s="14"/>
      <c r="D864" s="14"/>
      <c r="E864" s="14"/>
      <c r="F864" s="14"/>
      <c r="G864" s="14"/>
      <c r="L864" s="142"/>
    </row>
    <row r="865">
      <c r="A865" s="14"/>
      <c r="B865" s="14"/>
      <c r="C865" s="14"/>
      <c r="D865" s="14"/>
      <c r="E865" s="14"/>
      <c r="F865" s="14"/>
      <c r="G865" s="14"/>
      <c r="L865" s="142"/>
    </row>
    <row r="866">
      <c r="A866" s="14"/>
      <c r="B866" s="14"/>
      <c r="C866" s="14"/>
      <c r="D866" s="14"/>
      <c r="E866" s="14"/>
      <c r="F866" s="14"/>
      <c r="G866" s="14"/>
      <c r="L866" s="142"/>
    </row>
    <row r="867">
      <c r="A867" s="14"/>
      <c r="B867" s="14"/>
      <c r="C867" s="14"/>
      <c r="D867" s="14"/>
      <c r="E867" s="14"/>
      <c r="F867" s="14"/>
      <c r="G867" s="14"/>
      <c r="L867" s="142"/>
    </row>
    <row r="868">
      <c r="A868" s="14"/>
      <c r="B868" s="14"/>
      <c r="C868" s="14"/>
      <c r="D868" s="14"/>
      <c r="E868" s="14"/>
      <c r="F868" s="14"/>
      <c r="G868" s="14"/>
      <c r="L868" s="142"/>
    </row>
    <row r="869">
      <c r="A869" s="14"/>
      <c r="B869" s="14"/>
      <c r="C869" s="14"/>
      <c r="D869" s="14"/>
      <c r="E869" s="14"/>
      <c r="F869" s="14"/>
      <c r="G869" s="14"/>
      <c r="L869" s="142"/>
    </row>
    <row r="870">
      <c r="A870" s="14"/>
      <c r="B870" s="14"/>
      <c r="C870" s="14"/>
      <c r="D870" s="14"/>
      <c r="E870" s="14"/>
      <c r="F870" s="14"/>
      <c r="G870" s="14"/>
      <c r="L870" s="142"/>
    </row>
    <row r="871">
      <c r="A871" s="14"/>
      <c r="B871" s="14"/>
      <c r="C871" s="14"/>
      <c r="D871" s="14"/>
      <c r="E871" s="14"/>
      <c r="F871" s="14"/>
      <c r="G871" s="14"/>
      <c r="L871" s="142"/>
    </row>
    <row r="872">
      <c r="A872" s="14"/>
      <c r="B872" s="14"/>
      <c r="C872" s="14"/>
      <c r="D872" s="14"/>
      <c r="E872" s="14"/>
      <c r="F872" s="14"/>
      <c r="G872" s="14"/>
      <c r="L872" s="142"/>
    </row>
    <row r="873">
      <c r="A873" s="14"/>
      <c r="B873" s="14"/>
      <c r="C873" s="14"/>
      <c r="D873" s="14"/>
      <c r="E873" s="14"/>
      <c r="F873" s="14"/>
      <c r="G873" s="14"/>
      <c r="L873" s="142"/>
    </row>
    <row r="874">
      <c r="A874" s="14"/>
      <c r="B874" s="14"/>
      <c r="C874" s="14"/>
      <c r="D874" s="14"/>
      <c r="E874" s="14"/>
      <c r="F874" s="14"/>
      <c r="G874" s="14"/>
      <c r="L874" s="142"/>
    </row>
    <row r="875">
      <c r="A875" s="14"/>
      <c r="B875" s="14"/>
      <c r="C875" s="14"/>
      <c r="D875" s="14"/>
      <c r="E875" s="14"/>
      <c r="F875" s="14"/>
      <c r="G875" s="14"/>
      <c r="L875" s="142"/>
    </row>
    <row r="876">
      <c r="A876" s="14"/>
      <c r="B876" s="14"/>
      <c r="C876" s="14"/>
      <c r="D876" s="14"/>
      <c r="E876" s="14"/>
      <c r="F876" s="14"/>
      <c r="G876" s="14"/>
      <c r="L876" s="142"/>
    </row>
    <row r="877">
      <c r="A877" s="14"/>
      <c r="B877" s="14"/>
      <c r="C877" s="14"/>
      <c r="D877" s="14"/>
      <c r="E877" s="14"/>
      <c r="F877" s="14"/>
      <c r="G877" s="14"/>
      <c r="L877" s="142"/>
    </row>
    <row r="878">
      <c r="A878" s="14"/>
      <c r="B878" s="14"/>
      <c r="C878" s="14"/>
      <c r="D878" s="14"/>
      <c r="E878" s="14"/>
      <c r="F878" s="14"/>
      <c r="G878" s="14"/>
      <c r="L878" s="142"/>
    </row>
    <row r="879">
      <c r="A879" s="14"/>
      <c r="B879" s="14"/>
      <c r="C879" s="14"/>
      <c r="D879" s="14"/>
      <c r="E879" s="14"/>
      <c r="F879" s="14"/>
      <c r="G879" s="14"/>
      <c r="L879" s="142"/>
    </row>
    <row r="880">
      <c r="A880" s="14"/>
      <c r="B880" s="14"/>
      <c r="C880" s="14"/>
      <c r="D880" s="14"/>
      <c r="E880" s="14"/>
      <c r="F880" s="14"/>
      <c r="G880" s="14"/>
      <c r="L880" s="142"/>
    </row>
    <row r="881">
      <c r="A881" s="14"/>
      <c r="B881" s="14"/>
      <c r="C881" s="14"/>
      <c r="D881" s="14"/>
      <c r="E881" s="14"/>
      <c r="F881" s="14"/>
      <c r="G881" s="14"/>
      <c r="L881" s="142"/>
    </row>
    <row r="882">
      <c r="A882" s="14"/>
      <c r="B882" s="14"/>
      <c r="C882" s="14"/>
      <c r="D882" s="14"/>
      <c r="E882" s="14"/>
      <c r="F882" s="14"/>
      <c r="G882" s="14"/>
      <c r="L882" s="142"/>
    </row>
    <row r="883">
      <c r="A883" s="14"/>
      <c r="B883" s="14"/>
      <c r="C883" s="14"/>
      <c r="D883" s="14"/>
      <c r="E883" s="14"/>
      <c r="F883" s="14"/>
      <c r="G883" s="14"/>
      <c r="L883" s="142"/>
    </row>
    <row r="884">
      <c r="A884" s="14"/>
      <c r="B884" s="14"/>
      <c r="C884" s="14"/>
      <c r="D884" s="14"/>
      <c r="E884" s="14"/>
      <c r="F884" s="14"/>
      <c r="G884" s="14"/>
      <c r="L884" s="142"/>
    </row>
    <row r="885">
      <c r="A885" s="14"/>
      <c r="B885" s="14"/>
      <c r="C885" s="14"/>
      <c r="D885" s="14"/>
      <c r="E885" s="14"/>
      <c r="F885" s="14"/>
      <c r="G885" s="14"/>
      <c r="L885" s="142"/>
    </row>
    <row r="886">
      <c r="A886" s="14"/>
      <c r="B886" s="14"/>
      <c r="C886" s="14"/>
      <c r="D886" s="14"/>
      <c r="E886" s="14"/>
      <c r="F886" s="14"/>
      <c r="G886" s="14"/>
      <c r="L886" s="142"/>
    </row>
    <row r="887">
      <c r="A887" s="14"/>
      <c r="B887" s="14"/>
      <c r="C887" s="14"/>
      <c r="D887" s="14"/>
      <c r="E887" s="14"/>
      <c r="F887" s="14"/>
      <c r="G887" s="14"/>
      <c r="L887" s="142"/>
    </row>
    <row r="888">
      <c r="A888" s="14"/>
      <c r="B888" s="14"/>
      <c r="C888" s="14"/>
      <c r="D888" s="14"/>
      <c r="E888" s="14"/>
      <c r="F888" s="14"/>
      <c r="G888" s="14"/>
      <c r="L888" s="142"/>
    </row>
    <row r="889">
      <c r="A889" s="14"/>
      <c r="B889" s="14"/>
      <c r="C889" s="14"/>
      <c r="D889" s="14"/>
      <c r="E889" s="14"/>
      <c r="F889" s="14"/>
      <c r="G889" s="14"/>
      <c r="L889" s="142"/>
    </row>
    <row r="890">
      <c r="A890" s="14"/>
      <c r="B890" s="14"/>
      <c r="C890" s="14"/>
      <c r="D890" s="14"/>
      <c r="E890" s="14"/>
      <c r="F890" s="14"/>
      <c r="G890" s="14"/>
      <c r="L890" s="142"/>
    </row>
    <row r="891">
      <c r="A891" s="14"/>
      <c r="B891" s="14"/>
      <c r="C891" s="14"/>
      <c r="D891" s="14"/>
      <c r="E891" s="14"/>
      <c r="F891" s="14"/>
      <c r="G891" s="14"/>
      <c r="L891" s="142"/>
    </row>
    <row r="892">
      <c r="A892" s="14"/>
      <c r="B892" s="14"/>
      <c r="C892" s="14"/>
      <c r="D892" s="14"/>
      <c r="E892" s="14"/>
      <c r="F892" s="14"/>
      <c r="G892" s="14"/>
      <c r="L892" s="142"/>
    </row>
    <row r="893">
      <c r="A893" s="14"/>
      <c r="B893" s="14"/>
      <c r="C893" s="14"/>
      <c r="D893" s="14"/>
      <c r="E893" s="14"/>
      <c r="F893" s="14"/>
      <c r="G893" s="14"/>
      <c r="L893" s="142"/>
    </row>
    <row r="894">
      <c r="A894" s="14"/>
      <c r="B894" s="14"/>
      <c r="C894" s="14"/>
      <c r="D894" s="14"/>
      <c r="E894" s="14"/>
      <c r="F894" s="14"/>
      <c r="G894" s="14"/>
      <c r="L894" s="142"/>
    </row>
    <row r="895">
      <c r="A895" s="14"/>
      <c r="B895" s="14"/>
      <c r="C895" s="14"/>
      <c r="D895" s="14"/>
      <c r="E895" s="14"/>
      <c r="F895" s="14"/>
      <c r="G895" s="14"/>
      <c r="L895" s="142"/>
    </row>
    <row r="896">
      <c r="A896" s="14"/>
      <c r="B896" s="14"/>
      <c r="C896" s="14"/>
      <c r="D896" s="14"/>
      <c r="E896" s="14"/>
      <c r="F896" s="14"/>
      <c r="G896" s="14"/>
      <c r="L896" s="142"/>
    </row>
    <row r="897">
      <c r="A897" s="14"/>
      <c r="B897" s="14"/>
      <c r="C897" s="14"/>
      <c r="D897" s="14"/>
      <c r="E897" s="14"/>
      <c r="F897" s="14"/>
      <c r="G897" s="14"/>
      <c r="L897" s="142"/>
    </row>
    <row r="898">
      <c r="A898" s="14"/>
      <c r="B898" s="14"/>
      <c r="C898" s="14"/>
      <c r="D898" s="14"/>
      <c r="E898" s="14"/>
      <c r="F898" s="14"/>
      <c r="G898" s="14"/>
      <c r="L898" s="142"/>
    </row>
    <row r="899">
      <c r="A899" s="14"/>
      <c r="B899" s="14"/>
      <c r="C899" s="14"/>
      <c r="D899" s="14"/>
      <c r="E899" s="14"/>
      <c r="F899" s="14"/>
      <c r="G899" s="14"/>
      <c r="L899" s="142"/>
    </row>
    <row r="900">
      <c r="A900" s="14"/>
      <c r="B900" s="14"/>
      <c r="C900" s="14"/>
      <c r="D900" s="14"/>
      <c r="E900" s="14"/>
      <c r="F900" s="14"/>
      <c r="G900" s="14"/>
      <c r="L900" s="142"/>
    </row>
    <row r="901">
      <c r="A901" s="14"/>
      <c r="B901" s="14"/>
      <c r="C901" s="14"/>
      <c r="D901" s="14"/>
      <c r="E901" s="14"/>
      <c r="F901" s="14"/>
      <c r="G901" s="14"/>
      <c r="L901" s="142"/>
    </row>
    <row r="902">
      <c r="A902" s="14"/>
      <c r="B902" s="14"/>
      <c r="C902" s="14"/>
      <c r="D902" s="14"/>
      <c r="E902" s="14"/>
      <c r="F902" s="14"/>
      <c r="G902" s="14"/>
      <c r="L902" s="142"/>
    </row>
    <row r="903">
      <c r="A903" s="14"/>
      <c r="B903" s="14"/>
      <c r="C903" s="14"/>
      <c r="D903" s="14"/>
      <c r="E903" s="14"/>
      <c r="F903" s="14"/>
      <c r="G903" s="14"/>
      <c r="L903" s="142"/>
    </row>
    <row r="904">
      <c r="A904" s="14"/>
      <c r="B904" s="14"/>
      <c r="C904" s="14"/>
      <c r="D904" s="14"/>
      <c r="E904" s="14"/>
      <c r="F904" s="14"/>
      <c r="G904" s="14"/>
      <c r="L904" s="142"/>
    </row>
    <row r="905">
      <c r="A905" s="14"/>
      <c r="B905" s="14"/>
      <c r="C905" s="14"/>
      <c r="D905" s="14"/>
      <c r="E905" s="14"/>
      <c r="F905" s="14"/>
      <c r="G905" s="14"/>
      <c r="L905" s="142"/>
    </row>
    <row r="906">
      <c r="A906" s="14"/>
      <c r="B906" s="14"/>
      <c r="C906" s="14"/>
      <c r="D906" s="14"/>
      <c r="E906" s="14"/>
      <c r="F906" s="14"/>
      <c r="G906" s="14"/>
      <c r="L906" s="142"/>
    </row>
    <row r="907">
      <c r="A907" s="14"/>
      <c r="B907" s="14"/>
      <c r="C907" s="14"/>
      <c r="D907" s="14"/>
      <c r="E907" s="14"/>
      <c r="F907" s="14"/>
      <c r="G907" s="14"/>
      <c r="L907" s="142"/>
    </row>
    <row r="908">
      <c r="A908" s="14"/>
      <c r="B908" s="14"/>
      <c r="C908" s="14"/>
      <c r="D908" s="14"/>
      <c r="E908" s="14"/>
      <c r="F908" s="14"/>
      <c r="G908" s="14"/>
      <c r="L908" s="142"/>
    </row>
    <row r="909">
      <c r="A909" s="14"/>
      <c r="B909" s="14"/>
      <c r="C909" s="14"/>
      <c r="D909" s="14"/>
      <c r="E909" s="14"/>
      <c r="F909" s="14"/>
      <c r="G909" s="14"/>
      <c r="L909" s="142"/>
    </row>
    <row r="910">
      <c r="A910" s="14"/>
      <c r="B910" s="14"/>
      <c r="C910" s="14"/>
      <c r="D910" s="14"/>
      <c r="E910" s="14"/>
      <c r="F910" s="14"/>
      <c r="G910" s="14"/>
      <c r="L910" s="142"/>
    </row>
    <row r="911">
      <c r="A911" s="14"/>
      <c r="B911" s="14"/>
      <c r="C911" s="14"/>
      <c r="D911" s="14"/>
      <c r="E911" s="14"/>
      <c r="F911" s="14"/>
      <c r="G911" s="14"/>
      <c r="L911" s="142"/>
    </row>
    <row r="912">
      <c r="A912" s="14"/>
      <c r="B912" s="14"/>
      <c r="C912" s="14"/>
      <c r="D912" s="14"/>
      <c r="E912" s="14"/>
      <c r="F912" s="14"/>
      <c r="G912" s="14"/>
      <c r="L912" s="142"/>
    </row>
    <row r="913">
      <c r="A913" s="14"/>
      <c r="B913" s="14"/>
      <c r="C913" s="14"/>
      <c r="D913" s="14"/>
      <c r="E913" s="14"/>
      <c r="F913" s="14"/>
      <c r="G913" s="14"/>
      <c r="L913" s="142"/>
    </row>
    <row r="914">
      <c r="A914" s="14"/>
      <c r="B914" s="14"/>
      <c r="C914" s="14"/>
      <c r="D914" s="14"/>
      <c r="E914" s="14"/>
      <c r="F914" s="14"/>
      <c r="G914" s="14"/>
      <c r="L914" s="142"/>
    </row>
    <row r="915">
      <c r="A915" s="14"/>
      <c r="B915" s="14"/>
      <c r="C915" s="14"/>
      <c r="D915" s="14"/>
      <c r="E915" s="14"/>
      <c r="F915" s="14"/>
      <c r="G915" s="14"/>
      <c r="L915" s="142"/>
    </row>
    <row r="916">
      <c r="A916" s="14"/>
      <c r="B916" s="14"/>
      <c r="C916" s="14"/>
      <c r="D916" s="14"/>
      <c r="E916" s="14"/>
      <c r="F916" s="14"/>
      <c r="G916" s="14"/>
      <c r="L916" s="142"/>
    </row>
    <row r="917">
      <c r="A917" s="14"/>
      <c r="B917" s="14"/>
      <c r="C917" s="14"/>
      <c r="D917" s="14"/>
      <c r="E917" s="14"/>
      <c r="F917" s="14"/>
      <c r="G917" s="14"/>
      <c r="L917" s="142"/>
    </row>
    <row r="918">
      <c r="A918" s="14"/>
      <c r="B918" s="14"/>
      <c r="C918" s="14"/>
      <c r="D918" s="14"/>
      <c r="E918" s="14"/>
      <c r="F918" s="14"/>
      <c r="G918" s="14"/>
      <c r="L918" s="142"/>
    </row>
    <row r="919">
      <c r="A919" s="14"/>
      <c r="B919" s="14"/>
      <c r="C919" s="14"/>
      <c r="D919" s="14"/>
      <c r="E919" s="14"/>
      <c r="F919" s="14"/>
      <c r="G919" s="14"/>
      <c r="L919" s="142"/>
    </row>
    <row r="920">
      <c r="A920" s="14"/>
      <c r="B920" s="14"/>
      <c r="C920" s="14"/>
      <c r="D920" s="14"/>
      <c r="E920" s="14"/>
      <c r="F920" s="14"/>
      <c r="G920" s="14"/>
      <c r="L920" s="142"/>
    </row>
    <row r="921">
      <c r="A921" s="14"/>
      <c r="B921" s="14"/>
      <c r="C921" s="14"/>
      <c r="D921" s="14"/>
      <c r="E921" s="14"/>
      <c r="F921" s="14"/>
      <c r="G921" s="14"/>
      <c r="L921" s="142"/>
    </row>
    <row r="922">
      <c r="A922" s="14"/>
      <c r="B922" s="14"/>
      <c r="C922" s="14"/>
      <c r="D922" s="14"/>
      <c r="E922" s="14"/>
      <c r="F922" s="14"/>
      <c r="G922" s="14"/>
      <c r="L922" s="142"/>
    </row>
    <row r="923">
      <c r="A923" s="14"/>
      <c r="B923" s="14"/>
      <c r="C923" s="14"/>
      <c r="D923" s="14"/>
      <c r="E923" s="14"/>
      <c r="F923" s="14"/>
      <c r="G923" s="14"/>
      <c r="L923" s="142"/>
    </row>
    <row r="924">
      <c r="A924" s="14"/>
      <c r="B924" s="14"/>
      <c r="C924" s="14"/>
      <c r="D924" s="14"/>
      <c r="E924" s="14"/>
      <c r="F924" s="14"/>
      <c r="G924" s="14"/>
      <c r="L924" s="142"/>
    </row>
    <row r="925">
      <c r="A925" s="14"/>
      <c r="B925" s="14"/>
      <c r="C925" s="14"/>
      <c r="D925" s="14"/>
      <c r="E925" s="14"/>
      <c r="F925" s="14"/>
      <c r="G925" s="14"/>
      <c r="L925" s="142"/>
    </row>
    <row r="926">
      <c r="A926" s="14"/>
      <c r="B926" s="14"/>
      <c r="C926" s="14"/>
      <c r="D926" s="14"/>
      <c r="E926" s="14"/>
      <c r="F926" s="14"/>
      <c r="G926" s="14"/>
      <c r="L926" s="142"/>
    </row>
    <row r="927">
      <c r="A927" s="14"/>
      <c r="B927" s="14"/>
      <c r="C927" s="14"/>
      <c r="D927" s="14"/>
      <c r="E927" s="14"/>
      <c r="F927" s="14"/>
      <c r="G927" s="14"/>
      <c r="L927" s="142"/>
    </row>
    <row r="928">
      <c r="A928" s="14"/>
      <c r="B928" s="14"/>
      <c r="C928" s="14"/>
      <c r="D928" s="14"/>
      <c r="E928" s="14"/>
      <c r="F928" s="14"/>
      <c r="G928" s="14"/>
      <c r="L928" s="142"/>
    </row>
    <row r="929">
      <c r="A929" s="14"/>
      <c r="B929" s="14"/>
      <c r="C929" s="14"/>
      <c r="D929" s="14"/>
      <c r="E929" s="14"/>
      <c r="F929" s="14"/>
      <c r="G929" s="14"/>
      <c r="L929" s="142"/>
    </row>
    <row r="930">
      <c r="A930" s="14"/>
      <c r="B930" s="14"/>
      <c r="C930" s="14"/>
      <c r="D930" s="14"/>
      <c r="E930" s="14"/>
      <c r="F930" s="14"/>
      <c r="G930" s="14"/>
      <c r="L930" s="142"/>
    </row>
    <row r="931">
      <c r="A931" s="14"/>
      <c r="B931" s="14"/>
      <c r="C931" s="14"/>
      <c r="D931" s="14"/>
      <c r="E931" s="14"/>
      <c r="F931" s="14"/>
      <c r="G931" s="14"/>
      <c r="L931" s="142"/>
    </row>
    <row r="932">
      <c r="A932" s="14"/>
      <c r="B932" s="14"/>
      <c r="C932" s="14"/>
      <c r="D932" s="14"/>
      <c r="E932" s="14"/>
      <c r="F932" s="14"/>
      <c r="G932" s="14"/>
      <c r="L932" s="142"/>
    </row>
    <row r="933">
      <c r="A933" s="14"/>
      <c r="B933" s="14"/>
      <c r="C933" s="14"/>
      <c r="D933" s="14"/>
      <c r="E933" s="14"/>
      <c r="F933" s="14"/>
      <c r="G933" s="14"/>
      <c r="L933" s="142"/>
    </row>
    <row r="934">
      <c r="A934" s="14"/>
      <c r="B934" s="14"/>
      <c r="C934" s="14"/>
      <c r="D934" s="14"/>
      <c r="E934" s="14"/>
      <c r="F934" s="14"/>
      <c r="G934" s="14"/>
      <c r="L934" s="142"/>
    </row>
    <row r="935">
      <c r="A935" s="14"/>
      <c r="B935" s="14"/>
      <c r="C935" s="14"/>
      <c r="D935" s="14"/>
      <c r="E935" s="14"/>
      <c r="F935" s="14"/>
      <c r="G935" s="14"/>
      <c r="L935" s="142"/>
    </row>
    <row r="936">
      <c r="A936" s="14"/>
      <c r="B936" s="14"/>
      <c r="C936" s="14"/>
      <c r="D936" s="14"/>
      <c r="E936" s="14"/>
      <c r="F936" s="14"/>
      <c r="G936" s="14"/>
      <c r="L936" s="142"/>
    </row>
    <row r="937">
      <c r="A937" s="14"/>
      <c r="B937" s="14"/>
      <c r="C937" s="14"/>
      <c r="D937" s="14"/>
      <c r="E937" s="14"/>
      <c r="F937" s="14"/>
      <c r="G937" s="14"/>
      <c r="L937" s="142"/>
    </row>
    <row r="938">
      <c r="A938" s="14"/>
      <c r="B938" s="14"/>
      <c r="C938" s="14"/>
      <c r="D938" s="14"/>
      <c r="E938" s="14"/>
      <c r="F938" s="14"/>
      <c r="G938" s="14"/>
      <c r="L938" s="142"/>
    </row>
    <row r="939">
      <c r="A939" s="14"/>
      <c r="B939" s="14"/>
      <c r="C939" s="14"/>
      <c r="D939" s="14"/>
      <c r="E939" s="14"/>
      <c r="F939" s="14"/>
      <c r="G939" s="14"/>
      <c r="L939" s="142"/>
    </row>
    <row r="940">
      <c r="A940" s="14"/>
      <c r="B940" s="14"/>
      <c r="C940" s="14"/>
      <c r="D940" s="14"/>
      <c r="E940" s="14"/>
      <c r="F940" s="14"/>
      <c r="G940" s="14"/>
      <c r="L940" s="142"/>
    </row>
    <row r="941">
      <c r="A941" s="14"/>
      <c r="B941" s="14"/>
      <c r="C941" s="14"/>
      <c r="D941" s="14"/>
      <c r="E941" s="14"/>
      <c r="F941" s="14"/>
      <c r="G941" s="14"/>
      <c r="L941" s="142"/>
    </row>
    <row r="942">
      <c r="A942" s="14"/>
      <c r="B942" s="14"/>
      <c r="C942" s="14"/>
      <c r="D942" s="14"/>
      <c r="E942" s="14"/>
      <c r="F942" s="14"/>
      <c r="G942" s="14"/>
      <c r="L942" s="142"/>
    </row>
    <row r="943">
      <c r="A943" s="14"/>
      <c r="B943" s="14"/>
      <c r="C943" s="14"/>
      <c r="D943" s="14"/>
      <c r="E943" s="14"/>
      <c r="F943" s="14"/>
      <c r="G943" s="14"/>
      <c r="L943" s="142"/>
    </row>
    <row r="944">
      <c r="A944" s="14"/>
      <c r="B944" s="14"/>
      <c r="C944" s="14"/>
      <c r="D944" s="14"/>
      <c r="E944" s="14"/>
      <c r="F944" s="14"/>
      <c r="G944" s="14"/>
      <c r="L944" s="142"/>
    </row>
    <row r="945">
      <c r="A945" s="14"/>
      <c r="B945" s="14"/>
      <c r="C945" s="14"/>
      <c r="D945" s="14"/>
      <c r="E945" s="14"/>
      <c r="F945" s="14"/>
      <c r="G945" s="14"/>
      <c r="L945" s="142"/>
    </row>
    <row r="946">
      <c r="A946" s="14"/>
      <c r="B946" s="14"/>
      <c r="C946" s="14"/>
      <c r="D946" s="14"/>
      <c r="E946" s="14"/>
      <c r="F946" s="14"/>
      <c r="G946" s="14"/>
      <c r="L946" s="142"/>
    </row>
    <row r="947">
      <c r="A947" s="14"/>
      <c r="B947" s="14"/>
      <c r="C947" s="14"/>
      <c r="D947" s="14"/>
      <c r="E947" s="14"/>
      <c r="F947" s="14"/>
      <c r="G947" s="14"/>
      <c r="L947" s="142"/>
    </row>
    <row r="948">
      <c r="A948" s="14"/>
      <c r="B948" s="14"/>
      <c r="C948" s="14"/>
      <c r="D948" s="14"/>
      <c r="E948" s="14"/>
      <c r="F948" s="14"/>
      <c r="G948" s="14"/>
      <c r="L948" s="142"/>
    </row>
    <row r="949">
      <c r="A949" s="14"/>
      <c r="B949" s="14"/>
      <c r="C949" s="14"/>
      <c r="D949" s="14"/>
      <c r="E949" s="14"/>
      <c r="F949" s="14"/>
      <c r="G949" s="14"/>
      <c r="L949" s="142"/>
    </row>
    <row r="950">
      <c r="A950" s="14"/>
      <c r="B950" s="14"/>
      <c r="C950" s="14"/>
      <c r="D950" s="14"/>
      <c r="E950" s="14"/>
      <c r="F950" s="14"/>
      <c r="G950" s="14"/>
      <c r="L950" s="142"/>
    </row>
    <row r="951">
      <c r="A951" s="14"/>
      <c r="B951" s="14"/>
      <c r="C951" s="14"/>
      <c r="D951" s="14"/>
      <c r="E951" s="14"/>
      <c r="F951" s="14"/>
      <c r="G951" s="14"/>
      <c r="L951" s="142"/>
    </row>
    <row r="952">
      <c r="A952" s="14"/>
      <c r="B952" s="14"/>
      <c r="C952" s="14"/>
      <c r="D952" s="14"/>
      <c r="E952" s="14"/>
      <c r="F952" s="14"/>
      <c r="G952" s="14"/>
      <c r="L952" s="142"/>
    </row>
    <row r="953">
      <c r="A953" s="14"/>
      <c r="B953" s="14"/>
      <c r="C953" s="14"/>
      <c r="D953" s="14"/>
      <c r="E953" s="14"/>
      <c r="F953" s="14"/>
      <c r="G953" s="14"/>
      <c r="L953" s="142"/>
    </row>
    <row r="954">
      <c r="A954" s="14"/>
      <c r="B954" s="14"/>
      <c r="C954" s="14"/>
      <c r="D954" s="14"/>
      <c r="E954" s="14"/>
      <c r="F954" s="14"/>
      <c r="G954" s="14"/>
      <c r="L954" s="142"/>
    </row>
    <row r="955">
      <c r="A955" s="14"/>
      <c r="B955" s="14"/>
      <c r="C955" s="14"/>
      <c r="D955" s="14"/>
      <c r="E955" s="14"/>
      <c r="F955" s="14"/>
      <c r="G955" s="14"/>
      <c r="L955" s="142"/>
    </row>
    <row r="956">
      <c r="A956" s="14"/>
      <c r="B956" s="14"/>
      <c r="C956" s="14"/>
      <c r="D956" s="14"/>
      <c r="E956" s="14"/>
      <c r="F956" s="14"/>
      <c r="G956" s="14"/>
      <c r="L956" s="142"/>
    </row>
    <row r="957">
      <c r="A957" s="14"/>
      <c r="B957" s="14"/>
      <c r="C957" s="14"/>
      <c r="D957" s="14"/>
      <c r="E957" s="14"/>
      <c r="F957" s="14"/>
      <c r="G957" s="14"/>
      <c r="L957" s="142"/>
    </row>
    <row r="958">
      <c r="A958" s="14"/>
      <c r="B958" s="14"/>
      <c r="C958" s="14"/>
      <c r="D958" s="14"/>
      <c r="E958" s="14"/>
      <c r="F958" s="14"/>
      <c r="G958" s="14"/>
      <c r="L958" s="142"/>
    </row>
    <row r="959">
      <c r="A959" s="14"/>
      <c r="B959" s="14"/>
      <c r="C959" s="14"/>
      <c r="D959" s="14"/>
      <c r="E959" s="14"/>
      <c r="F959" s="14"/>
      <c r="G959" s="14"/>
      <c r="L959" s="142"/>
    </row>
    <row r="960">
      <c r="A960" s="14"/>
      <c r="B960" s="14"/>
      <c r="C960" s="14"/>
      <c r="D960" s="14"/>
      <c r="E960" s="14"/>
      <c r="F960" s="14"/>
      <c r="G960" s="14"/>
      <c r="L960" s="142"/>
    </row>
    <row r="961">
      <c r="A961" s="14"/>
      <c r="B961" s="14"/>
      <c r="C961" s="14"/>
      <c r="D961" s="14"/>
      <c r="E961" s="14"/>
      <c r="F961" s="14"/>
      <c r="G961" s="14"/>
      <c r="L961" s="142"/>
    </row>
    <row r="962">
      <c r="A962" s="14"/>
      <c r="B962" s="14"/>
      <c r="C962" s="14"/>
      <c r="D962" s="14"/>
      <c r="E962" s="14"/>
      <c r="F962" s="14"/>
      <c r="G962" s="14"/>
      <c r="L962" s="142"/>
    </row>
    <row r="963">
      <c r="A963" s="14"/>
      <c r="B963" s="14"/>
      <c r="C963" s="14"/>
      <c r="D963" s="14"/>
      <c r="E963" s="14"/>
      <c r="F963" s="14"/>
      <c r="G963" s="14"/>
      <c r="L963" s="142"/>
    </row>
    <row r="964">
      <c r="A964" s="14"/>
      <c r="B964" s="14"/>
      <c r="C964" s="14"/>
      <c r="D964" s="14"/>
      <c r="E964" s="14"/>
      <c r="F964" s="14"/>
      <c r="G964" s="14"/>
      <c r="L964" s="142"/>
    </row>
    <row r="965">
      <c r="A965" s="14"/>
      <c r="B965" s="14"/>
      <c r="C965" s="14"/>
      <c r="D965" s="14"/>
      <c r="E965" s="14"/>
      <c r="F965" s="14"/>
      <c r="G965" s="14"/>
      <c r="L965" s="142"/>
    </row>
    <row r="966">
      <c r="A966" s="14"/>
      <c r="B966" s="14"/>
      <c r="C966" s="14"/>
      <c r="D966" s="14"/>
      <c r="E966" s="14"/>
      <c r="F966" s="14"/>
      <c r="G966" s="14"/>
      <c r="L966" s="142"/>
    </row>
    <row r="967">
      <c r="A967" s="14"/>
      <c r="B967" s="14"/>
      <c r="C967" s="14"/>
      <c r="D967" s="14"/>
      <c r="E967" s="14"/>
      <c r="F967" s="14"/>
      <c r="G967" s="14"/>
      <c r="L967" s="142"/>
    </row>
    <row r="968">
      <c r="A968" s="14"/>
      <c r="B968" s="14"/>
      <c r="C968" s="14"/>
      <c r="D968" s="14"/>
      <c r="E968" s="14"/>
      <c r="F968" s="14"/>
      <c r="G968" s="14"/>
      <c r="L968" s="142"/>
    </row>
    <row r="969">
      <c r="A969" s="14"/>
      <c r="B969" s="14"/>
      <c r="C969" s="14"/>
      <c r="D969" s="14"/>
      <c r="E969" s="14"/>
      <c r="F969" s="14"/>
      <c r="G969" s="14"/>
      <c r="L969" s="142"/>
    </row>
    <row r="970">
      <c r="A970" s="14"/>
      <c r="B970" s="14"/>
      <c r="C970" s="14"/>
      <c r="D970" s="14"/>
      <c r="E970" s="14"/>
      <c r="F970" s="14"/>
      <c r="G970" s="14"/>
      <c r="L970" s="142"/>
    </row>
    <row r="971">
      <c r="A971" s="14"/>
      <c r="B971" s="14"/>
      <c r="C971" s="14"/>
      <c r="D971" s="14"/>
      <c r="E971" s="14"/>
      <c r="F971" s="14"/>
      <c r="G971" s="14"/>
      <c r="L971" s="142"/>
    </row>
    <row r="972">
      <c r="A972" s="14"/>
      <c r="B972" s="14"/>
      <c r="C972" s="14"/>
      <c r="D972" s="14"/>
      <c r="E972" s="14"/>
      <c r="F972" s="14"/>
      <c r="G972" s="14"/>
      <c r="L972" s="142"/>
    </row>
    <row r="973">
      <c r="A973" s="14"/>
      <c r="B973" s="14"/>
      <c r="C973" s="14"/>
      <c r="D973" s="14"/>
      <c r="E973" s="14"/>
      <c r="F973" s="14"/>
      <c r="G973" s="14"/>
      <c r="L973" s="142"/>
    </row>
    <row r="974">
      <c r="A974" s="14"/>
      <c r="B974" s="14"/>
      <c r="C974" s="14"/>
      <c r="D974" s="14"/>
      <c r="E974" s="14"/>
      <c r="F974" s="14"/>
      <c r="G974" s="14"/>
      <c r="L974" s="142"/>
    </row>
    <row r="975">
      <c r="A975" s="14"/>
      <c r="B975" s="14"/>
      <c r="C975" s="14"/>
      <c r="D975" s="14"/>
      <c r="E975" s="14"/>
      <c r="F975" s="14"/>
      <c r="G975" s="14"/>
      <c r="L975" s="142"/>
    </row>
    <row r="976">
      <c r="A976" s="14"/>
      <c r="B976" s="14"/>
      <c r="C976" s="14"/>
      <c r="D976" s="14"/>
      <c r="E976" s="14"/>
      <c r="F976" s="14"/>
      <c r="G976" s="14"/>
      <c r="L976" s="142"/>
    </row>
    <row r="977">
      <c r="A977" s="14"/>
      <c r="B977" s="14"/>
      <c r="C977" s="14"/>
      <c r="D977" s="14"/>
      <c r="E977" s="14"/>
      <c r="F977" s="14"/>
      <c r="G977" s="14"/>
      <c r="L977" s="142"/>
    </row>
    <row r="978">
      <c r="A978" s="14"/>
      <c r="B978" s="14"/>
      <c r="C978" s="14"/>
      <c r="D978" s="14"/>
      <c r="E978" s="14"/>
      <c r="F978" s="14"/>
      <c r="G978" s="14"/>
      <c r="L978" s="142"/>
    </row>
    <row r="979">
      <c r="A979" s="14"/>
      <c r="B979" s="14"/>
      <c r="C979" s="14"/>
      <c r="D979" s="14"/>
      <c r="E979" s="14"/>
      <c r="F979" s="14"/>
      <c r="G979" s="14"/>
      <c r="L979" s="142"/>
    </row>
    <row r="980">
      <c r="A980" s="14"/>
      <c r="B980" s="14"/>
      <c r="C980" s="14"/>
      <c r="D980" s="14"/>
      <c r="E980" s="14"/>
      <c r="F980" s="14"/>
      <c r="G980" s="14"/>
      <c r="L980" s="142"/>
    </row>
    <row r="981">
      <c r="A981" s="14"/>
      <c r="B981" s="14"/>
      <c r="C981" s="14"/>
      <c r="D981" s="14"/>
      <c r="E981" s="14"/>
      <c r="F981" s="14"/>
      <c r="G981" s="14"/>
      <c r="L981" s="142"/>
    </row>
    <row r="982">
      <c r="A982" s="14"/>
      <c r="B982" s="14"/>
      <c r="C982" s="14"/>
      <c r="D982" s="14"/>
      <c r="E982" s="14"/>
      <c r="F982" s="14"/>
      <c r="G982" s="14"/>
      <c r="L982" s="142"/>
    </row>
    <row r="983">
      <c r="A983" s="14"/>
      <c r="B983" s="14"/>
      <c r="C983" s="14"/>
      <c r="D983" s="14"/>
      <c r="E983" s="14"/>
      <c r="F983" s="14"/>
      <c r="G983" s="14"/>
      <c r="L983" s="142"/>
    </row>
    <row r="984">
      <c r="A984" s="14"/>
      <c r="B984" s="14"/>
      <c r="C984" s="14"/>
      <c r="D984" s="14"/>
      <c r="E984" s="14"/>
      <c r="F984" s="14"/>
      <c r="G984" s="14"/>
      <c r="L984" s="142"/>
    </row>
    <row r="985">
      <c r="A985" s="14"/>
      <c r="B985" s="14"/>
      <c r="C985" s="14"/>
      <c r="D985" s="14"/>
      <c r="E985" s="14"/>
      <c r="F985" s="14"/>
      <c r="G985" s="14"/>
      <c r="L985" s="142"/>
    </row>
    <row r="986">
      <c r="A986" s="14"/>
      <c r="B986" s="14"/>
      <c r="C986" s="14"/>
      <c r="D986" s="14"/>
      <c r="E986" s="14"/>
      <c r="F986" s="14"/>
      <c r="G986" s="14"/>
      <c r="L986" s="142"/>
    </row>
    <row r="987">
      <c r="A987" s="14"/>
      <c r="B987" s="14"/>
      <c r="C987" s="14"/>
      <c r="D987" s="14"/>
      <c r="E987" s="14"/>
      <c r="F987" s="14"/>
      <c r="G987" s="14"/>
      <c r="L987" s="142"/>
    </row>
    <row r="988">
      <c r="A988" s="14"/>
      <c r="B988" s="14"/>
      <c r="C988" s="14"/>
      <c r="D988" s="14"/>
      <c r="E988" s="14"/>
      <c r="F988" s="14"/>
      <c r="G988" s="14"/>
      <c r="L988" s="142"/>
    </row>
    <row r="989">
      <c r="A989" s="14"/>
      <c r="B989" s="14"/>
      <c r="C989" s="14"/>
      <c r="D989" s="14"/>
      <c r="E989" s="14"/>
      <c r="F989" s="14"/>
      <c r="G989" s="14"/>
      <c r="L989" s="142"/>
    </row>
    <row r="990">
      <c r="A990" s="14"/>
      <c r="B990" s="14"/>
      <c r="C990" s="14"/>
      <c r="D990" s="14"/>
      <c r="E990" s="14"/>
      <c r="F990" s="14"/>
      <c r="G990" s="14"/>
      <c r="L990" s="142"/>
    </row>
    <row r="991">
      <c r="A991" s="14"/>
      <c r="B991" s="14"/>
      <c r="C991" s="14"/>
      <c r="D991" s="14"/>
      <c r="E991" s="14"/>
      <c r="F991" s="14"/>
      <c r="G991" s="14"/>
      <c r="L991" s="142"/>
    </row>
    <row r="992">
      <c r="A992" s="14"/>
      <c r="B992" s="14"/>
      <c r="D992" s="14"/>
      <c r="E992" s="14"/>
      <c r="F992" s="14"/>
      <c r="G992" s="14"/>
      <c r="L992" s="142"/>
    </row>
    <row r="993">
      <c r="A993" s="14"/>
      <c r="B993" s="14"/>
      <c r="D993" s="14"/>
      <c r="E993" s="14"/>
      <c r="F993" s="14"/>
      <c r="L993" s="142"/>
    </row>
    <row r="994">
      <c r="L994" s="142"/>
    </row>
    <row r="995">
      <c r="L995" s="142"/>
    </row>
    <row r="996">
      <c r="L996" s="142"/>
    </row>
    <row r="997">
      <c r="L997" s="142"/>
    </row>
    <row r="998">
      <c r="L998" s="142"/>
    </row>
    <row r="999">
      <c r="L999" s="142"/>
    </row>
  </sheetData>
  <conditionalFormatting sqref="G2:G181">
    <cfRule type="containsText" dxfId="0" priority="1" operator="containsText" text="N">
      <formula>NOT(ISERROR(SEARCH(("N"),(G2))))</formula>
    </cfRule>
  </conditionalFormatting>
  <conditionalFormatting sqref="G2:G181">
    <cfRule type="containsText" dxfId="1" priority="2" operator="containsText" text="E">
      <formula>NOT(ISERROR(SEARCH(("E"),(G2))))</formula>
    </cfRule>
  </conditionalFormatting>
  <conditionalFormatting sqref="I2:I181">
    <cfRule type="cellIs" dxfId="9" priority="3" operator="greaterThanOrEqual">
      <formula>1</formula>
    </cfRule>
  </conditionalFormatting>
  <conditionalFormatting sqref="I2:I181">
    <cfRule type="cellIs" dxfId="10" priority="4" operator="greaterThanOrEqual">
      <formula>0.5</formula>
    </cfRule>
  </conditionalFormatting>
  <conditionalFormatting sqref="I2:I181">
    <cfRule type="cellIs" dxfId="11" priority="5" operator="greaterThanOrEqual">
      <formula>0</formula>
    </cfRule>
  </conditionalFormatting>
  <conditionalFormatting sqref="L2:L181 M64">
    <cfRule type="containsText" dxfId="12" priority="6" operator="containsText" text="Yes">
      <formula>NOT(ISERROR(SEARCH(("Yes"),(L2))))</formula>
    </cfRule>
  </conditionalFormatting>
  <conditionalFormatting sqref="L2:L181 M64">
    <cfRule type="containsText" dxfId="13" priority="7" operator="containsText" text="No">
      <formula>NOT(ISERROR(SEARCH(("No"),(L2))))</formula>
    </cfRule>
  </conditionalFormatting>
  <conditionalFormatting sqref="K2:K181">
    <cfRule type="containsText" dxfId="9" priority="8" operator="containsText" text="Yes">
      <formula>NOT(ISERROR(SEARCH(("Yes"),(K2))))</formula>
    </cfRule>
  </conditionalFormatting>
  <conditionalFormatting sqref="K2:K181">
    <cfRule type="containsText" dxfId="11" priority="9" operator="containsText" text="No">
      <formula>NOT(ISERROR(SEARCH(("No"),(K2))))</formula>
    </cfRule>
  </conditionalFormatting>
  <drawing r:id="rId2"/>
  <legacyDrawing r:id="rId3"/>
  <tableParts count="2">
    <tablePart r:id="rId6"/>
    <tablePart r:id="rId7"/>
  </tableParts>
</worksheet>
</file>